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56863-2024</t>
        </is>
      </c>
      <c r="B2" t="inlineStr">
        <is>
          <t>avverkningsanmälan</t>
        </is>
      </c>
      <c r="C2" t="inlineStr">
        <is>
          <t>Föryngringsavverkning</t>
        </is>
      </c>
      <c r="D2" s="1" t="n">
        <v>45628</v>
      </c>
      <c r="E2" s="1" t="n">
        <v>46223</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HYPERLINK("https://klasma.github.io/Logging_1863/kartor_geotiff/A 56863-2024 georefererad karta.tif", "A 56863-2024")</f>
        <v/>
      </c>
      <c r="Y2">
        <f>HYPERLINK("https://klasma.github.io/Logging_1863/knärot/A 56863-2024 karta knärot.png", "A 56863-2024")</f>
        <v/>
      </c>
      <c r="Z2">
        <f>HYPERLINK("https://klasma.github.io/Logging_1863/klagomål/A 56863-2024 FSC-klagomål.docx", "A 56863-2024")</f>
        <v/>
      </c>
      <c r="AA2">
        <f>HYPERLINK("https://klasma.github.io/Logging_1863/klagomålsmail/A 56863-2024 FSC-klagomål mail.docx", "A 56863-2024")</f>
        <v/>
      </c>
      <c r="AB2">
        <f>HYPERLINK("https://klasma.github.io/Logging_1863/tillsyn/A 56863-2024 tillsynsbegäran.docx", "A 56863-2024")</f>
        <v/>
      </c>
      <c r="AC2">
        <f>HYPERLINK("https://klasma.github.io/Logging_1863/tillsynsmail/A 56863-2024 tillsynsbegäran mail.docx", "A 56863-2024")</f>
        <v/>
      </c>
      <c r="AD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46223</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X3">
        <f>HYPERLINK("https://klasma.github.io/Logging_1863/kartor_geotiff/S 3898-2024 georefererad karta.tif", "S 3898-2024")</f>
        <v/>
      </c>
      <c r="Z3">
        <f>HYPERLINK("https://klasma.github.io/Logging_1863/klagomål/S 3898-2024 FSC-klagomål.docx", "S 3898-2024")</f>
        <v/>
      </c>
      <c r="AA3">
        <f>HYPERLINK("https://klasma.github.io/Logging_1863/klagomålsmail/S 3898-2024 FSC-klagomål mail.docx", "S 3898-2024")</f>
        <v/>
      </c>
      <c r="AB3">
        <f>HYPERLINK("https://klasma.github.io/Logging_1863/tillsyn/S 3898-2024 tillsynsbegäran.docx", "S 3898-2024")</f>
        <v/>
      </c>
      <c r="AC3">
        <f>HYPERLINK("https://klasma.github.io/Logging_1863/tillsynsmail/S 3898-2024 tillsynsbegäran mail.docx", "S 3898-2024")</f>
        <v/>
      </c>
      <c r="AD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46223</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X4">
        <f>HYPERLINK("https://klasma.github.io/Logging_1863/kartor_geotiff/A 51567-2025 georefererad karta.tif", "A 51567-2025")</f>
        <v/>
      </c>
      <c r="Z4">
        <f>HYPERLINK("https://klasma.github.io/Logging_1863/klagomål/A 51567-2025 FSC-klagomål.docx", "A 51567-2025")</f>
        <v/>
      </c>
      <c r="AA4">
        <f>HYPERLINK("https://klasma.github.io/Logging_1863/klagomålsmail/A 51567-2025 FSC-klagomål mail.docx", "A 51567-2025")</f>
        <v/>
      </c>
      <c r="AB4">
        <f>HYPERLINK("https://klasma.github.io/Logging_1863/tillsyn/A 51567-2025 tillsynsbegäran.docx", "A 51567-2025")</f>
        <v/>
      </c>
      <c r="AC4">
        <f>HYPERLINK("https://klasma.github.io/Logging_1863/tillsynsmail/A 51567-2025 tillsynsbegäran mail.docx", "A 51567-2025")</f>
        <v/>
      </c>
      <c r="AD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46223</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HYPERLINK("https://klasma.github.io/Logging_1863/kartor_geotiff/A 33605-2023 georefererad karta.tif", "A 33605-2023")</f>
        <v/>
      </c>
      <c r="Y5">
        <f>HYPERLINK("https://klasma.github.io/Logging_1863/knärot/A 33605-2023 karta knärot.png", "A 33605-2023")</f>
        <v/>
      </c>
      <c r="Z5">
        <f>HYPERLINK("https://klasma.github.io/Logging_1863/klagomål/A 33605-2023 FSC-klagomål.docx", "A 33605-2023")</f>
        <v/>
      </c>
      <c r="AA5">
        <f>HYPERLINK("https://klasma.github.io/Logging_1863/klagomålsmail/A 33605-2023 FSC-klagomål mail.docx", "A 33605-2023")</f>
        <v/>
      </c>
      <c r="AB5">
        <f>HYPERLINK("https://klasma.github.io/Logging_1863/tillsyn/A 33605-2023 tillsynsbegäran.docx", "A 33605-2023")</f>
        <v/>
      </c>
      <c r="AC5">
        <f>HYPERLINK("https://klasma.github.io/Logging_1863/tillsynsmail/A 33605-2023 tillsynsbegäran mail.docx", "A 33605-2023")</f>
        <v/>
      </c>
      <c r="AD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46223</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X6">
        <f>HYPERLINK("https://klasma.github.io/Logging_1863/kartor_geotiff/A 29739-2026 georefererad karta.tif", "A 29739-2026")</f>
        <v/>
      </c>
      <c r="Z6">
        <f>HYPERLINK("https://klasma.github.io/Logging_1863/klagomål/A 29739-2026 FSC-klagomål.docx", "A 29739-2026")</f>
        <v/>
      </c>
      <c r="AA6">
        <f>HYPERLINK("https://klasma.github.io/Logging_1863/klagomålsmail/A 29739-2026 FSC-klagomål mail.docx", "A 29739-2026")</f>
        <v/>
      </c>
      <c r="AB6">
        <f>HYPERLINK("https://klasma.github.io/Logging_1863/tillsyn/A 29739-2026 tillsynsbegäran.docx", "A 29739-2026")</f>
        <v/>
      </c>
      <c r="AC6">
        <f>HYPERLINK("https://klasma.github.io/Logging_1863/tillsynsmail/A 29739-2026 tillsynsbegäran mail.docx", "A 29739-2026")</f>
        <v/>
      </c>
      <c r="AD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46223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X7">
        <f>HYPERLINK("https://klasma.github.io/Logging_1863/kartor_geotiff/A 14985-2024 georefererad karta.tif", "A 14985-2024")</f>
        <v/>
      </c>
      <c r="Z7">
        <f>HYPERLINK("https://klasma.github.io/Logging_1863/klagomål/A 14985-2024 FSC-klagomål.docx", "A 14985-2024")</f>
        <v/>
      </c>
      <c r="AA7">
        <f>HYPERLINK("https://klasma.github.io/Logging_1863/klagomålsmail/A 14985-2024 FSC-klagomål mail.docx", "A 14985-2024")</f>
        <v/>
      </c>
      <c r="AB7">
        <f>HYPERLINK("https://klasma.github.io/Logging_1863/tillsyn/A 14985-2024 tillsynsbegäran.docx", "A 14985-2024")</f>
        <v/>
      </c>
      <c r="AC7">
        <f>HYPERLINK("https://klasma.github.io/Logging_1863/tillsynsmail/A 14985-2024 tillsynsbegäran mail.docx", "A 14985-2024")</f>
        <v/>
      </c>
      <c r="AD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X8">
        <f>HYPERLINK("https://klasma.github.io/Logging_1863/kartor_geotiff/S 1285-2022 georefererad karta.tif", "S 1285-2022")</f>
        <v/>
      </c>
      <c r="Z8">
        <f>HYPERLINK("https://klasma.github.io/Logging_1863/klagomål/S 1285-2022 FSC-klagomål.docx", "S 1285-2022")</f>
        <v/>
      </c>
      <c r="AA8">
        <f>HYPERLINK("https://klasma.github.io/Logging_1863/klagomålsmail/S 1285-2022 FSC-klagomål mail.docx", "S 1285-2022")</f>
        <v/>
      </c>
      <c r="AB8">
        <f>HYPERLINK("https://klasma.github.io/Logging_1863/tillsyn/S 1285-2022 tillsynsbegäran.docx", "S 1285-2022")</f>
        <v/>
      </c>
      <c r="AC8">
        <f>HYPERLINK("https://klasma.github.io/Logging_1863/tillsynsmail/S 1285-2022 tillsynsbegäran mail.docx", "S 1285-2022")</f>
        <v/>
      </c>
      <c r="AD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46223</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X9">
        <f>HYPERLINK("https://klasma.github.io/Logging_1863/kartor_geotiff/S 7590-2021 georefererad karta.tif", "S 7590-2021")</f>
        <v/>
      </c>
      <c r="Z9">
        <f>HYPERLINK("https://klasma.github.io/Logging_1863/klagomål/S 7590-2021 FSC-klagomål.docx", "S 7590-2021")</f>
        <v/>
      </c>
      <c r="AA9">
        <f>HYPERLINK("https://klasma.github.io/Logging_1863/klagomålsmail/S 7590-2021 FSC-klagomål mail.docx", "S 7590-2021")</f>
        <v/>
      </c>
      <c r="AB9">
        <f>HYPERLINK("https://klasma.github.io/Logging_1863/tillsyn/S 7590-2021 tillsynsbegäran.docx", "S 7590-2021")</f>
        <v/>
      </c>
      <c r="AC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46223</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s="2" t="inlineStr">
        <is>
          <t>Garnlav
Talltita
Vedticka
Järpe
Spillkråka
Revlummer</t>
        </is>
      </c>
      <c r="V10">
        <f>HYPERLINK("https://klasma.github.io/Logging_1863/artfynd/A 14341-2026 artfynd.xlsx", "A 14341-2026")</f>
        <v/>
      </c>
      <c r="W10">
        <f>HYPERLINK("https://klasma.github.io/Logging_1863/kartor/A 14341-2026 karta.png", "A 14341-2026")</f>
        <v/>
      </c>
      <c r="X10">
        <f>HYPERLINK("https://klasma.github.io/Logging_1863/kartor_geotiff/A 14341-2026 georefererad karta.tif", "A 14341-2026")</f>
        <v/>
      </c>
      <c r="Z10">
        <f>HYPERLINK("https://klasma.github.io/Logging_1863/klagomål/A 14341-2026 FSC-klagomål.docx", "A 14341-2026")</f>
        <v/>
      </c>
      <c r="AA10">
        <f>HYPERLINK("https://klasma.github.io/Logging_1863/klagomålsmail/A 14341-2026 FSC-klagomål mail.docx", "A 14341-2026")</f>
        <v/>
      </c>
      <c r="AB10">
        <f>HYPERLINK("https://klasma.github.io/Logging_1863/tillsyn/A 14341-2026 tillsynsbegäran.docx", "A 14341-2026")</f>
        <v/>
      </c>
      <c r="AC10">
        <f>HYPERLINK("https://klasma.github.io/Logging_1863/tillsynsmail/A 14341-2026 tillsynsbegäran mail.docx", "A 14341-2026")</f>
        <v/>
      </c>
      <c r="AD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46223</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s="2" t="inlineStr">
        <is>
          <t>Grönfink
Björktrast
Gulsparv
Järnsparv
Rödvingetrast
Revlummer</t>
        </is>
      </c>
      <c r="V11">
        <f>HYPERLINK("https://klasma.github.io/Logging_1863/artfynd/A 60162-2022 artfynd.xlsx", "A 60162-2022")</f>
        <v/>
      </c>
      <c r="W11">
        <f>HYPERLINK("https://klasma.github.io/Logging_1863/kartor/A 60162-2022 karta.png", "A 60162-2022")</f>
        <v/>
      </c>
      <c r="X11">
        <f>HYPERLINK("https://klasma.github.io/Logging_1863/kartor_geotiff/A 60162-2022 georefererad karta.tif", "A 60162-2022")</f>
        <v/>
      </c>
      <c r="Z11">
        <f>HYPERLINK("https://klasma.github.io/Logging_1863/klagomål/A 60162-2022 FSC-klagomål.docx", "A 60162-2022")</f>
        <v/>
      </c>
      <c r="AA11">
        <f>HYPERLINK("https://klasma.github.io/Logging_1863/klagomålsmail/A 60162-2022 FSC-klagomål mail.docx", "A 60162-2022")</f>
        <v/>
      </c>
      <c r="AB11">
        <f>HYPERLINK("https://klasma.github.io/Logging_1863/tillsyn/A 60162-2022 tillsynsbegäran.docx", "A 60162-2022")</f>
        <v/>
      </c>
      <c r="AC11">
        <f>HYPERLINK("https://klasma.github.io/Logging_1863/tillsynsmail/A 60162-2022 tillsynsbegäran mail.docx", "A 60162-2022")</f>
        <v/>
      </c>
      <c r="AD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46223</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X12">
        <f>HYPERLINK("https://klasma.github.io/Logging_1863/kartor_geotiff/A 4652-2023 georefererad karta.tif", "A 4652-2023")</f>
        <v/>
      </c>
      <c r="Z12">
        <f>HYPERLINK("https://klasma.github.io/Logging_1863/klagomål/A 4652-2023 FSC-klagomål.docx", "A 4652-2023")</f>
        <v/>
      </c>
      <c r="AA12">
        <f>HYPERLINK("https://klasma.github.io/Logging_1863/klagomålsmail/A 4652-2023 FSC-klagomål mail.docx", "A 4652-2023")</f>
        <v/>
      </c>
      <c r="AB12">
        <f>HYPERLINK("https://klasma.github.io/Logging_1863/tillsyn/A 4652-2023 tillsynsbegäran.docx", "A 4652-2023")</f>
        <v/>
      </c>
      <c r="AC12">
        <f>HYPERLINK("https://klasma.github.io/Logging_1863/tillsynsmail/A 4652-2023 tillsynsbegäran mail.docx", "A 4652-2023")</f>
        <v/>
      </c>
      <c r="AD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46223</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s="2" t="inlineStr">
        <is>
          <t>Mattlummer
Fläcknycklar
Grönvit nattviol</t>
        </is>
      </c>
      <c r="V13">
        <f>HYPERLINK("https://klasma.github.io/Logging_1863/artfynd/A 16928-2025 artfynd.xlsx", "A 16928-2025")</f>
        <v/>
      </c>
      <c r="W13">
        <f>HYPERLINK("https://klasma.github.io/Logging_1863/kartor/A 16928-2025 karta.png", "A 16928-2025")</f>
        <v/>
      </c>
      <c r="X13">
        <f>HYPERLINK("https://klasma.github.io/Logging_1863/kartor_geotiff/A 16928-2025 georefererad karta.tif", "A 16928-2025")</f>
        <v/>
      </c>
      <c r="Z13">
        <f>HYPERLINK("https://klasma.github.io/Logging_1863/klagomål/A 16928-2025 FSC-klagomål.docx", "A 16928-2025")</f>
        <v/>
      </c>
      <c r="AA13">
        <f>HYPERLINK("https://klasma.github.io/Logging_1863/klagomålsmail/A 16928-2025 FSC-klagomål mail.docx", "A 16928-2025")</f>
        <v/>
      </c>
      <c r="AB13">
        <f>HYPERLINK("https://klasma.github.io/Logging_1863/tillsyn/A 16928-2025 tillsynsbegäran.docx", "A 16928-2025")</f>
        <v/>
      </c>
      <c r="AC13">
        <f>HYPERLINK("https://klasma.github.io/Logging_1863/tillsynsmail/A 16928-2025 tillsynsbegäran mail.docx", "A 16928-2025")</f>
        <v/>
      </c>
    </row>
    <row r="14" ht="15" customHeight="1">
      <c r="A14" t="inlineStr">
        <is>
          <t>A 14340-2026</t>
        </is>
      </c>
      <c r="B14" t="inlineStr">
        <is>
          <t>avverkningsanmälan</t>
        </is>
      </c>
      <c r="C14" t="inlineStr">
        <is>
          <t>Föryngringsavverkning</t>
        </is>
      </c>
      <c r="D14" s="1" t="n">
        <v>46100</v>
      </c>
      <c r="E14" s="1" t="n">
        <v>46223</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s="2" t="inlineStr">
        <is>
          <t>Tretåig hackspett
Vedskivlav
Mattlummer</t>
        </is>
      </c>
      <c r="V14">
        <f>HYPERLINK("https://klasma.github.io/Logging_1863/artfynd/A 14340-2026 artfynd.xlsx", "A 14340-2026")</f>
        <v/>
      </c>
      <c r="W14">
        <f>HYPERLINK("https://klasma.github.io/Logging_1863/kartor/A 14340-2026 karta.png", "A 14340-2026")</f>
        <v/>
      </c>
      <c r="X14">
        <f>HYPERLINK("https://klasma.github.io/Logging_1863/kartor_geotiff/A 14340-2026 georefererad karta.tif", "A 14340-2026")</f>
        <v/>
      </c>
      <c r="Z14">
        <f>HYPERLINK("https://klasma.github.io/Logging_1863/klagomål/A 14340-2026 FSC-klagomål.docx", "A 14340-2026")</f>
        <v/>
      </c>
      <c r="AA14">
        <f>HYPERLINK("https://klasma.github.io/Logging_1863/klagomålsmail/A 14340-2026 FSC-klagomål mail.docx", "A 14340-2026")</f>
        <v/>
      </c>
      <c r="AB14">
        <f>HYPERLINK("https://klasma.github.io/Logging_1863/tillsyn/A 14340-2026 tillsynsbegäran.docx", "A 14340-2026")</f>
        <v/>
      </c>
      <c r="AC14">
        <f>HYPERLINK("https://klasma.github.io/Logging_1863/tillsynsmail/A 14340-2026 tillsynsbegäran mail.docx", "A 14340-2026")</f>
        <v/>
      </c>
      <c r="AD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46223</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s="2" t="inlineStr">
        <is>
          <t>Mattlummer
Tjäder
Revlummer</t>
        </is>
      </c>
      <c r="V15">
        <f>HYPERLINK("https://klasma.github.io/Logging_1863/artfynd/A 18047-2026 artfynd.xlsx", "A 18047-2026")</f>
        <v/>
      </c>
      <c r="W15">
        <f>HYPERLINK("https://klasma.github.io/Logging_1863/kartor/A 18047-2026 karta.png", "A 18047-2026")</f>
        <v/>
      </c>
      <c r="X15">
        <f>HYPERLINK("https://klasma.github.io/Logging_1863/kartor_geotiff/A 18047-2026 georefererad karta.tif", "A 18047-2026")</f>
        <v/>
      </c>
      <c r="Z15">
        <f>HYPERLINK("https://klasma.github.io/Logging_1863/klagomål/A 18047-2026 FSC-klagomål.docx", "A 18047-2026")</f>
        <v/>
      </c>
      <c r="AA15">
        <f>HYPERLINK("https://klasma.github.io/Logging_1863/klagomålsmail/A 18047-2026 FSC-klagomål mail.docx", "A 18047-2026")</f>
        <v/>
      </c>
      <c r="AB15">
        <f>HYPERLINK("https://klasma.github.io/Logging_1863/tillsyn/A 18047-2026 tillsynsbegäran.docx", "A 18047-2026")</f>
        <v/>
      </c>
      <c r="AC15">
        <f>HYPERLINK("https://klasma.github.io/Logging_1863/tillsynsmail/A 18047-2026 tillsynsbegäran mail.docx", "A 18047-2026")</f>
        <v/>
      </c>
      <c r="AD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46223</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s="2" t="inlineStr">
        <is>
          <t>Svavelriska
Kungsfågel
Revlummer</t>
        </is>
      </c>
      <c r="V16">
        <f>HYPERLINK("https://klasma.github.io/Logging_1863/artfynd/A 16932-2025 artfynd.xlsx", "A 16932-2025")</f>
        <v/>
      </c>
      <c r="W16">
        <f>HYPERLINK("https://klasma.github.io/Logging_1863/kartor/A 16932-2025 karta.png", "A 16932-2025")</f>
        <v/>
      </c>
      <c r="X16">
        <f>HYPERLINK("https://klasma.github.io/Logging_1863/kartor_geotiff/A 16932-2025 georefererad karta.tif", "A 16932-2025")</f>
        <v/>
      </c>
      <c r="Z16">
        <f>HYPERLINK("https://klasma.github.io/Logging_1863/klagomål/A 16932-2025 FSC-klagomål.docx", "A 16932-2025")</f>
        <v/>
      </c>
      <c r="AA16">
        <f>HYPERLINK("https://klasma.github.io/Logging_1863/klagomålsmail/A 16932-2025 FSC-klagomål mail.docx", "A 16932-2025")</f>
        <v/>
      </c>
      <c r="AB16">
        <f>HYPERLINK("https://klasma.github.io/Logging_1863/tillsyn/A 16932-2025 tillsynsbegäran.docx", "A 16932-2025")</f>
        <v/>
      </c>
      <c r="AC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46223</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s="2" t="inlineStr">
        <is>
          <t>Garnlav
Talltita
Vedticka</t>
        </is>
      </c>
      <c r="V17">
        <f>HYPERLINK("https://klasma.github.io/Logging_1863/artfynd/A 16169-2025 artfynd.xlsx", "A 16169-2025")</f>
        <v/>
      </c>
      <c r="W17">
        <f>HYPERLINK("https://klasma.github.io/Logging_1863/kartor/A 16169-2025 karta.png", "A 16169-2025")</f>
        <v/>
      </c>
      <c r="X17">
        <f>HYPERLINK("https://klasma.github.io/Logging_1863/kartor_geotiff/A 16169-2025 georefererad karta.tif", "A 16169-2025")</f>
        <v/>
      </c>
      <c r="Z17">
        <f>HYPERLINK("https://klasma.github.io/Logging_1863/klagomål/A 16169-2025 FSC-klagomål.docx", "A 16169-2025")</f>
        <v/>
      </c>
      <c r="AA17">
        <f>HYPERLINK("https://klasma.github.io/Logging_1863/klagomålsmail/A 16169-2025 FSC-klagomål mail.docx", "A 16169-2025")</f>
        <v/>
      </c>
      <c r="AB17">
        <f>HYPERLINK("https://klasma.github.io/Logging_1863/tillsyn/A 16169-2025 tillsynsbegäran.docx", "A 16169-2025")</f>
        <v/>
      </c>
      <c r="AC17">
        <f>HYPERLINK("https://klasma.github.io/Logging_1863/tillsynsmail/A 16169-2025 tillsynsbegäran mail.docx", "A 16169-2025")</f>
        <v/>
      </c>
      <c r="AD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46223</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s="2" t="inlineStr">
        <is>
          <t>Mattlummer
Tjäder
Revlummer</t>
        </is>
      </c>
      <c r="V18">
        <f>HYPERLINK("https://klasma.github.io/Logging_1863/artfynd/A 22248-2026 artfynd.xlsx", "A 22248-2026")</f>
        <v/>
      </c>
      <c r="W18">
        <f>HYPERLINK("https://klasma.github.io/Logging_1863/kartor/A 22248-2026 karta.png", "A 22248-2026")</f>
        <v/>
      </c>
      <c r="X18">
        <f>HYPERLINK("https://klasma.github.io/Logging_1863/kartor_geotiff/A 22248-2026 georefererad karta.tif", "A 22248-2026")</f>
        <v/>
      </c>
      <c r="Z18">
        <f>HYPERLINK("https://klasma.github.io/Logging_1863/klagomål/A 22248-2026 FSC-klagomål.docx", "A 22248-2026")</f>
        <v/>
      </c>
      <c r="AA18">
        <f>HYPERLINK("https://klasma.github.io/Logging_1863/klagomålsmail/A 22248-2026 FSC-klagomål mail.docx", "A 22248-2026")</f>
        <v/>
      </c>
      <c r="AB18">
        <f>HYPERLINK("https://klasma.github.io/Logging_1863/tillsyn/A 22248-2026 tillsynsbegäran.docx", "A 22248-2026")</f>
        <v/>
      </c>
      <c r="AC18">
        <f>HYPERLINK("https://klasma.github.io/Logging_1863/tillsynsmail/A 22248-2026 tillsynsbegäran mail.docx", "A 22248-2026")</f>
        <v/>
      </c>
      <c r="AD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46223</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s="2" t="inlineStr">
        <is>
          <t>Plattlummer
Mattlummer
Tjäder</t>
        </is>
      </c>
      <c r="V19">
        <f>HYPERLINK("https://klasma.github.io/Logging_1863/artfynd/A 29741-2026 artfynd.xlsx", "A 29741-2026")</f>
        <v/>
      </c>
      <c r="W19">
        <f>HYPERLINK("https://klasma.github.io/Logging_1863/kartor/A 29741-2026 karta.png", "A 29741-2026")</f>
        <v/>
      </c>
      <c r="X19">
        <f>HYPERLINK("https://klasma.github.io/Logging_1863/kartor_geotiff/A 29741-2026 georefererad karta.tif", "A 29741-2026")</f>
        <v/>
      </c>
      <c r="Z19">
        <f>HYPERLINK("https://klasma.github.io/Logging_1863/klagomål/A 29741-2026 FSC-klagomål.docx", "A 29741-2026")</f>
        <v/>
      </c>
      <c r="AA19">
        <f>HYPERLINK("https://klasma.github.io/Logging_1863/klagomålsmail/A 29741-2026 FSC-klagomål mail.docx", "A 29741-2026")</f>
        <v/>
      </c>
      <c r="AB19">
        <f>HYPERLINK("https://klasma.github.io/Logging_1863/tillsyn/A 29741-2026 tillsynsbegäran.docx", "A 29741-2026")</f>
        <v/>
      </c>
      <c r="AC19">
        <f>HYPERLINK("https://klasma.github.io/Logging_1863/tillsynsmail/A 29741-2026 tillsynsbegäran mail.docx", "A 29741-2026")</f>
        <v/>
      </c>
      <c r="AD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46223</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X20">
        <f>HYPERLINK("https://klasma.github.io/Logging_1863/kartor_geotiff/A 71826-2021 georefererad karta.tif", "A 71826-2021")</f>
        <v/>
      </c>
      <c r="Z20">
        <f>HYPERLINK("https://klasma.github.io/Logging_1863/klagomål/A 71826-2021 FSC-klagomål.docx", "A 71826-2021")</f>
        <v/>
      </c>
      <c r="AA20">
        <f>HYPERLINK("https://klasma.github.io/Logging_1863/klagomålsmail/A 71826-2021 FSC-klagomål mail.docx", "A 71826-2021")</f>
        <v/>
      </c>
      <c r="AB20">
        <f>HYPERLINK("https://klasma.github.io/Logging_1863/tillsyn/A 71826-2021 tillsynsbegäran.docx", "A 71826-2021")</f>
        <v/>
      </c>
      <c r="AC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46223</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s="2" t="inlineStr">
        <is>
          <t>Järpe
Tjäder</t>
        </is>
      </c>
      <c r="V21">
        <f>HYPERLINK("https://klasma.github.io/Logging_1863/artfynd/A 37259-2024 artfynd.xlsx", "A 37259-2024")</f>
        <v/>
      </c>
      <c r="W21">
        <f>HYPERLINK("https://klasma.github.io/Logging_1863/kartor/A 37259-2024 karta.png", "A 37259-2024")</f>
        <v/>
      </c>
      <c r="X21">
        <f>HYPERLINK("https://klasma.github.io/Logging_1863/kartor_geotiff/A 37259-2024 georefererad karta.tif", "A 37259-2024")</f>
        <v/>
      </c>
      <c r="Z21">
        <f>HYPERLINK("https://klasma.github.io/Logging_1863/klagomål/A 37259-2024 FSC-klagomål.docx", "A 37259-2024")</f>
        <v/>
      </c>
      <c r="AA21">
        <f>HYPERLINK("https://klasma.github.io/Logging_1863/klagomålsmail/A 37259-2024 FSC-klagomål mail.docx", "A 37259-2024")</f>
        <v/>
      </c>
      <c r="AB21">
        <f>HYPERLINK("https://klasma.github.io/Logging_1863/tillsyn/A 37259-2024 tillsynsbegäran.docx", "A 37259-2024")</f>
        <v/>
      </c>
      <c r="AC21">
        <f>HYPERLINK("https://klasma.github.io/Logging_1863/tillsynsmail/A 37259-2024 tillsynsbegäran mail.docx", "A 37259-2024")</f>
        <v/>
      </c>
      <c r="AD21">
        <f>HYPERLINK("https://klasma.github.io/Logging_1863/fåglar/A 37259-2024 prioriterade fågelarter.docx", "A 37259-2024")</f>
        <v/>
      </c>
    </row>
    <row r="22" ht="15" customHeight="1">
      <c r="A22" t="inlineStr">
        <is>
          <t>A 44397-2025</t>
        </is>
      </c>
      <c r="B22" t="inlineStr">
        <is>
          <t>avverkningsanmälan</t>
        </is>
      </c>
      <c r="C22" t="inlineStr">
        <is>
          <t>Föryngringsavverkning</t>
        </is>
      </c>
      <c r="D22" s="1" t="n">
        <v>45916</v>
      </c>
      <c r="E22" s="1" t="n">
        <v>46223</v>
      </c>
      <c r="F22" t="inlineStr">
        <is>
          <t>ÖREBRO LÄN</t>
        </is>
      </c>
      <c r="G22" t="inlineStr">
        <is>
          <t>HÄLLEFORS</t>
        </is>
      </c>
      <c r="H22" t="inlineStr">
        <is>
          <t>Bergvik skog väst AB</t>
        </is>
      </c>
      <c r="I22" t="n">
        <v>6.5</v>
      </c>
      <c r="J22" t="n">
        <v>1</v>
      </c>
      <c r="K22" t="n">
        <v>1</v>
      </c>
      <c r="L22" t="n">
        <v>1</v>
      </c>
      <c r="M22" t="n">
        <v>0</v>
      </c>
      <c r="N22" t="n">
        <v>0</v>
      </c>
      <c r="O22" t="n">
        <v>0</v>
      </c>
      <c r="P22" t="n">
        <v>0</v>
      </c>
      <c r="Q22" t="n">
        <v>1</v>
      </c>
      <c r="R22" t="n">
        <v>0</v>
      </c>
      <c r="S22" t="n">
        <v>2</v>
      </c>
      <c r="T22" t="n">
        <v>2</v>
      </c>
      <c r="U22" s="2" t="inlineStr">
        <is>
          <t>Ullticka
Grön sköldmossa</t>
        </is>
      </c>
      <c r="V22">
        <f>HYPERLINK("https://klasma.github.io/Logging_1863/artfynd/A 44397-2025 artfynd.xlsx", "A 44397-2025")</f>
        <v/>
      </c>
      <c r="W22">
        <f>HYPERLINK("https://klasma.github.io/Logging_1863/kartor/A 44397-2025 karta.png", "A 44397-2025")</f>
        <v/>
      </c>
      <c r="X22">
        <f>HYPERLINK("https://klasma.github.io/Logging_1863/kartor_geotiff/A 44397-2025 georefererad karta.tif", "A 44397-2025")</f>
        <v/>
      </c>
      <c r="Z22">
        <f>HYPERLINK("https://klasma.github.io/Logging_1863/klagomål/A 44397-2025 FSC-klagomål.docx", "A 44397-2025")</f>
        <v/>
      </c>
      <c r="AA22">
        <f>HYPERLINK("https://klasma.github.io/Logging_1863/klagomålsmail/A 44397-2025 FSC-klagomål mail.docx", "A 44397-2025")</f>
        <v/>
      </c>
      <c r="AB22">
        <f>HYPERLINK("https://klasma.github.io/Logging_1863/tillsyn/A 44397-2025 tillsynsbegäran.docx", "A 44397-2025")</f>
        <v/>
      </c>
      <c r="AC22">
        <f>HYPERLINK("https://klasma.github.io/Logging_1863/tillsynsmail/A 44397-2025 tillsynsbegäran mail.docx", "A 44397-2025")</f>
        <v/>
      </c>
    </row>
    <row r="23" ht="15" customHeight="1">
      <c r="A23" t="inlineStr">
        <is>
          <t>A 44402-2025</t>
        </is>
      </c>
      <c r="B23" t="inlineStr">
        <is>
          <t>avverkningsanmälan</t>
        </is>
      </c>
      <c r="C23" t="inlineStr">
        <is>
          <t>Avverkning för att bevara och utveckla /försöksver</t>
        </is>
      </c>
      <c r="D23" s="1" t="n">
        <v>45916</v>
      </c>
      <c r="E23" s="1" t="n">
        <v>46223</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s="2" t="inlineStr">
        <is>
          <t>Garnlav
Vedticka</t>
        </is>
      </c>
      <c r="V23">
        <f>HYPERLINK("https://klasma.github.io/Logging_1863/artfynd/A 44402-2025 artfynd.xlsx", "A 44402-2025")</f>
        <v/>
      </c>
      <c r="W23">
        <f>HYPERLINK("https://klasma.github.io/Logging_1863/kartor/A 44402-2025 karta.png", "A 44402-2025")</f>
        <v/>
      </c>
      <c r="X23">
        <f>HYPERLINK("https://klasma.github.io/Logging_1863/kartor_geotiff/A 44402-2025 georefererad karta.tif", "A 44402-2025")</f>
        <v/>
      </c>
      <c r="Z23">
        <f>HYPERLINK("https://klasma.github.io/Logging_1863/klagomål/A 44402-2025 FSC-klagomål.docx", "A 44402-2025")</f>
        <v/>
      </c>
      <c r="AA23">
        <f>HYPERLINK("https://klasma.github.io/Logging_1863/klagomålsmail/A 44402-2025 FSC-klagomål mail.docx", "A 44402-2025")</f>
        <v/>
      </c>
      <c r="AB23">
        <f>HYPERLINK("https://klasma.github.io/Logging_1863/tillsyn/A 44402-2025 tillsynsbegäran.docx", "A 44402-2025")</f>
        <v/>
      </c>
      <c r="AC23">
        <f>HYPERLINK("https://klasma.github.io/Logging_1863/tillsynsmail/A 44402-2025 tillsynsbegäran mail.docx", "A 44402-2025")</f>
        <v/>
      </c>
    </row>
    <row r="24" ht="15" customHeight="1">
      <c r="A24" t="inlineStr">
        <is>
          <t>A 34050-2025</t>
        </is>
      </c>
      <c r="B24" t="inlineStr">
        <is>
          <t>avverkningsanmälan</t>
        </is>
      </c>
      <c r="C24" t="inlineStr">
        <is>
          <t>Föryngringsavverkning</t>
        </is>
      </c>
      <c r="D24" s="1" t="n">
        <v>45845</v>
      </c>
      <c r="E24" s="1" t="n">
        <v>46223</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s="2" t="inlineStr">
        <is>
          <t>Flodkräfta
Tvåblad</t>
        </is>
      </c>
      <c r="V24">
        <f>HYPERLINK("https://klasma.github.io/Logging_1863/artfynd/A 34050-2025 artfynd.xlsx", "A 34050-2025")</f>
        <v/>
      </c>
      <c r="W24">
        <f>HYPERLINK("https://klasma.github.io/Logging_1863/kartor/A 34050-2025 karta.png", "A 34050-2025")</f>
        <v/>
      </c>
      <c r="X24">
        <f>HYPERLINK("https://klasma.github.io/Logging_1863/kartor_geotiff/A 34050-2025 georefererad karta.tif", "A 34050-2025")</f>
        <v/>
      </c>
      <c r="Z24">
        <f>HYPERLINK("https://klasma.github.io/Logging_1863/klagomål/A 34050-2025 FSC-klagomål.docx", "A 34050-2025")</f>
        <v/>
      </c>
      <c r="AA24">
        <f>HYPERLINK("https://klasma.github.io/Logging_1863/klagomålsmail/A 34050-2025 FSC-klagomål mail.docx", "A 34050-2025")</f>
        <v/>
      </c>
      <c r="AB24">
        <f>HYPERLINK("https://klasma.github.io/Logging_1863/tillsyn/A 34050-2025 tillsynsbegäran.docx", "A 34050-2025")</f>
        <v/>
      </c>
      <c r="AC24">
        <f>HYPERLINK("https://klasma.github.io/Logging_1863/tillsynsmail/A 34050-2025 tillsynsbegäran mail.docx", "A 34050-2025")</f>
        <v/>
      </c>
    </row>
    <row r="25" ht="15" customHeight="1">
      <c r="A25" t="inlineStr">
        <is>
          <t>A 5684-2025</t>
        </is>
      </c>
      <c r="B25" t="inlineStr">
        <is>
          <t>avverkningsanmälan</t>
        </is>
      </c>
      <c r="C25" t="inlineStr">
        <is>
          <t>Föryngringsavverkning</t>
        </is>
      </c>
      <c r="D25" s="1" t="n">
        <v>45694</v>
      </c>
      <c r="E25" s="1" t="n">
        <v>46223</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s="2" t="inlineStr">
        <is>
          <t>Gröngöling
Kungsfågel</t>
        </is>
      </c>
      <c r="V25">
        <f>HYPERLINK("https://klasma.github.io/Logging_1863/artfynd/A 5684-2025 artfynd.xlsx", "A 5684-2025")</f>
        <v/>
      </c>
      <c r="W25">
        <f>HYPERLINK("https://klasma.github.io/Logging_1863/kartor/A 5684-2025 karta.png", "A 5684-2025")</f>
        <v/>
      </c>
      <c r="X25">
        <f>HYPERLINK("https://klasma.github.io/Logging_1863/kartor_geotiff/A 5684-2025 georefererad karta.tif", "A 5684-2025")</f>
        <v/>
      </c>
      <c r="Z25">
        <f>HYPERLINK("https://klasma.github.io/Logging_1863/klagomål/A 5684-2025 FSC-klagomål.docx", "A 5684-2025")</f>
        <v/>
      </c>
      <c r="AA25">
        <f>HYPERLINK("https://klasma.github.io/Logging_1863/klagomålsmail/A 5684-2025 FSC-klagomål mail.docx", "A 5684-2025")</f>
        <v/>
      </c>
      <c r="AB25">
        <f>HYPERLINK("https://klasma.github.io/Logging_1863/tillsyn/A 5684-2025 tillsynsbegäran.docx", "A 5684-2025")</f>
        <v/>
      </c>
      <c r="AC25">
        <f>HYPERLINK("https://klasma.github.io/Logging_1863/tillsynsmail/A 5684-2025 tillsynsbegäran mail.docx", "A 5684-2025")</f>
        <v/>
      </c>
    </row>
    <row r="26" ht="15" customHeight="1">
      <c r="A26" t="inlineStr">
        <is>
          <t>A 59521-2025</t>
        </is>
      </c>
      <c r="B26" t="inlineStr">
        <is>
          <t>avverkningsanmälan</t>
        </is>
      </c>
      <c r="C26" t="inlineStr">
        <is>
          <t>Avverkning för att bevara och utveckla /försöksver</t>
        </is>
      </c>
      <c r="D26" s="1" t="n">
        <v>45989</v>
      </c>
      <c r="E26" s="1" t="n">
        <v>46223</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s="2" t="inlineStr">
        <is>
          <t>Blåsippa
Gråspett</t>
        </is>
      </c>
      <c r="V26">
        <f>HYPERLINK("https://klasma.github.io/Logging_1863/artfynd/A 59521-2025 artfynd.xlsx", "A 59521-2025")</f>
        <v/>
      </c>
      <c r="W26">
        <f>HYPERLINK("https://klasma.github.io/Logging_1863/kartor/A 59521-2025 karta.png", "A 59521-2025")</f>
        <v/>
      </c>
      <c r="X26">
        <f>HYPERLINK("https://klasma.github.io/Logging_1863/kartor_geotiff/A 59521-2025 georefererad karta.tif", "A 59521-2025")</f>
        <v/>
      </c>
      <c r="Z26">
        <f>HYPERLINK("https://klasma.github.io/Logging_1863/klagomål/A 59521-2025 FSC-klagomål.docx", "A 59521-2025")</f>
        <v/>
      </c>
      <c r="AA26">
        <f>HYPERLINK("https://klasma.github.io/Logging_1863/klagomålsmail/A 59521-2025 FSC-klagomål mail.docx", "A 59521-2025")</f>
        <v/>
      </c>
      <c r="AB26">
        <f>HYPERLINK("https://klasma.github.io/Logging_1863/tillsyn/A 59521-2025 tillsynsbegäran.docx", "A 59521-2025")</f>
        <v/>
      </c>
      <c r="AC26">
        <f>HYPERLINK("https://klasma.github.io/Logging_1863/tillsynsmail/A 59521-2025 tillsynsbegäran mail.docx", "A 59521-2025")</f>
        <v/>
      </c>
      <c r="AD26">
        <f>HYPERLINK("https://klasma.github.io/Logging_1863/fåglar/A 59521-2025 prioriterade fågelarter.docx", "A 59521-2025")</f>
        <v/>
      </c>
    </row>
    <row r="27" ht="15" customHeight="1">
      <c r="A27" t="inlineStr">
        <is>
          <t>A 16088-2026</t>
        </is>
      </c>
      <c r="B27" t="inlineStr">
        <is>
          <t>avverkningsanmälan</t>
        </is>
      </c>
      <c r="C27" t="inlineStr">
        <is>
          <t>Föryngringsavverkning</t>
        </is>
      </c>
      <c r="D27" s="1" t="n">
        <v>46108</v>
      </c>
      <c r="E27" s="1" t="n">
        <v>46223</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s="2" t="inlineStr">
        <is>
          <t>Mattlummer
Tjäder</t>
        </is>
      </c>
      <c r="V27">
        <f>HYPERLINK("https://klasma.github.io/Logging_1863/artfynd/A 16088-2026 artfynd.xlsx", "A 16088-2026")</f>
        <v/>
      </c>
      <c r="W27">
        <f>HYPERLINK("https://klasma.github.io/Logging_1863/kartor/A 16088-2026 karta.png", "A 16088-2026")</f>
        <v/>
      </c>
      <c r="X27">
        <f>HYPERLINK("https://klasma.github.io/Logging_1863/kartor_geotiff/A 16088-2026 georefererad karta.tif", "A 16088-2026")</f>
        <v/>
      </c>
      <c r="Z27">
        <f>HYPERLINK("https://klasma.github.io/Logging_1863/klagomål/A 16088-2026 FSC-klagomål.docx", "A 16088-2026")</f>
        <v/>
      </c>
      <c r="AA27">
        <f>HYPERLINK("https://klasma.github.io/Logging_1863/klagomålsmail/A 16088-2026 FSC-klagomål mail.docx", "A 16088-2026")</f>
        <v/>
      </c>
      <c r="AB27">
        <f>HYPERLINK("https://klasma.github.io/Logging_1863/tillsyn/A 16088-2026 tillsynsbegäran.docx", "A 16088-2026")</f>
        <v/>
      </c>
      <c r="AC27">
        <f>HYPERLINK("https://klasma.github.io/Logging_1863/tillsynsmail/A 16088-2026 tillsynsbegäran mail.docx", "A 16088-2026")</f>
        <v/>
      </c>
      <c r="AD27">
        <f>HYPERLINK("https://klasma.github.io/Logging_1863/fåglar/A 16088-2026 prioriterade fågelarter.docx", "A 16088-2026")</f>
        <v/>
      </c>
    </row>
    <row r="28" ht="15" customHeight="1">
      <c r="A28" t="inlineStr">
        <is>
          <t>A 5360-2022</t>
        </is>
      </c>
      <c r="B28" t="inlineStr">
        <is>
          <t>avverkningsanmälan</t>
        </is>
      </c>
      <c r="C28" t="inlineStr">
        <is>
          <t>Föryngringsavverkning</t>
        </is>
      </c>
      <c r="D28" s="1" t="n">
        <v>44594</v>
      </c>
      <c r="E28" s="1" t="n">
        <v>46223</v>
      </c>
      <c r="F28" t="inlineStr">
        <is>
          <t>ÖREBRO LÄN</t>
        </is>
      </c>
      <c r="G28" t="inlineStr">
        <is>
          <t>HÄLLEFORS</t>
        </is>
      </c>
      <c r="I28" t="n">
        <v>3.7</v>
      </c>
      <c r="J28" t="n">
        <v>0</v>
      </c>
      <c r="K28" t="n">
        <v>2</v>
      </c>
      <c r="L28" t="n">
        <v>0</v>
      </c>
      <c r="M28" t="n">
        <v>0</v>
      </c>
      <c r="N28" t="n">
        <v>0</v>
      </c>
      <c r="O28" t="n">
        <v>0</v>
      </c>
      <c r="P28" t="n">
        <v>0</v>
      </c>
      <c r="Q28" t="n">
        <v>0</v>
      </c>
      <c r="R28" t="n">
        <v>0</v>
      </c>
      <c r="S28" t="n">
        <v>2</v>
      </c>
      <c r="T28" t="n">
        <v>2</v>
      </c>
      <c r="U28" s="2" t="inlineStr">
        <is>
          <t>Mörk husmossa
Smal svampklubba</t>
        </is>
      </c>
      <c r="V28">
        <f>HYPERLINK("https://klasma.github.io/Logging_1863/artfynd/A 5360-2022 artfynd.xlsx", "A 5360-2022")</f>
        <v/>
      </c>
      <c r="W28">
        <f>HYPERLINK("https://klasma.github.io/Logging_1863/kartor/A 5360-2022 karta.png", "A 5360-2022")</f>
        <v/>
      </c>
      <c r="X28">
        <f>HYPERLINK("https://klasma.github.io/Logging_1863/kartor_geotiff/A 5360-2022 georefererad karta.tif", "A 5360-2022")</f>
        <v/>
      </c>
      <c r="Z28">
        <f>HYPERLINK("https://klasma.github.io/Logging_1863/klagomål/A 5360-2022 FSC-klagomål.docx", "A 5360-2022")</f>
        <v/>
      </c>
      <c r="AA28">
        <f>HYPERLINK("https://klasma.github.io/Logging_1863/klagomålsmail/A 5360-2022 FSC-klagomål mail.docx", "A 5360-2022")</f>
        <v/>
      </c>
      <c r="AB28">
        <f>HYPERLINK("https://klasma.github.io/Logging_1863/tillsyn/A 5360-2022 tillsynsbegäran.docx", "A 5360-2022")</f>
        <v/>
      </c>
      <c r="AC28">
        <f>HYPERLINK("https://klasma.github.io/Logging_1863/tillsynsmail/A 5360-2022 tillsynsbegäran mail.docx", "A 5360-2022")</f>
        <v/>
      </c>
    </row>
    <row r="29" ht="15" customHeight="1">
      <c r="A29" t="inlineStr">
        <is>
          <t>A 20696-2026</t>
        </is>
      </c>
      <c r="B29" t="inlineStr">
        <is>
          <t>avverkningsanmälan</t>
        </is>
      </c>
      <c r="C29" t="inlineStr">
        <is>
          <t>Föryngringsavverkning</t>
        </is>
      </c>
      <c r="D29" s="1" t="n">
        <v>46141</v>
      </c>
      <c r="E29" s="1" t="n">
        <v>46223</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s="2" t="inlineStr">
        <is>
          <t>Kolflarnlav
Revlummer</t>
        </is>
      </c>
      <c r="V29">
        <f>HYPERLINK("https://klasma.github.io/Logging_1863/artfynd/A 20696-2026 artfynd.xlsx", "A 20696-2026")</f>
        <v/>
      </c>
      <c r="W29">
        <f>HYPERLINK("https://klasma.github.io/Logging_1863/kartor/A 20696-2026 karta.png", "A 20696-2026")</f>
        <v/>
      </c>
      <c r="X29">
        <f>HYPERLINK("https://klasma.github.io/Logging_1863/kartor_geotiff/A 20696-2026 georefererad karta.tif", "A 20696-2026")</f>
        <v/>
      </c>
      <c r="Z29">
        <f>HYPERLINK("https://klasma.github.io/Logging_1863/klagomål/A 20696-2026 FSC-klagomål.docx", "A 20696-2026")</f>
        <v/>
      </c>
      <c r="AA29">
        <f>HYPERLINK("https://klasma.github.io/Logging_1863/klagomålsmail/A 20696-2026 FSC-klagomål mail.docx", "A 20696-2026")</f>
        <v/>
      </c>
      <c r="AB29">
        <f>HYPERLINK("https://klasma.github.io/Logging_1863/tillsyn/A 20696-2026 tillsynsbegäran.docx", "A 20696-2026")</f>
        <v/>
      </c>
      <c r="AC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46223</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s="2" t="inlineStr">
        <is>
          <t>Vedskivlav
Spillkråka</t>
        </is>
      </c>
      <c r="V30">
        <f>HYPERLINK("https://klasma.github.io/Logging_1863/artfynd/A 20695-2026 artfynd.xlsx", "A 20695-2026")</f>
        <v/>
      </c>
      <c r="W30">
        <f>HYPERLINK("https://klasma.github.io/Logging_1863/kartor/A 20695-2026 karta.png", "A 20695-2026")</f>
        <v/>
      </c>
      <c r="X30">
        <f>HYPERLINK("https://klasma.github.io/Logging_1863/kartor_geotiff/A 20695-2026 georefererad karta.tif", "A 20695-2026")</f>
        <v/>
      </c>
      <c r="Z30">
        <f>HYPERLINK("https://klasma.github.io/Logging_1863/klagomål/A 20695-2026 FSC-klagomål.docx", "A 20695-2026")</f>
        <v/>
      </c>
      <c r="AA30">
        <f>HYPERLINK("https://klasma.github.io/Logging_1863/klagomålsmail/A 20695-2026 FSC-klagomål mail.docx", "A 20695-2026")</f>
        <v/>
      </c>
      <c r="AB30">
        <f>HYPERLINK("https://klasma.github.io/Logging_1863/tillsyn/A 20695-2026 tillsynsbegäran.docx", "A 20695-2026")</f>
        <v/>
      </c>
      <c r="AC30">
        <f>HYPERLINK("https://klasma.github.io/Logging_1863/tillsynsmail/A 20695-2026 tillsynsbegäran mail.docx", "A 20695-2026")</f>
        <v/>
      </c>
      <c r="AD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46223</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s="2" t="inlineStr">
        <is>
          <t>Mattlummer
Tjäder</t>
        </is>
      </c>
      <c r="V31">
        <f>HYPERLINK("https://klasma.github.io/Logging_1863/artfynd/A 22247-2026 artfynd.xlsx", "A 22247-2026")</f>
        <v/>
      </c>
      <c r="W31">
        <f>HYPERLINK("https://klasma.github.io/Logging_1863/kartor/A 22247-2026 karta.png", "A 22247-2026")</f>
        <v/>
      </c>
      <c r="X31">
        <f>HYPERLINK("https://klasma.github.io/Logging_1863/kartor_geotiff/A 22247-2026 georefererad karta.tif", "A 22247-2026")</f>
        <v/>
      </c>
      <c r="Z31">
        <f>HYPERLINK("https://klasma.github.io/Logging_1863/klagomål/A 22247-2026 FSC-klagomål.docx", "A 22247-2026")</f>
        <v/>
      </c>
      <c r="AA31">
        <f>HYPERLINK("https://klasma.github.io/Logging_1863/klagomålsmail/A 22247-2026 FSC-klagomål mail.docx", "A 22247-2026")</f>
        <v/>
      </c>
      <c r="AB31">
        <f>HYPERLINK("https://klasma.github.io/Logging_1863/tillsyn/A 22247-2026 tillsynsbegäran.docx", "A 22247-2026")</f>
        <v/>
      </c>
      <c r="AC31">
        <f>HYPERLINK("https://klasma.github.io/Logging_1863/tillsynsmail/A 22247-2026 tillsynsbegäran mail.docx", "A 22247-2026")</f>
        <v/>
      </c>
      <c r="AD31">
        <f>HYPERLINK("https://klasma.github.io/Logging_1863/fåglar/A 22247-2026 prioriterade fågelarter.docx", "A 22247-2026")</f>
        <v/>
      </c>
    </row>
    <row r="32" ht="15" customHeight="1">
      <c r="A32" t="inlineStr">
        <is>
          <t>A 39105-2024</t>
        </is>
      </c>
      <c r="B32" t="inlineStr">
        <is>
          <t>avverkningsanmälan</t>
        </is>
      </c>
      <c r="C32" t="inlineStr">
        <is>
          <t>Föryngringsavverkning</t>
        </is>
      </c>
      <c r="D32" s="1" t="n">
        <v>45548</v>
      </c>
      <c r="E32" s="1" t="n">
        <v>46223</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s="2" t="inlineStr">
        <is>
          <t>Trollsmultron
Brunag</t>
        </is>
      </c>
      <c r="V32">
        <f>HYPERLINK("https://klasma.github.io/Logging_1863/artfynd/A 39105-2024 artfynd.xlsx", "A 39105-2024")</f>
        <v/>
      </c>
      <c r="W32">
        <f>HYPERLINK("https://klasma.github.io/Logging_1863/kartor/A 39105-2024 karta.png", "A 39105-2024")</f>
        <v/>
      </c>
      <c r="X32">
        <f>HYPERLINK("https://klasma.github.io/Logging_1863/kartor_geotiff/A 39105-2024 georefererad karta.tif", "A 39105-2024")</f>
        <v/>
      </c>
      <c r="Z32">
        <f>HYPERLINK("https://klasma.github.io/Logging_1863/klagomål/A 39105-2024 FSC-klagomål.docx", "A 39105-2024")</f>
        <v/>
      </c>
      <c r="AA32">
        <f>HYPERLINK("https://klasma.github.io/Logging_1863/klagomålsmail/A 39105-2024 FSC-klagomål mail.docx", "A 39105-2024")</f>
        <v/>
      </c>
      <c r="AB32">
        <f>HYPERLINK("https://klasma.github.io/Logging_1863/tillsyn/A 39105-2024 tillsynsbegäran.docx", "A 39105-2024")</f>
        <v/>
      </c>
      <c r="AC32">
        <f>HYPERLINK("https://klasma.github.io/Logging_1863/tillsynsmail/A 39105-2024 tillsynsbegäran mail.docx", "A 39105-2024")</f>
        <v/>
      </c>
    </row>
    <row r="33" ht="15" customHeight="1">
      <c r="A33" t="inlineStr">
        <is>
          <t>A 23421-2026</t>
        </is>
      </c>
      <c r="B33" t="inlineStr">
        <is>
          <t>avverkningsanmälan</t>
        </is>
      </c>
      <c r="C33" t="inlineStr">
        <is>
          <t>Föryngringsavverkning</t>
        </is>
      </c>
      <c r="D33" s="1" t="n">
        <v>46163</v>
      </c>
      <c r="E33" s="1" t="n">
        <v>46223</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s="2" t="inlineStr">
        <is>
          <t>Bollvitmossa
Mattlummer</t>
        </is>
      </c>
      <c r="V33">
        <f>HYPERLINK("https://klasma.github.io/Logging_1863/artfynd/A 23421-2026 artfynd.xlsx", "A 23421-2026")</f>
        <v/>
      </c>
      <c r="W33">
        <f>HYPERLINK("https://klasma.github.io/Logging_1863/kartor/A 23421-2026 karta.png", "A 23421-2026")</f>
        <v/>
      </c>
      <c r="X33">
        <f>HYPERLINK("https://klasma.github.io/Logging_1863/kartor_geotiff/A 23421-2026 georefererad karta.tif", "A 23421-2026")</f>
        <v/>
      </c>
      <c r="Z33">
        <f>HYPERLINK("https://klasma.github.io/Logging_1863/klagomål/A 23421-2026 FSC-klagomål.docx", "A 23421-2026")</f>
        <v/>
      </c>
      <c r="AA33">
        <f>HYPERLINK("https://klasma.github.io/Logging_1863/klagomålsmail/A 23421-2026 FSC-klagomål mail.docx", "A 23421-2026")</f>
        <v/>
      </c>
      <c r="AB33">
        <f>HYPERLINK("https://klasma.github.io/Logging_1863/tillsyn/A 23421-2026 tillsynsbegäran.docx", "A 23421-2026")</f>
        <v/>
      </c>
      <c r="AC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46223</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s="2" t="inlineStr">
        <is>
          <t>Brunklöver
Plattlummer</t>
        </is>
      </c>
      <c r="V34">
        <f>HYPERLINK("https://klasma.github.io/Logging_1863/artfynd/A 41834-2023 artfynd.xlsx", "A 41834-2023")</f>
        <v/>
      </c>
      <c r="W34">
        <f>HYPERLINK("https://klasma.github.io/Logging_1863/kartor/A 41834-2023 karta.png", "A 41834-2023")</f>
        <v/>
      </c>
      <c r="X34">
        <f>HYPERLINK("https://klasma.github.io/Logging_1863/kartor_geotiff/A 41834-2023 georefererad karta.tif", "A 41834-2023")</f>
        <v/>
      </c>
      <c r="Z34">
        <f>HYPERLINK("https://klasma.github.io/Logging_1863/klagomål/A 41834-2023 FSC-klagomål.docx", "A 41834-2023")</f>
        <v/>
      </c>
      <c r="AA34">
        <f>HYPERLINK("https://klasma.github.io/Logging_1863/klagomålsmail/A 41834-2023 FSC-klagomål mail.docx", "A 41834-2023")</f>
        <v/>
      </c>
      <c r="AB34">
        <f>HYPERLINK("https://klasma.github.io/Logging_1863/tillsyn/A 41834-2023 tillsynsbegäran.docx", "A 41834-2023")</f>
        <v/>
      </c>
      <c r="AC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46223</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X35">
        <f>HYPERLINK("https://klasma.github.io/Logging_1863/kartor_geotiff/S 3341-2025 georefererad karta.tif", "S 3341-2025")</f>
        <v/>
      </c>
      <c r="Z35">
        <f>HYPERLINK("https://klasma.github.io/Logging_1863/klagomål/S 3341-2025 FSC-klagomål.docx", "S 3341-2025")</f>
        <v/>
      </c>
      <c r="AA35">
        <f>HYPERLINK("https://klasma.github.io/Logging_1863/klagomålsmail/S 3341-2025 FSC-klagomål mail.docx", "S 3341-2025")</f>
        <v/>
      </c>
      <c r="AB35">
        <f>HYPERLINK("https://klasma.github.io/Logging_1863/tillsyn/S 3341-2025 tillsynsbegäran.docx", "S 3341-2025")</f>
        <v/>
      </c>
      <c r="AC35">
        <f>HYPERLINK("https://klasma.github.io/Logging_1863/tillsynsmail/S 3341-2025 tillsynsbegäran mail.docx", "S 3341-2025")</f>
        <v/>
      </c>
      <c r="AD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46223</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X36">
        <f>HYPERLINK("https://klasma.github.io/Logging_1863/kartor_geotiff/A 46114-2021 georefererad karta.tif", "A 46114-2021")</f>
        <v/>
      </c>
      <c r="Z36">
        <f>HYPERLINK("https://klasma.github.io/Logging_1863/klagomål/A 46114-2021 FSC-klagomål.docx", "A 46114-2021")</f>
        <v/>
      </c>
      <c r="AA36">
        <f>HYPERLINK("https://klasma.github.io/Logging_1863/klagomålsmail/A 46114-2021 FSC-klagomål mail.docx", "A 46114-2021")</f>
        <v/>
      </c>
      <c r="AB36">
        <f>HYPERLINK("https://klasma.github.io/Logging_1863/tillsyn/A 46114-2021 tillsynsbegäran.docx", "A 46114-2021")</f>
        <v/>
      </c>
      <c r="AC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46223</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X37">
        <f>HYPERLINK("https://klasma.github.io/Logging_1863/kartor_geotiff/A 39540-2022 georefererad karta.tif", "A 39540-2022")</f>
        <v/>
      </c>
      <c r="Z37">
        <f>HYPERLINK("https://klasma.github.io/Logging_1863/klagomål/A 39540-2022 FSC-klagomål.docx", "A 39540-2022")</f>
        <v/>
      </c>
      <c r="AA37">
        <f>HYPERLINK("https://klasma.github.io/Logging_1863/klagomålsmail/A 39540-2022 FSC-klagomål mail.docx", "A 39540-2022")</f>
        <v/>
      </c>
      <c r="AB37">
        <f>HYPERLINK("https://klasma.github.io/Logging_1863/tillsyn/A 39540-2022 tillsynsbegäran.docx", "A 39540-2022")</f>
        <v/>
      </c>
      <c r="AC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46223</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X38">
        <f>HYPERLINK("https://klasma.github.io/Logging_1863/kartor_geotiff/A 56295-2021 georefererad karta.tif", "A 56295-2021")</f>
        <v/>
      </c>
      <c r="Z38">
        <f>HYPERLINK("https://klasma.github.io/Logging_1863/klagomål/A 56295-2021 FSC-klagomål.docx", "A 56295-2021")</f>
        <v/>
      </c>
      <c r="AA38">
        <f>HYPERLINK("https://klasma.github.io/Logging_1863/klagomålsmail/A 56295-2021 FSC-klagomål mail.docx", "A 56295-2021")</f>
        <v/>
      </c>
      <c r="AB38">
        <f>HYPERLINK("https://klasma.github.io/Logging_1863/tillsyn/A 56295-2021 tillsynsbegäran.docx", "A 56295-2021")</f>
        <v/>
      </c>
      <c r="AC38">
        <f>HYPERLINK("https://klasma.github.io/Logging_1863/tillsynsmail/A 56295-2021 tillsynsbegäran mail.docx", "A 56295-2021")</f>
        <v/>
      </c>
      <c r="AD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46223</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X39">
        <f>HYPERLINK("https://klasma.github.io/Logging_1863/kartor_geotiff/A 5025-2022 georefererad karta.tif", "A 5025-2022")</f>
        <v/>
      </c>
      <c r="Z39">
        <f>HYPERLINK("https://klasma.github.io/Logging_1863/klagomål/A 5025-2022 FSC-klagomål.docx", "A 5025-2022")</f>
        <v/>
      </c>
      <c r="AA39">
        <f>HYPERLINK("https://klasma.github.io/Logging_1863/klagomålsmail/A 5025-2022 FSC-klagomål mail.docx", "A 5025-2022")</f>
        <v/>
      </c>
      <c r="AB39">
        <f>HYPERLINK("https://klasma.github.io/Logging_1863/tillsyn/A 5025-2022 tillsynsbegäran.docx", "A 5025-2022")</f>
        <v/>
      </c>
      <c r="AC39">
        <f>HYPERLINK("https://klasma.github.io/Logging_1863/tillsynsmail/A 5025-2022 tillsynsbegäran mail.docx", "A 5025-2022")</f>
        <v/>
      </c>
      <c r="AD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46223</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s="2" t="inlineStr">
        <is>
          <t>Fläcknycklar</t>
        </is>
      </c>
      <c r="V40">
        <f>HYPERLINK("https://klasma.github.io/Logging_1863/artfynd/A 53892-2023 artfynd.xlsx", "A 53892-2023")</f>
        <v/>
      </c>
      <c r="W40">
        <f>HYPERLINK("https://klasma.github.io/Logging_1863/kartor/A 53892-2023 karta.png", "A 53892-2023")</f>
        <v/>
      </c>
      <c r="X40">
        <f>HYPERLINK("https://klasma.github.io/Logging_1863/kartor_geotiff/A 53892-2023 georefererad karta.tif", "A 53892-2023")</f>
        <v/>
      </c>
      <c r="Z40">
        <f>HYPERLINK("https://klasma.github.io/Logging_1863/klagomål/A 53892-2023 FSC-klagomål.docx", "A 53892-2023")</f>
        <v/>
      </c>
      <c r="AA40">
        <f>HYPERLINK("https://klasma.github.io/Logging_1863/klagomålsmail/A 53892-2023 FSC-klagomål mail.docx", "A 53892-2023")</f>
        <v/>
      </c>
      <c r="AB40">
        <f>HYPERLINK("https://klasma.github.io/Logging_1863/tillsyn/A 53892-2023 tillsynsbegäran.docx", "A 53892-2023")</f>
        <v/>
      </c>
      <c r="AC40">
        <f>HYPERLINK("https://klasma.github.io/Logging_1863/tillsynsmail/A 53892-2023 tillsynsbegäran mail.docx", "A 53892-2023")</f>
        <v/>
      </c>
    </row>
    <row r="41" ht="15" customHeight="1">
      <c r="A41" t="inlineStr">
        <is>
          <t>A 18889-2024</t>
        </is>
      </c>
      <c r="B41" t="inlineStr">
        <is>
          <t>avverkningsanmälan</t>
        </is>
      </c>
      <c r="C41" t="inlineStr">
        <is>
          <t>Föryngringsavverkning</t>
        </is>
      </c>
      <c r="D41" s="1" t="n">
        <v>45427</v>
      </c>
      <c r="E41" s="1" t="n">
        <v>46223</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s="2" t="inlineStr">
        <is>
          <t>Gröngöling</t>
        </is>
      </c>
      <c r="V41">
        <f>HYPERLINK("https://klasma.github.io/Logging_1863/artfynd/A 18889-2024 artfynd.xlsx", "A 18889-2024")</f>
        <v/>
      </c>
      <c r="W41">
        <f>HYPERLINK("https://klasma.github.io/Logging_1863/kartor/A 18889-2024 karta.png", "A 18889-2024")</f>
        <v/>
      </c>
      <c r="X41">
        <f>HYPERLINK("https://klasma.github.io/Logging_1863/kartor_geotiff/A 18889-2024 georefererad karta.tif", "A 18889-2024")</f>
        <v/>
      </c>
      <c r="Z41">
        <f>HYPERLINK("https://klasma.github.io/Logging_1863/klagomål/A 18889-2024 FSC-klagomål.docx", "A 18889-2024")</f>
        <v/>
      </c>
      <c r="AA41">
        <f>HYPERLINK("https://klasma.github.io/Logging_1863/klagomålsmail/A 18889-2024 FSC-klagomål mail.docx", "A 18889-2024")</f>
        <v/>
      </c>
      <c r="AB41">
        <f>HYPERLINK("https://klasma.github.io/Logging_1863/tillsyn/A 18889-2024 tillsynsbegäran.docx", "A 18889-2024")</f>
        <v/>
      </c>
      <c r="AC41">
        <f>HYPERLINK("https://klasma.github.io/Logging_1863/tillsynsmail/A 18889-2024 tillsynsbegäran mail.docx", "A 18889-2024")</f>
        <v/>
      </c>
    </row>
    <row r="42" ht="15" customHeight="1">
      <c r="A42" t="inlineStr">
        <is>
          <t>A 17350-2025</t>
        </is>
      </c>
      <c r="B42" t="inlineStr">
        <is>
          <t>avverkningsanmälan</t>
        </is>
      </c>
      <c r="C42" t="inlineStr">
        <is>
          <t>Föryngringsavverkning</t>
        </is>
      </c>
      <c r="D42" s="1" t="n">
        <v>45756</v>
      </c>
      <c r="E42" s="1" t="n">
        <v>46223</v>
      </c>
      <c r="F42" t="inlineStr">
        <is>
          <t>ÖREBRO LÄN</t>
        </is>
      </c>
      <c r="G42" t="inlineStr">
        <is>
          <t>HÄLLEFORS</t>
        </is>
      </c>
      <c r="H42" t="inlineStr">
        <is>
          <t>Bergvik skog väst AB</t>
        </is>
      </c>
      <c r="I42" t="n">
        <v>6.9</v>
      </c>
      <c r="J42" t="n">
        <v>1</v>
      </c>
      <c r="K42" t="n">
        <v>0</v>
      </c>
      <c r="L42" t="n">
        <v>0</v>
      </c>
      <c r="M42" t="n">
        <v>0</v>
      </c>
      <c r="N42" t="n">
        <v>0</v>
      </c>
      <c r="O42" t="n">
        <v>0</v>
      </c>
      <c r="P42" t="n">
        <v>0</v>
      </c>
      <c r="Q42" t="n">
        <v>0</v>
      </c>
      <c r="R42" t="n">
        <v>0</v>
      </c>
      <c r="S42" t="n">
        <v>1</v>
      </c>
      <c r="T42" t="n">
        <v>1</v>
      </c>
      <c r="U42" s="2" t="inlineStr">
        <is>
          <t>Smålom</t>
        </is>
      </c>
      <c r="V42">
        <f>HYPERLINK("https://klasma.github.io/Logging_1863/artfynd/A 17350-2025 artfynd.xlsx", "A 17350-2025")</f>
        <v/>
      </c>
      <c r="W42">
        <f>HYPERLINK("https://klasma.github.io/Logging_1863/kartor/A 17350-2025 karta.png", "A 17350-2025")</f>
        <v/>
      </c>
      <c r="X42">
        <f>HYPERLINK("https://klasma.github.io/Logging_1863/kartor_geotiff/A 17350-2025 georefererad karta.tif", "A 17350-2025")</f>
        <v/>
      </c>
      <c r="Z42">
        <f>HYPERLINK("https://klasma.github.io/Logging_1863/klagomål/A 17350-2025 FSC-klagomål.docx", "A 17350-2025")</f>
        <v/>
      </c>
      <c r="AA42">
        <f>HYPERLINK("https://klasma.github.io/Logging_1863/klagomålsmail/A 17350-2025 FSC-klagomål mail.docx", "A 17350-2025")</f>
        <v/>
      </c>
      <c r="AB42">
        <f>HYPERLINK("https://klasma.github.io/Logging_1863/tillsyn/A 17350-2025 tillsynsbegäran.docx", "A 17350-2025")</f>
        <v/>
      </c>
      <c r="AC42">
        <f>HYPERLINK("https://klasma.github.io/Logging_1863/tillsynsmail/A 17350-2025 tillsynsbegäran mail.docx", "A 17350-2025")</f>
        <v/>
      </c>
      <c r="AD42">
        <f>HYPERLINK("https://klasma.github.io/Logging_1863/fåglar/A 17350-2025 prioriterade fågelarter.docx", "A 17350-2025")</f>
        <v/>
      </c>
    </row>
    <row r="43" ht="15" customHeight="1">
      <c r="A43" t="inlineStr">
        <is>
          <t>A 28598-2024</t>
        </is>
      </c>
      <c r="B43" t="inlineStr">
        <is>
          <t>avverkningsanmälan</t>
        </is>
      </c>
      <c r="C43" t="inlineStr">
        <is>
          <t>Föryngringsavverkning</t>
        </is>
      </c>
      <c r="D43" s="1" t="n">
        <v>45478</v>
      </c>
      <c r="E43" s="1" t="n">
        <v>46223</v>
      </c>
      <c r="F43" t="inlineStr">
        <is>
          <t>ÖREBRO LÄN</t>
        </is>
      </c>
      <c r="G43" t="inlineStr">
        <is>
          <t>HÄLLEFORS</t>
        </is>
      </c>
      <c r="H43" t="inlineStr">
        <is>
          <t>Bergvik skog väst AB</t>
        </is>
      </c>
      <c r="I43" t="n">
        <v>11.3</v>
      </c>
      <c r="J43" t="n">
        <v>0</v>
      </c>
      <c r="K43" t="n">
        <v>0</v>
      </c>
      <c r="L43" t="n">
        <v>1</v>
      </c>
      <c r="M43" t="n">
        <v>0</v>
      </c>
      <c r="N43" t="n">
        <v>0</v>
      </c>
      <c r="O43" t="n">
        <v>0</v>
      </c>
      <c r="P43" t="n">
        <v>0</v>
      </c>
      <c r="Q43" t="n">
        <v>1</v>
      </c>
      <c r="R43" t="n">
        <v>0</v>
      </c>
      <c r="S43" t="n">
        <v>1</v>
      </c>
      <c r="T43" t="n">
        <v>1</v>
      </c>
      <c r="U43" s="2" t="inlineStr">
        <is>
          <t>Brunklöver</t>
        </is>
      </c>
      <c r="V43">
        <f>HYPERLINK("https://klasma.github.io/Logging_1863/artfynd/A 28598-2024 artfynd.xlsx", "A 28598-2024")</f>
        <v/>
      </c>
      <c r="W43">
        <f>HYPERLINK("https://klasma.github.io/Logging_1863/kartor/A 28598-2024 karta.png", "A 28598-2024")</f>
        <v/>
      </c>
      <c r="X43">
        <f>HYPERLINK("https://klasma.github.io/Logging_1863/kartor_geotiff/A 28598-2024 georefererad karta.tif", "A 28598-2024")</f>
        <v/>
      </c>
      <c r="Z43">
        <f>HYPERLINK("https://klasma.github.io/Logging_1863/klagomål/A 28598-2024 FSC-klagomål.docx", "A 28598-2024")</f>
        <v/>
      </c>
      <c r="AA43">
        <f>HYPERLINK("https://klasma.github.io/Logging_1863/klagomålsmail/A 28598-2024 FSC-klagomål mail.docx", "A 28598-2024")</f>
        <v/>
      </c>
      <c r="AB43">
        <f>HYPERLINK("https://klasma.github.io/Logging_1863/tillsyn/A 28598-2024 tillsynsbegäran.docx", "A 28598-2024")</f>
        <v/>
      </c>
      <c r="AC43">
        <f>HYPERLINK("https://klasma.github.io/Logging_1863/tillsynsmail/A 28598-2024 tillsynsbegäran mail.docx", "A 28598-2024")</f>
        <v/>
      </c>
    </row>
    <row r="44" ht="15" customHeight="1">
      <c r="A44" t="inlineStr">
        <is>
          <t>A 18048-2026</t>
        </is>
      </c>
      <c r="B44" t="inlineStr">
        <is>
          <t>avverkningsanmälan</t>
        </is>
      </c>
      <c r="C44" t="inlineStr">
        <is>
          <t>Föryngringsavverkning</t>
        </is>
      </c>
      <c r="D44" s="1" t="n">
        <v>46125</v>
      </c>
      <c r="E44" s="1" t="n">
        <v>46223</v>
      </c>
      <c r="F44" t="inlineStr">
        <is>
          <t>ÖREBRO LÄN</t>
        </is>
      </c>
      <c r="G44" t="inlineStr">
        <is>
          <t>HÄLLEFORS</t>
        </is>
      </c>
      <c r="H44" t="inlineStr">
        <is>
          <t>Sveaskog</t>
        </is>
      </c>
      <c r="I44" t="n">
        <v>1.2</v>
      </c>
      <c r="J44" t="n">
        <v>1</v>
      </c>
      <c r="K44" t="n">
        <v>0</v>
      </c>
      <c r="L44" t="n">
        <v>0</v>
      </c>
      <c r="M44" t="n">
        <v>0</v>
      </c>
      <c r="N44" t="n">
        <v>0</v>
      </c>
      <c r="O44" t="n">
        <v>0</v>
      </c>
      <c r="P44" t="n">
        <v>0</v>
      </c>
      <c r="Q44" t="n">
        <v>0</v>
      </c>
      <c r="R44" t="n">
        <v>0</v>
      </c>
      <c r="S44" t="n">
        <v>1</v>
      </c>
      <c r="T44" t="n">
        <v>1</v>
      </c>
      <c r="U44" s="2" t="inlineStr">
        <is>
          <t>Blåsippa</t>
        </is>
      </c>
      <c r="V44">
        <f>HYPERLINK("https://klasma.github.io/Logging_1863/artfynd/A 18048-2026 artfynd.xlsx", "A 18048-2026")</f>
        <v/>
      </c>
      <c r="W44">
        <f>HYPERLINK("https://klasma.github.io/Logging_1863/kartor/A 18048-2026 karta.png", "A 18048-2026")</f>
        <v/>
      </c>
      <c r="X44">
        <f>HYPERLINK("https://klasma.github.io/Logging_1863/kartor_geotiff/A 18048-2026 georefererad karta.tif", "A 18048-2026")</f>
        <v/>
      </c>
      <c r="Z44">
        <f>HYPERLINK("https://klasma.github.io/Logging_1863/klagomål/A 18048-2026 FSC-klagomål.docx", "A 18048-2026")</f>
        <v/>
      </c>
      <c r="AA44">
        <f>HYPERLINK("https://klasma.github.io/Logging_1863/klagomålsmail/A 18048-2026 FSC-klagomål mail.docx", "A 18048-2026")</f>
        <v/>
      </c>
      <c r="AB44">
        <f>HYPERLINK("https://klasma.github.io/Logging_1863/tillsyn/A 18048-2026 tillsynsbegäran.docx", "A 18048-2026")</f>
        <v/>
      </c>
      <c r="AC44">
        <f>HYPERLINK("https://klasma.github.io/Logging_1863/tillsynsmail/A 18048-2026 tillsynsbegäran mail.docx", "A 18048-2026")</f>
        <v/>
      </c>
    </row>
    <row r="45" ht="15" customHeight="1">
      <c r="A45" t="inlineStr">
        <is>
          <t>A 18050-2026</t>
        </is>
      </c>
      <c r="B45" t="inlineStr">
        <is>
          <t>avverkningsanmälan</t>
        </is>
      </c>
      <c r="C45" t="inlineStr">
        <is>
          <t>Föryngringsavverkning</t>
        </is>
      </c>
      <c r="D45" s="1" t="n">
        <v>46125</v>
      </c>
      <c r="E45" s="1" t="n">
        <v>46223</v>
      </c>
      <c r="F45" t="inlineStr">
        <is>
          <t>ÖREBRO LÄN</t>
        </is>
      </c>
      <c r="G45" t="inlineStr">
        <is>
          <t>HÄLLEFORS</t>
        </is>
      </c>
      <c r="H45" t="inlineStr">
        <is>
          <t>Sveaskog</t>
        </is>
      </c>
      <c r="I45" t="n">
        <v>10.2</v>
      </c>
      <c r="J45" t="n">
        <v>0</v>
      </c>
      <c r="K45" t="n">
        <v>0</v>
      </c>
      <c r="L45" t="n">
        <v>1</v>
      </c>
      <c r="M45" t="n">
        <v>0</v>
      </c>
      <c r="N45" t="n">
        <v>0</v>
      </c>
      <c r="O45" t="n">
        <v>0</v>
      </c>
      <c r="P45" t="n">
        <v>0</v>
      </c>
      <c r="Q45" t="n">
        <v>1</v>
      </c>
      <c r="R45" t="n">
        <v>0</v>
      </c>
      <c r="S45" t="n">
        <v>1</v>
      </c>
      <c r="T45" t="n">
        <v>1</v>
      </c>
      <c r="U45" s="2" t="inlineStr">
        <is>
          <t>Dofttaggsvamp</t>
        </is>
      </c>
      <c r="V45">
        <f>HYPERLINK("https://klasma.github.io/Logging_1863/artfynd/A 18050-2026 artfynd.xlsx", "A 18050-2026")</f>
        <v/>
      </c>
      <c r="W45">
        <f>HYPERLINK("https://klasma.github.io/Logging_1863/kartor/A 18050-2026 karta.png", "A 18050-2026")</f>
        <v/>
      </c>
      <c r="X45">
        <f>HYPERLINK("https://klasma.github.io/Logging_1863/kartor_geotiff/A 18050-2026 georefererad karta.tif", "A 18050-2026")</f>
        <v/>
      </c>
      <c r="Z45">
        <f>HYPERLINK("https://klasma.github.io/Logging_1863/klagomål/A 18050-2026 FSC-klagomål.docx", "A 18050-2026")</f>
        <v/>
      </c>
      <c r="AA45">
        <f>HYPERLINK("https://klasma.github.io/Logging_1863/klagomålsmail/A 18050-2026 FSC-klagomål mail.docx", "A 18050-2026")</f>
        <v/>
      </c>
      <c r="AB45">
        <f>HYPERLINK("https://klasma.github.io/Logging_1863/tillsyn/A 18050-2026 tillsynsbegäran.docx", "A 18050-2026")</f>
        <v/>
      </c>
      <c r="AC45">
        <f>HYPERLINK("https://klasma.github.io/Logging_1863/tillsynsmail/A 18050-2026 tillsynsbegäran mail.docx", "A 18050-2026")</f>
        <v/>
      </c>
    </row>
    <row r="46" ht="15" customHeight="1">
      <c r="A46" t="inlineStr">
        <is>
          <t>A 19948-2026</t>
        </is>
      </c>
      <c r="B46" t="inlineStr">
        <is>
          <t>avverkningsanmälan</t>
        </is>
      </c>
      <c r="C46" t="inlineStr">
        <is>
          <t>Föryngringsavverkning</t>
        </is>
      </c>
      <c r="D46" s="1" t="n">
        <v>46136</v>
      </c>
      <c r="E46" s="1" t="n">
        <v>46223</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s="2" t="inlineStr">
        <is>
          <t>Mattlummer</t>
        </is>
      </c>
      <c r="V46">
        <f>HYPERLINK("https://klasma.github.io/Logging_1863/artfynd/A 19948-2026 artfynd.xlsx", "A 19948-2026")</f>
        <v/>
      </c>
      <c r="W46">
        <f>HYPERLINK("https://klasma.github.io/Logging_1863/kartor/A 19948-2026 karta.png", "A 19948-2026")</f>
        <v/>
      </c>
      <c r="X46">
        <f>HYPERLINK("https://klasma.github.io/Logging_1863/kartor_geotiff/A 19948-2026 georefererad karta.tif", "A 19948-2026")</f>
        <v/>
      </c>
      <c r="Z46">
        <f>HYPERLINK("https://klasma.github.io/Logging_1863/klagomål/A 19948-2026 FSC-klagomål.docx", "A 19948-2026")</f>
        <v/>
      </c>
      <c r="AA46">
        <f>HYPERLINK("https://klasma.github.io/Logging_1863/klagomålsmail/A 19948-2026 FSC-klagomål mail.docx", "A 19948-2026")</f>
        <v/>
      </c>
      <c r="AB46">
        <f>HYPERLINK("https://klasma.github.io/Logging_1863/tillsyn/A 19948-2026 tillsynsbegäran.docx", "A 19948-2026")</f>
        <v/>
      </c>
      <c r="AC46">
        <f>HYPERLINK("https://klasma.github.io/Logging_1863/tillsynsmail/A 19948-2026 tillsynsbegäran mail.docx", "A 19948-2026")</f>
        <v/>
      </c>
    </row>
    <row r="47" ht="15" customHeight="1">
      <c r="A47" t="inlineStr">
        <is>
          <t>A 5244-2025</t>
        </is>
      </c>
      <c r="B47" t="inlineStr">
        <is>
          <t>avverkningsanmälan</t>
        </is>
      </c>
      <c r="C47" t="inlineStr">
        <is>
          <t>Föryngringsavverkning</t>
        </is>
      </c>
      <c r="D47" s="1" t="n">
        <v>45692</v>
      </c>
      <c r="E47" s="1" t="n">
        <v>46223</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s="2" t="inlineStr">
        <is>
          <t>Lunglav</t>
        </is>
      </c>
      <c r="V47">
        <f>HYPERLINK("https://klasma.github.io/Logging_1863/artfynd/A 5244-2025 artfynd.xlsx", "A 5244-2025")</f>
        <v/>
      </c>
      <c r="W47">
        <f>HYPERLINK("https://klasma.github.io/Logging_1863/kartor/A 5244-2025 karta.png", "A 5244-2025")</f>
        <v/>
      </c>
      <c r="X47">
        <f>HYPERLINK("https://klasma.github.io/Logging_1863/kartor_geotiff/A 5244-2025 georefererad karta.tif", "A 5244-2025")</f>
        <v/>
      </c>
      <c r="Z47">
        <f>HYPERLINK("https://klasma.github.io/Logging_1863/klagomål/A 5244-2025 FSC-klagomål.docx", "A 5244-2025")</f>
        <v/>
      </c>
      <c r="AA47">
        <f>HYPERLINK("https://klasma.github.io/Logging_1863/klagomålsmail/A 5244-2025 FSC-klagomål mail.docx", "A 5244-2025")</f>
        <v/>
      </c>
      <c r="AB47">
        <f>HYPERLINK("https://klasma.github.io/Logging_1863/tillsyn/A 5244-2025 tillsynsbegäran.docx", "A 5244-2025")</f>
        <v/>
      </c>
      <c r="AC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46223</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s="2" t="inlineStr">
        <is>
          <t>Strandlummer</t>
        </is>
      </c>
      <c r="V48">
        <f>HYPERLINK("https://klasma.github.io/Logging_1863/artfynd/A 16923-2025 artfynd.xlsx", "A 16923-2025")</f>
        <v/>
      </c>
      <c r="W48">
        <f>HYPERLINK("https://klasma.github.io/Logging_1863/kartor/A 16923-2025 karta.png", "A 16923-2025")</f>
        <v/>
      </c>
      <c r="X48">
        <f>HYPERLINK("https://klasma.github.io/Logging_1863/kartor_geotiff/A 16923-2025 georefererad karta.tif", "A 16923-2025")</f>
        <v/>
      </c>
      <c r="Z48">
        <f>HYPERLINK("https://klasma.github.io/Logging_1863/klagomål/A 16923-2025 FSC-klagomål.docx", "A 16923-2025")</f>
        <v/>
      </c>
      <c r="AA48">
        <f>HYPERLINK("https://klasma.github.io/Logging_1863/klagomålsmail/A 16923-2025 FSC-klagomål mail.docx", "A 16923-2025")</f>
        <v/>
      </c>
      <c r="AB48">
        <f>HYPERLINK("https://klasma.github.io/Logging_1863/tillsyn/A 16923-2025 tillsynsbegäran.docx", "A 16923-2025")</f>
        <v/>
      </c>
      <c r="AC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46223</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s="2" t="inlineStr">
        <is>
          <t>Motaggsvamp</t>
        </is>
      </c>
      <c r="V49">
        <f>HYPERLINK("https://klasma.github.io/Logging_1863/artfynd/A 20698-2026 artfynd.xlsx", "A 20698-2026")</f>
        <v/>
      </c>
      <c r="W49">
        <f>HYPERLINK("https://klasma.github.io/Logging_1863/kartor/A 20698-2026 karta.png", "A 20698-2026")</f>
        <v/>
      </c>
      <c r="X49">
        <f>HYPERLINK("https://klasma.github.io/Logging_1863/kartor_geotiff/A 20698-2026 georefererad karta.tif", "A 20698-2026")</f>
        <v/>
      </c>
      <c r="Z49">
        <f>HYPERLINK("https://klasma.github.io/Logging_1863/klagomål/A 20698-2026 FSC-klagomål.docx", "A 20698-2026")</f>
        <v/>
      </c>
      <c r="AA49">
        <f>HYPERLINK("https://klasma.github.io/Logging_1863/klagomålsmail/A 20698-2026 FSC-klagomål mail.docx", "A 20698-2026")</f>
        <v/>
      </c>
      <c r="AB49">
        <f>HYPERLINK("https://klasma.github.io/Logging_1863/tillsyn/A 20698-2026 tillsynsbegäran.docx", "A 20698-2026")</f>
        <v/>
      </c>
      <c r="AC49">
        <f>HYPERLINK("https://klasma.github.io/Logging_1863/tillsynsmail/A 20698-2026 tillsynsbegäran mail.docx", "A 20698-2026")</f>
        <v/>
      </c>
    </row>
    <row r="50" ht="15" customHeight="1">
      <c r="A50" t="inlineStr">
        <is>
          <t>A 27705-2026</t>
        </is>
      </c>
      <c r="B50" t="inlineStr">
        <is>
          <t>avverkningsanmälan</t>
        </is>
      </c>
      <c r="C50" t="inlineStr">
        <is>
          <t>Föryngringsavverkning</t>
        </is>
      </c>
      <c r="D50" s="1" t="n">
        <v>46190</v>
      </c>
      <c r="E50" s="1" t="n">
        <v>46223</v>
      </c>
      <c r="F50" t="inlineStr">
        <is>
          <t>ÖREBRO LÄN</t>
        </is>
      </c>
      <c r="G50" t="inlineStr">
        <is>
          <t>HÄLLEFORS</t>
        </is>
      </c>
      <c r="I50" t="n">
        <v>8.1</v>
      </c>
      <c r="J50" t="n">
        <v>0</v>
      </c>
      <c r="K50" t="n">
        <v>1</v>
      </c>
      <c r="L50" t="n">
        <v>0</v>
      </c>
      <c r="M50" t="n">
        <v>0</v>
      </c>
      <c r="N50" t="n">
        <v>0</v>
      </c>
      <c r="O50" t="n">
        <v>0</v>
      </c>
      <c r="P50" t="n">
        <v>0</v>
      </c>
      <c r="Q50" t="n">
        <v>0</v>
      </c>
      <c r="R50" t="n">
        <v>0</v>
      </c>
      <c r="S50" t="n">
        <v>1</v>
      </c>
      <c r="T50" t="n">
        <v>1</v>
      </c>
      <c r="U50" s="2" t="inlineStr">
        <is>
          <t>Toppvaxing</t>
        </is>
      </c>
      <c r="V50">
        <f>HYPERLINK("https://klasma.github.io/Logging_1863/artfynd/A 27705-2026 artfynd.xlsx", "A 27705-2026")</f>
        <v/>
      </c>
      <c r="W50">
        <f>HYPERLINK("https://klasma.github.io/Logging_1863/kartor/A 27705-2026 karta.png", "A 27705-2026")</f>
        <v/>
      </c>
      <c r="X50">
        <f>HYPERLINK("https://klasma.github.io/Logging_1863/kartor_geotiff/A 27705-2026 georefererad karta.tif", "A 27705-2026")</f>
        <v/>
      </c>
      <c r="Z50">
        <f>HYPERLINK("https://klasma.github.io/Logging_1863/klagomål/A 27705-2026 FSC-klagomål.docx", "A 27705-2026")</f>
        <v/>
      </c>
      <c r="AA50">
        <f>HYPERLINK("https://klasma.github.io/Logging_1863/klagomålsmail/A 27705-2026 FSC-klagomål mail.docx", "A 27705-2026")</f>
        <v/>
      </c>
      <c r="AB50">
        <f>HYPERLINK("https://klasma.github.io/Logging_1863/tillsyn/A 27705-2026 tillsynsbegäran.docx", "A 27705-2026")</f>
        <v/>
      </c>
      <c r="AC50">
        <f>HYPERLINK("https://klasma.github.io/Logging_1863/tillsynsmail/A 27705-2026 tillsynsbegäran mail.docx", "A 27705-2026")</f>
        <v/>
      </c>
    </row>
    <row r="51" ht="15" customHeight="1">
      <c r="A51" t="inlineStr">
        <is>
          <t>A 22249-2026</t>
        </is>
      </c>
      <c r="B51" t="inlineStr">
        <is>
          <t>avverkningsanmälan</t>
        </is>
      </c>
      <c r="C51" t="inlineStr">
        <is>
          <t>Föryngringsavverkning</t>
        </is>
      </c>
      <c r="D51" s="1" t="n">
        <v>46154</v>
      </c>
      <c r="E51" s="1" t="n">
        <v>46223</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s="2" t="inlineStr">
        <is>
          <t>Garnlav</t>
        </is>
      </c>
      <c r="V51">
        <f>HYPERLINK("https://klasma.github.io/Logging_1863/artfynd/A 22249-2026 artfynd.xlsx", "A 22249-2026")</f>
        <v/>
      </c>
      <c r="W51">
        <f>HYPERLINK("https://klasma.github.io/Logging_1863/kartor/A 22249-2026 karta.png", "A 22249-2026")</f>
        <v/>
      </c>
      <c r="X51">
        <f>HYPERLINK("https://klasma.github.io/Logging_1863/kartor_geotiff/A 22249-2026 georefererad karta.tif", "A 22249-2026")</f>
        <v/>
      </c>
      <c r="Z51">
        <f>HYPERLINK("https://klasma.github.io/Logging_1863/klagomål/A 22249-2026 FSC-klagomål.docx", "A 22249-2026")</f>
        <v/>
      </c>
      <c r="AA51">
        <f>HYPERLINK("https://klasma.github.io/Logging_1863/klagomålsmail/A 22249-2026 FSC-klagomål mail.docx", "A 22249-2026")</f>
        <v/>
      </c>
      <c r="AB51">
        <f>HYPERLINK("https://klasma.github.io/Logging_1863/tillsyn/A 22249-2026 tillsynsbegäran.docx", "A 22249-2026")</f>
        <v/>
      </c>
      <c r="AC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46223</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s="2" t="inlineStr">
        <is>
          <t>Revlummer</t>
        </is>
      </c>
      <c r="V52">
        <f>HYPERLINK("https://klasma.github.io/Logging_1863/artfynd/A 22246-2026 artfynd.xlsx", "A 22246-2026")</f>
        <v/>
      </c>
      <c r="W52">
        <f>HYPERLINK("https://klasma.github.io/Logging_1863/kartor/A 22246-2026 karta.png", "A 22246-2026")</f>
        <v/>
      </c>
      <c r="X52">
        <f>HYPERLINK("https://klasma.github.io/Logging_1863/kartor_geotiff/A 22246-2026 georefererad karta.tif", "A 22246-2026")</f>
        <v/>
      </c>
      <c r="Z52">
        <f>HYPERLINK("https://klasma.github.io/Logging_1863/klagomål/A 22246-2026 FSC-klagomål.docx", "A 22246-2026")</f>
        <v/>
      </c>
      <c r="AA52">
        <f>HYPERLINK("https://klasma.github.io/Logging_1863/klagomålsmail/A 22246-2026 FSC-klagomål mail.docx", "A 22246-2026")</f>
        <v/>
      </c>
      <c r="AB52">
        <f>HYPERLINK("https://klasma.github.io/Logging_1863/tillsyn/A 22246-2026 tillsynsbegäran.docx", "A 22246-2026")</f>
        <v/>
      </c>
      <c r="AC52">
        <f>HYPERLINK("https://klasma.github.io/Logging_1863/tillsynsmail/A 22246-2026 tillsynsbegäran mail.docx", "A 22246-2026")</f>
        <v/>
      </c>
    </row>
    <row r="53" ht="15" customHeight="1">
      <c r="A53" t="inlineStr">
        <is>
          <t>A 23423-2026</t>
        </is>
      </c>
      <c r="B53" t="inlineStr">
        <is>
          <t>avverkningsanmälan</t>
        </is>
      </c>
      <c r="C53" t="inlineStr">
        <is>
          <t>Föryngringsavverkning</t>
        </is>
      </c>
      <c r="D53" s="1" t="n">
        <v>46163</v>
      </c>
      <c r="E53" s="1" t="n">
        <v>46223</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s="2" t="inlineStr">
        <is>
          <t>Revlummer</t>
        </is>
      </c>
      <c r="V53">
        <f>HYPERLINK("https://klasma.github.io/Logging_1863/artfynd/A 23423-2026 artfynd.xlsx", "A 23423-2026")</f>
        <v/>
      </c>
      <c r="W53">
        <f>HYPERLINK("https://klasma.github.io/Logging_1863/kartor/A 23423-2026 karta.png", "A 23423-2026")</f>
        <v/>
      </c>
      <c r="X53">
        <f>HYPERLINK("https://klasma.github.io/Logging_1863/kartor_geotiff/A 23423-2026 georefererad karta.tif", "A 23423-2026")</f>
        <v/>
      </c>
      <c r="Z53">
        <f>HYPERLINK("https://klasma.github.io/Logging_1863/klagomål/A 23423-2026 FSC-klagomål.docx", "A 23423-2026")</f>
        <v/>
      </c>
      <c r="AA53">
        <f>HYPERLINK("https://klasma.github.io/Logging_1863/klagomålsmail/A 23423-2026 FSC-klagomål mail.docx", "A 23423-2026")</f>
        <v/>
      </c>
      <c r="AB53">
        <f>HYPERLINK("https://klasma.github.io/Logging_1863/tillsyn/A 23423-2026 tillsynsbegäran.docx", "A 23423-2026")</f>
        <v/>
      </c>
      <c r="AC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46223</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s="2" t="inlineStr">
        <is>
          <t>Gropticka</t>
        </is>
      </c>
      <c r="V54">
        <f>HYPERLINK("https://klasma.github.io/Logging_1863/artfynd/A 57421-2025 artfynd.xlsx", "A 57421-2025")</f>
        <v/>
      </c>
      <c r="W54">
        <f>HYPERLINK("https://klasma.github.io/Logging_1863/kartor/A 57421-2025 karta.png", "A 57421-2025")</f>
        <v/>
      </c>
      <c r="X54">
        <f>HYPERLINK("https://klasma.github.io/Logging_1863/kartor_geotiff/A 57421-2025 georefererad karta.tif", "A 57421-2025")</f>
        <v/>
      </c>
      <c r="Z54">
        <f>HYPERLINK("https://klasma.github.io/Logging_1863/klagomål/A 57421-2025 FSC-klagomål.docx", "A 57421-2025")</f>
        <v/>
      </c>
      <c r="AA54">
        <f>HYPERLINK("https://klasma.github.io/Logging_1863/klagomålsmail/A 57421-2025 FSC-klagomål mail.docx", "A 57421-2025")</f>
        <v/>
      </c>
      <c r="AB54">
        <f>HYPERLINK("https://klasma.github.io/Logging_1863/tillsyn/A 57421-2025 tillsynsbegäran.docx", "A 57421-2025")</f>
        <v/>
      </c>
      <c r="AC54">
        <f>HYPERLINK("https://klasma.github.io/Logging_1863/tillsynsmail/A 57421-2025 tillsynsbegäran mail.docx", "A 57421-2025")</f>
        <v/>
      </c>
    </row>
    <row r="55" ht="15" customHeight="1">
      <c r="A55" t="inlineStr">
        <is>
          <t>A 45694-2023</t>
        </is>
      </c>
      <c r="B55" t="inlineStr">
        <is>
          <t>avverkningsanmälan</t>
        </is>
      </c>
      <c r="C55" t="inlineStr">
        <is>
          <t>Föryngringsavverkning</t>
        </is>
      </c>
      <c r="D55" s="1" t="n">
        <v>45195</v>
      </c>
      <c r="E55" s="1" t="n">
        <v>46223</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s="2" t="inlineStr">
        <is>
          <t>Kopparödla</t>
        </is>
      </c>
      <c r="V55">
        <f>HYPERLINK("https://klasma.github.io/Logging_1863/artfynd/A 45694-2023 artfynd.xlsx", "A 45694-2023")</f>
        <v/>
      </c>
      <c r="W55">
        <f>HYPERLINK("https://klasma.github.io/Logging_1863/kartor/A 45694-2023 karta.png", "A 45694-2023")</f>
        <v/>
      </c>
      <c r="X55">
        <f>HYPERLINK("https://klasma.github.io/Logging_1863/kartor_geotiff/A 45694-2023 georefererad karta.tif", "A 45694-2023")</f>
        <v/>
      </c>
      <c r="Z55">
        <f>HYPERLINK("https://klasma.github.io/Logging_1863/klagomål/A 45694-2023 FSC-klagomål.docx", "A 45694-2023")</f>
        <v/>
      </c>
      <c r="AA55">
        <f>HYPERLINK("https://klasma.github.io/Logging_1863/klagomålsmail/A 45694-2023 FSC-klagomål mail.docx", "A 45694-2023")</f>
        <v/>
      </c>
      <c r="AB55">
        <f>HYPERLINK("https://klasma.github.io/Logging_1863/tillsyn/A 45694-2023 tillsynsbegäran.docx", "A 45694-2023")</f>
        <v/>
      </c>
      <c r="AC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46223</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s="2" t="inlineStr">
        <is>
          <t>Mattlummer</t>
        </is>
      </c>
      <c r="V56">
        <f>HYPERLINK("https://klasma.github.io/Logging_1863/artfynd/A 39178-2022 artfynd.xlsx", "A 39178-2022")</f>
        <v/>
      </c>
      <c r="W56">
        <f>HYPERLINK("https://klasma.github.io/Logging_1863/kartor/A 39178-2022 karta.png", "A 39178-2022")</f>
        <v/>
      </c>
      <c r="X56">
        <f>HYPERLINK("https://klasma.github.io/Logging_1863/kartor_geotiff/A 39178-2022 georefererad karta.tif", "A 39178-2022")</f>
        <v/>
      </c>
      <c r="Z56">
        <f>HYPERLINK("https://klasma.github.io/Logging_1863/klagomål/A 39178-2022 FSC-klagomål.docx", "A 39178-2022")</f>
        <v/>
      </c>
      <c r="AA56">
        <f>HYPERLINK("https://klasma.github.io/Logging_1863/klagomålsmail/A 39178-2022 FSC-klagomål mail.docx", "A 39178-2022")</f>
        <v/>
      </c>
      <c r="AB56">
        <f>HYPERLINK("https://klasma.github.io/Logging_1863/tillsyn/A 39178-2022 tillsynsbegäran.docx", "A 39178-2022")</f>
        <v/>
      </c>
      <c r="AC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46223</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s="2" t="inlineStr">
        <is>
          <t>Blek stjärnmossa</t>
        </is>
      </c>
      <c r="V57">
        <f>HYPERLINK("https://klasma.github.io/Logging_1863/artfynd/A 421-2025 artfynd.xlsx", "A 421-2025")</f>
        <v/>
      </c>
      <c r="W57">
        <f>HYPERLINK("https://klasma.github.io/Logging_1863/kartor/A 421-2025 karta.png", "A 421-2025")</f>
        <v/>
      </c>
      <c r="X57">
        <f>HYPERLINK("https://klasma.github.io/Logging_1863/kartor_geotiff/A 421-2025 georefererad karta.tif", "A 421-2025")</f>
        <v/>
      </c>
      <c r="Z57">
        <f>HYPERLINK("https://klasma.github.io/Logging_1863/klagomål/A 421-2025 FSC-klagomål.docx", "A 421-2025")</f>
        <v/>
      </c>
      <c r="AA57">
        <f>HYPERLINK("https://klasma.github.io/Logging_1863/klagomålsmail/A 421-2025 FSC-klagomål mail.docx", "A 421-2025")</f>
        <v/>
      </c>
      <c r="AB57">
        <f>HYPERLINK("https://klasma.github.io/Logging_1863/tillsyn/A 421-2025 tillsynsbegäran.docx", "A 421-2025")</f>
        <v/>
      </c>
      <c r="AC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46223</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s="2" t="inlineStr">
        <is>
          <t>Garnlav</t>
        </is>
      </c>
      <c r="V58">
        <f>HYPERLINK("https://klasma.github.io/Logging_1863/artfynd/A 55749-2024 artfynd.xlsx", "A 55749-2024")</f>
        <v/>
      </c>
      <c r="W58">
        <f>HYPERLINK("https://klasma.github.io/Logging_1863/kartor/A 55749-2024 karta.png", "A 55749-2024")</f>
        <v/>
      </c>
      <c r="X58">
        <f>HYPERLINK("https://klasma.github.io/Logging_1863/kartor_geotiff/A 55749-2024 georefererad karta.tif", "A 55749-2024")</f>
        <v/>
      </c>
      <c r="Z58">
        <f>HYPERLINK("https://klasma.github.io/Logging_1863/klagomål/A 55749-2024 FSC-klagomål.docx", "A 55749-2024")</f>
        <v/>
      </c>
      <c r="AA58">
        <f>HYPERLINK("https://klasma.github.io/Logging_1863/klagomålsmail/A 55749-2024 FSC-klagomål mail.docx", "A 55749-2024")</f>
        <v/>
      </c>
      <c r="AB58">
        <f>HYPERLINK("https://klasma.github.io/Logging_1863/tillsyn/A 55749-2024 tillsynsbegäran.docx", "A 55749-2024")</f>
        <v/>
      </c>
      <c r="AC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46223</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X59">
        <f>HYPERLINK("https://klasma.github.io/Logging_1863/kartor_geotiff/S 2038-2022 georefererad karta.tif", "S 2038-2022")</f>
        <v/>
      </c>
      <c r="Z59">
        <f>HYPERLINK("https://klasma.github.io/Logging_1863/klagomål/S 2038-2022 FSC-klagomål.docx", "S 2038-2022")</f>
        <v/>
      </c>
      <c r="AA59">
        <f>HYPERLINK("https://klasma.github.io/Logging_1863/klagomålsmail/S 2038-2022 FSC-klagomål mail.docx", "S 2038-2022")</f>
        <v/>
      </c>
      <c r="AB59">
        <f>HYPERLINK("https://klasma.github.io/Logging_1863/tillsyn/S 2038-2022 tillsynsbegäran.docx", "S 2038-2022")</f>
        <v/>
      </c>
      <c r="AC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46223</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X60">
        <f>HYPERLINK("https://klasma.github.io/Logging_1863/kartor_geotiff/S 1216-2026 georefererad karta.tif", "S 1216-2026")</f>
        <v/>
      </c>
      <c r="Z60">
        <f>HYPERLINK("https://klasma.github.io/Logging_1863/klagomål/S 1216-2026 FSC-klagomål.docx", "S 1216-2026")</f>
        <v/>
      </c>
      <c r="AA60">
        <f>HYPERLINK("https://klasma.github.io/Logging_1863/klagomålsmail/S 1216-2026 FSC-klagomål mail.docx", "S 1216-2026")</f>
        <v/>
      </c>
      <c r="AB60">
        <f>HYPERLINK("https://klasma.github.io/Logging_1863/tillsyn/S 1216-2026 tillsynsbegäran.docx", "S 1216-2026")</f>
        <v/>
      </c>
      <c r="AC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46223</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46223</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46223</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46223</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46223</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46223</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46223</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46223</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46223</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46223</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46223</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46223</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46223</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46223</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67780-2021</t>
        </is>
      </c>
      <c r="B75" t="inlineStr">
        <is>
          <t>avverkningsanmälan</t>
        </is>
      </c>
      <c r="C75" t="inlineStr">
        <is>
          <t>Föryngringsavverkning</t>
        </is>
      </c>
      <c r="D75" s="1" t="n">
        <v>44525</v>
      </c>
      <c r="E75" s="1" t="n">
        <v>46223</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s="2" t="inlineStr"/>
    </row>
    <row r="76" ht="15" customHeight="1">
      <c r="A76" t="inlineStr">
        <is>
          <t>A 48184-2022</t>
        </is>
      </c>
      <c r="B76" t="inlineStr">
        <is>
          <t>avverkningsanmälan</t>
        </is>
      </c>
      <c r="C76" t="inlineStr">
        <is>
          <t>Föryngringsavverkning</t>
        </is>
      </c>
      <c r="D76" s="1" t="n">
        <v>44858</v>
      </c>
      <c r="E76" s="1" t="n">
        <v>46223</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s="2" t="inlineStr"/>
    </row>
    <row r="77" ht="15" customHeight="1">
      <c r="A77" t="inlineStr">
        <is>
          <t>A 34313-2022</t>
        </is>
      </c>
      <c r="B77" t="inlineStr">
        <is>
          <t>avverkningsanmälan</t>
        </is>
      </c>
      <c r="C77" t="inlineStr">
        <is>
          <t>Föryngringsavverkning</t>
        </is>
      </c>
      <c r="D77" s="1" t="n">
        <v>44792</v>
      </c>
      <c r="E77" s="1" t="n">
        <v>46223</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s="2" t="inlineStr"/>
    </row>
    <row r="78" ht="15" customHeight="1">
      <c r="A78" t="inlineStr">
        <is>
          <t>A 38245-2022</t>
        </is>
      </c>
      <c r="B78" t="inlineStr">
        <is>
          <t>avverkningsanmälan</t>
        </is>
      </c>
      <c r="C78" t="inlineStr">
        <is>
          <t>Föryngringsavverkning</t>
        </is>
      </c>
      <c r="D78" s="1" t="n">
        <v>44812</v>
      </c>
      <c r="E78" s="1" t="n">
        <v>46223</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46223</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55299-2022</t>
        </is>
      </c>
      <c r="B80" t="inlineStr">
        <is>
          <t>avverkningsanmälan</t>
        </is>
      </c>
      <c r="C80" t="inlineStr">
        <is>
          <t>Föryngringsavverkning</t>
        </is>
      </c>
      <c r="D80" s="1" t="n">
        <v>44887</v>
      </c>
      <c r="E80" s="1" t="n">
        <v>46223</v>
      </c>
      <c r="F80" t="inlineStr">
        <is>
          <t>ÖREBRO LÄN</t>
        </is>
      </c>
      <c r="G80" t="inlineStr">
        <is>
          <t>HÄLLEFORS</t>
        </is>
      </c>
      <c r="H80" t="inlineStr">
        <is>
          <t>Bergvik skog väst AB</t>
        </is>
      </c>
      <c r="I80" t="n">
        <v>0.7</v>
      </c>
      <c r="J80" t="n">
        <v>0</v>
      </c>
      <c r="K80" t="n">
        <v>0</v>
      </c>
      <c r="L80" t="n">
        <v>0</v>
      </c>
      <c r="M80" t="n">
        <v>0</v>
      </c>
      <c r="N80" t="n">
        <v>0</v>
      </c>
      <c r="O80" t="n">
        <v>0</v>
      </c>
      <c r="P80" t="n">
        <v>0</v>
      </c>
      <c r="Q80" t="n">
        <v>0</v>
      </c>
      <c r="R80" t="n">
        <v>0</v>
      </c>
      <c r="S80" t="n">
        <v>0</v>
      </c>
      <c r="T80" t="n">
        <v>0</v>
      </c>
      <c r="U80" s="2" t="inlineStr"/>
    </row>
    <row r="81" ht="15" customHeight="1">
      <c r="A81" t="inlineStr">
        <is>
          <t>A 37783-2022</t>
        </is>
      </c>
      <c r="B81" t="inlineStr">
        <is>
          <t>avverkningsanmälan</t>
        </is>
      </c>
      <c r="C81" t="inlineStr">
        <is>
          <t>Föryngringsavverkning</t>
        </is>
      </c>
      <c r="D81" s="1" t="n">
        <v>44810</v>
      </c>
      <c r="E81" s="1" t="n">
        <v>46223</v>
      </c>
      <c r="F81" t="inlineStr">
        <is>
          <t>ÖREBRO LÄN</t>
        </is>
      </c>
      <c r="G81" t="inlineStr">
        <is>
          <t>HÄLLEFORS</t>
        </is>
      </c>
      <c r="I81" t="n">
        <v>14.1</v>
      </c>
      <c r="J81" t="n">
        <v>0</v>
      </c>
      <c r="K81" t="n">
        <v>0</v>
      </c>
      <c r="L81" t="n">
        <v>0</v>
      </c>
      <c r="M81" t="n">
        <v>0</v>
      </c>
      <c r="N81" t="n">
        <v>0</v>
      </c>
      <c r="O81" t="n">
        <v>0</v>
      </c>
      <c r="P81" t="n">
        <v>0</v>
      </c>
      <c r="Q81" t="n">
        <v>0</v>
      </c>
      <c r="R81" t="n">
        <v>0</v>
      </c>
      <c r="S81" t="n">
        <v>0</v>
      </c>
      <c r="T81" t="n">
        <v>0</v>
      </c>
      <c r="U81" s="2" t="inlineStr"/>
    </row>
    <row r="82" ht="15" customHeight="1">
      <c r="A82" t="inlineStr">
        <is>
          <t>A 67967-2021</t>
        </is>
      </c>
      <c r="B82" t="inlineStr">
        <is>
          <t>avverkningsanmälan</t>
        </is>
      </c>
      <c r="C82" t="inlineStr">
        <is>
          <t>Föryngringsavverkning</t>
        </is>
      </c>
      <c r="D82" s="1" t="n">
        <v>44525</v>
      </c>
      <c r="E82" s="1" t="n">
        <v>46223</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s="2" t="inlineStr"/>
    </row>
    <row r="83" ht="15" customHeight="1">
      <c r="A83" t="inlineStr">
        <is>
          <t>A 29062-2022</t>
        </is>
      </c>
      <c r="B83" t="inlineStr">
        <is>
          <t>avverkningsanmälan</t>
        </is>
      </c>
      <c r="C83" t="inlineStr">
        <is>
          <t>Föryngringsavverkning</t>
        </is>
      </c>
      <c r="D83" s="1" t="n">
        <v>44750</v>
      </c>
      <c r="E83" s="1" t="n">
        <v>46223</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s="2" t="inlineStr"/>
    </row>
    <row r="84" ht="15" customHeight="1">
      <c r="A84" t="inlineStr">
        <is>
          <t>A 29669-2022</t>
        </is>
      </c>
      <c r="B84" t="inlineStr">
        <is>
          <t>avverkningsanmälan</t>
        </is>
      </c>
      <c r="C84" t="inlineStr">
        <is>
          <t>Föryngringsavverkning</t>
        </is>
      </c>
      <c r="D84" s="1" t="n">
        <v>44754</v>
      </c>
      <c r="E84" s="1" t="n">
        <v>46223</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s="2" t="inlineStr"/>
    </row>
    <row r="85" ht="15" customHeight="1">
      <c r="A85" t="inlineStr">
        <is>
          <t>A 29665-2022</t>
        </is>
      </c>
      <c r="B85" t="inlineStr">
        <is>
          <t>avverkningsanmälan</t>
        </is>
      </c>
      <c r="C85" t="inlineStr">
        <is>
          <t>Föryngringsavverkning</t>
        </is>
      </c>
      <c r="D85" s="1" t="n">
        <v>44754</v>
      </c>
      <c r="E85" s="1" t="n">
        <v>46223</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s="2" t="inlineStr"/>
    </row>
    <row r="86" ht="15" customHeight="1">
      <c r="A86" t="inlineStr">
        <is>
          <t>A 4548-2022</t>
        </is>
      </c>
      <c r="B86" t="inlineStr">
        <is>
          <t>avverkningsanmälan</t>
        </is>
      </c>
      <c r="C86" t="inlineStr">
        <is>
          <t>Föryngringsavverkning</t>
        </is>
      </c>
      <c r="D86" s="1" t="n">
        <v>44590</v>
      </c>
      <c r="E86" s="1" t="n">
        <v>46223</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s="2" t="inlineStr"/>
    </row>
    <row r="87" ht="15" customHeight="1">
      <c r="A87" t="inlineStr">
        <is>
          <t>A 39183-2022</t>
        </is>
      </c>
      <c r="B87" t="inlineStr">
        <is>
          <t>avverkningsanmälan</t>
        </is>
      </c>
      <c r="C87" t="inlineStr">
        <is>
          <t>Föryngringsavverkning</t>
        </is>
      </c>
      <c r="D87" s="1" t="n">
        <v>44817</v>
      </c>
      <c r="E87" s="1" t="n">
        <v>46223</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s="2" t="inlineStr"/>
    </row>
    <row r="88" ht="15" customHeight="1">
      <c r="A88" t="inlineStr">
        <is>
          <t>A 8387-2022</t>
        </is>
      </c>
      <c r="B88" t="inlineStr">
        <is>
          <t>avverkningsanmälan</t>
        </is>
      </c>
      <c r="C88" t="inlineStr">
        <is>
          <t>Föryngringsavverkning</t>
        </is>
      </c>
      <c r="D88" s="1" t="n">
        <v>44610</v>
      </c>
      <c r="E88" s="1" t="n">
        <v>46223</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s="2" t="inlineStr"/>
    </row>
    <row r="89" ht="15" customHeight="1">
      <c r="A89" t="inlineStr">
        <is>
          <t>A 21801-2022</t>
        </is>
      </c>
      <c r="B89" t="inlineStr">
        <is>
          <t>avverkningsanmälan</t>
        </is>
      </c>
      <c r="C89" t="inlineStr">
        <is>
          <t>Föryngringsavverkning</t>
        </is>
      </c>
      <c r="D89" s="1" t="n">
        <v>44708</v>
      </c>
      <c r="E89" s="1" t="n">
        <v>46223</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s="2" t="inlineStr"/>
    </row>
    <row r="90" ht="15" customHeight="1">
      <c r="A90" t="inlineStr">
        <is>
          <t>A 30532-2022</t>
        </is>
      </c>
      <c r="B90" t="inlineStr">
        <is>
          <t>avverkningsanmälan</t>
        </is>
      </c>
      <c r="C90" t="inlineStr">
        <is>
          <t>Föryngringsavverkning</t>
        </is>
      </c>
      <c r="D90" s="1" t="n">
        <v>44762</v>
      </c>
      <c r="E90" s="1" t="n">
        <v>46223</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s="2" t="inlineStr"/>
    </row>
    <row r="91" ht="15" customHeight="1">
      <c r="A91" t="inlineStr">
        <is>
          <t>A 33609-2022</t>
        </is>
      </c>
      <c r="B91" t="inlineStr">
        <is>
          <t>avverkningsanmälan</t>
        </is>
      </c>
      <c r="C91" t="inlineStr">
        <is>
          <t>Föryngringsavverkning</t>
        </is>
      </c>
      <c r="D91" s="1" t="n">
        <v>44782</v>
      </c>
      <c r="E91" s="1" t="n">
        <v>46223</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s="2" t="inlineStr"/>
    </row>
    <row r="92" ht="15" customHeight="1">
      <c r="A92" t="inlineStr">
        <is>
          <t>A 51212-2023</t>
        </is>
      </c>
      <c r="B92" t="inlineStr">
        <is>
          <t>avverkningsanmälan</t>
        </is>
      </c>
      <c r="C92" t="inlineStr">
        <is>
          <t>Föryngringsavverkning</t>
        </is>
      </c>
      <c r="D92" s="1" t="n">
        <v>45219</v>
      </c>
      <c r="E92" s="1" t="n">
        <v>46223</v>
      </c>
      <c r="F92" t="inlineStr">
        <is>
          <t>ÖREBRO LÄN</t>
        </is>
      </c>
      <c r="G92" t="inlineStr">
        <is>
          <t>HÄLLEFORS</t>
        </is>
      </c>
      <c r="H92" t="inlineStr">
        <is>
          <t>Bergvik skog väst AB</t>
        </is>
      </c>
      <c r="I92" t="n">
        <v>2.3</v>
      </c>
      <c r="J92" t="n">
        <v>0</v>
      </c>
      <c r="K92" t="n">
        <v>0</v>
      </c>
      <c r="L92" t="n">
        <v>0</v>
      </c>
      <c r="M92" t="n">
        <v>0</v>
      </c>
      <c r="N92" t="n">
        <v>0</v>
      </c>
      <c r="O92" t="n">
        <v>0</v>
      </c>
      <c r="P92" t="n">
        <v>0</v>
      </c>
      <c r="Q92" t="n">
        <v>0</v>
      </c>
      <c r="R92" t="n">
        <v>0</v>
      </c>
      <c r="S92" t="n">
        <v>0</v>
      </c>
      <c r="T92" t="n">
        <v>0</v>
      </c>
      <c r="U92" s="2" t="inlineStr"/>
    </row>
    <row r="93" ht="15" customHeight="1">
      <c r="A93" t="inlineStr">
        <is>
          <t>A 54105-2023</t>
        </is>
      </c>
      <c r="B93" t="inlineStr">
        <is>
          <t>avverkningsanmälan</t>
        </is>
      </c>
      <c r="C93" t="inlineStr">
        <is>
          <t>Avverkning för annat ändamål</t>
        </is>
      </c>
      <c r="D93" s="1" t="n">
        <v>45232</v>
      </c>
      <c r="E93" s="1" t="n">
        <v>46223</v>
      </c>
      <c r="F93" t="inlineStr">
        <is>
          <t>ÖREBRO LÄN</t>
        </is>
      </c>
      <c r="G93" t="inlineStr">
        <is>
          <t>HÄLLEFORS</t>
        </is>
      </c>
      <c r="H93" t="inlineStr">
        <is>
          <t>Kommuner</t>
        </is>
      </c>
      <c r="I93" t="n">
        <v>0.9</v>
      </c>
      <c r="J93" t="n">
        <v>0</v>
      </c>
      <c r="K93" t="n">
        <v>0</v>
      </c>
      <c r="L93" t="n">
        <v>0</v>
      </c>
      <c r="M93" t="n">
        <v>0</v>
      </c>
      <c r="N93" t="n">
        <v>0</v>
      </c>
      <c r="O93" t="n">
        <v>0</v>
      </c>
      <c r="P93" t="n">
        <v>0</v>
      </c>
      <c r="Q93" t="n">
        <v>0</v>
      </c>
      <c r="R93" t="n">
        <v>0</v>
      </c>
      <c r="S93" t="n">
        <v>0</v>
      </c>
      <c r="T93" t="n">
        <v>0</v>
      </c>
      <c r="U93" s="2" t="inlineStr"/>
    </row>
    <row r="94" ht="15" customHeight="1">
      <c r="A94" t="inlineStr">
        <is>
          <t>A 51159-2023</t>
        </is>
      </c>
      <c r="B94" t="inlineStr">
        <is>
          <t>avverkningsanmälan</t>
        </is>
      </c>
      <c r="C94" t="inlineStr">
        <is>
          <t>Föryngringsavverkning</t>
        </is>
      </c>
      <c r="D94" s="1" t="n">
        <v>45219</v>
      </c>
      <c r="E94" s="1" t="n">
        <v>46223</v>
      </c>
      <c r="F94" t="inlineStr">
        <is>
          <t>ÖREBRO LÄN</t>
        </is>
      </c>
      <c r="G94" t="inlineStr">
        <is>
          <t>HÄLLEFORS</t>
        </is>
      </c>
      <c r="I94" t="n">
        <v>0.4</v>
      </c>
      <c r="J94" t="n">
        <v>0</v>
      </c>
      <c r="K94" t="n">
        <v>0</v>
      </c>
      <c r="L94" t="n">
        <v>0</v>
      </c>
      <c r="M94" t="n">
        <v>0</v>
      </c>
      <c r="N94" t="n">
        <v>0</v>
      </c>
      <c r="O94" t="n">
        <v>0</v>
      </c>
      <c r="P94" t="n">
        <v>0</v>
      </c>
      <c r="Q94" t="n">
        <v>0</v>
      </c>
      <c r="R94" t="n">
        <v>0</v>
      </c>
      <c r="S94" t="n">
        <v>0</v>
      </c>
      <c r="T94" t="n">
        <v>0</v>
      </c>
      <c r="U94" s="2" t="inlineStr"/>
    </row>
    <row r="95" ht="15" customHeight="1">
      <c r="A95" t="inlineStr">
        <is>
          <t>A 36635-2022</t>
        </is>
      </c>
      <c r="B95" t="inlineStr">
        <is>
          <t>avverkningsanmälan</t>
        </is>
      </c>
      <c r="C95" t="inlineStr">
        <is>
          <t>Föryngringsavverkning</t>
        </is>
      </c>
      <c r="D95" s="1" t="n">
        <v>44804</v>
      </c>
      <c r="E95" s="1" t="n">
        <v>46223</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s="2" t="inlineStr"/>
    </row>
    <row r="96" ht="15" customHeight="1">
      <c r="A96" t="inlineStr">
        <is>
          <t>A 55477-2023</t>
        </is>
      </c>
      <c r="B96" t="inlineStr">
        <is>
          <t>avverkningsanmälan</t>
        </is>
      </c>
      <c r="C96" t="inlineStr">
        <is>
          <t>Föryngringsavverkning</t>
        </is>
      </c>
      <c r="D96" s="1" t="n">
        <v>45238</v>
      </c>
      <c r="E96" s="1" t="n">
        <v>46223</v>
      </c>
      <c r="F96" t="inlineStr">
        <is>
          <t>ÖREBRO LÄN</t>
        </is>
      </c>
      <c r="G96" t="inlineStr">
        <is>
          <t>HÄLLEFORS</t>
        </is>
      </c>
      <c r="H96" t="inlineStr">
        <is>
          <t>Bergvik skog väst AB</t>
        </is>
      </c>
      <c r="I96" t="n">
        <v>6.6</v>
      </c>
      <c r="J96" t="n">
        <v>0</v>
      </c>
      <c r="K96" t="n">
        <v>0</v>
      </c>
      <c r="L96" t="n">
        <v>0</v>
      </c>
      <c r="M96" t="n">
        <v>0</v>
      </c>
      <c r="N96" t="n">
        <v>0</v>
      </c>
      <c r="O96" t="n">
        <v>0</v>
      </c>
      <c r="P96" t="n">
        <v>0</v>
      </c>
      <c r="Q96" t="n">
        <v>0</v>
      </c>
      <c r="R96" t="n">
        <v>0</v>
      </c>
      <c r="S96" t="n">
        <v>0</v>
      </c>
      <c r="T96" t="n">
        <v>0</v>
      </c>
      <c r="U96" s="2" t="inlineStr"/>
    </row>
    <row r="97" ht="15" customHeight="1">
      <c r="A97" t="inlineStr">
        <is>
          <t>A 42863-2022</t>
        </is>
      </c>
      <c r="B97" t="inlineStr">
        <is>
          <t>avverkningsanmälan</t>
        </is>
      </c>
      <c r="C97" t="inlineStr">
        <is>
          <t>Föryngringsavverkning</t>
        </is>
      </c>
      <c r="D97" s="1" t="n">
        <v>44832</v>
      </c>
      <c r="E97" s="1" t="n">
        <v>46223</v>
      </c>
      <c r="F97" t="inlineStr">
        <is>
          <t>ÖREBRO LÄN</t>
        </is>
      </c>
      <c r="G97" t="inlineStr">
        <is>
          <t>HÄLLEFORS</t>
        </is>
      </c>
      <c r="I97" t="n">
        <v>7.2</v>
      </c>
      <c r="J97" t="n">
        <v>0</v>
      </c>
      <c r="K97" t="n">
        <v>0</v>
      </c>
      <c r="L97" t="n">
        <v>0</v>
      </c>
      <c r="M97" t="n">
        <v>0</v>
      </c>
      <c r="N97" t="n">
        <v>0</v>
      </c>
      <c r="O97" t="n">
        <v>0</v>
      </c>
      <c r="P97" t="n">
        <v>0</v>
      </c>
      <c r="Q97" t="n">
        <v>0</v>
      </c>
      <c r="R97" t="n">
        <v>0</v>
      </c>
      <c r="S97" t="n">
        <v>0</v>
      </c>
      <c r="T97" t="n">
        <v>0</v>
      </c>
      <c r="U97" s="2" t="inlineStr"/>
    </row>
    <row r="98" ht="15" customHeight="1">
      <c r="A98" t="inlineStr">
        <is>
          <t>A 17120-2025</t>
        </is>
      </c>
      <c r="B98" t="inlineStr">
        <is>
          <t>avverkningsanmälan</t>
        </is>
      </c>
      <c r="C98" t="inlineStr">
        <is>
          <t>Föryngringsavverkning</t>
        </is>
      </c>
      <c r="D98" s="1" t="n">
        <v>45755</v>
      </c>
      <c r="E98" s="1" t="n">
        <v>46223</v>
      </c>
      <c r="F98" t="inlineStr">
        <is>
          <t>ÖREBRO LÄN</t>
        </is>
      </c>
      <c r="G98" t="inlineStr">
        <is>
          <t>HÄLLEFORS</t>
        </is>
      </c>
      <c r="H98" t="inlineStr">
        <is>
          <t>Bergvik skog väst AB</t>
        </is>
      </c>
      <c r="I98" t="n">
        <v>1.1</v>
      </c>
      <c r="J98" t="n">
        <v>0</v>
      </c>
      <c r="K98" t="n">
        <v>0</v>
      </c>
      <c r="L98" t="n">
        <v>0</v>
      </c>
      <c r="M98" t="n">
        <v>0</v>
      </c>
      <c r="N98" t="n">
        <v>0</v>
      </c>
      <c r="O98" t="n">
        <v>0</v>
      </c>
      <c r="P98" t="n">
        <v>0</v>
      </c>
      <c r="Q98" t="n">
        <v>0</v>
      </c>
      <c r="R98" t="n">
        <v>0</v>
      </c>
      <c r="S98" t="n">
        <v>0</v>
      </c>
      <c r="T98" t="n">
        <v>0</v>
      </c>
      <c r="U98" s="2" t="inlineStr"/>
    </row>
    <row r="99" ht="15" customHeight="1">
      <c r="A99" t="inlineStr">
        <is>
          <t>A 40530-2022</t>
        </is>
      </c>
      <c r="B99" t="inlineStr">
        <is>
          <t>avverkningsanmälan</t>
        </is>
      </c>
      <c r="C99" t="inlineStr">
        <is>
          <t>Föryngringsavverkning</t>
        </is>
      </c>
      <c r="D99" s="1" t="n">
        <v>44823</v>
      </c>
      <c r="E99" s="1" t="n">
        <v>46223</v>
      </c>
      <c r="F99" t="inlineStr">
        <is>
          <t>ÖREBRO LÄN</t>
        </is>
      </c>
      <c r="G99" t="inlineStr">
        <is>
          <t>HÄLLEFORS</t>
        </is>
      </c>
      <c r="I99" t="n">
        <v>0.6</v>
      </c>
      <c r="J99" t="n">
        <v>0</v>
      </c>
      <c r="K99" t="n">
        <v>0</v>
      </c>
      <c r="L99" t="n">
        <v>0</v>
      </c>
      <c r="M99" t="n">
        <v>0</v>
      </c>
      <c r="N99" t="n">
        <v>0</v>
      </c>
      <c r="O99" t="n">
        <v>0</v>
      </c>
      <c r="P99" t="n">
        <v>0</v>
      </c>
      <c r="Q99" t="n">
        <v>0</v>
      </c>
      <c r="R99" t="n">
        <v>0</v>
      </c>
      <c r="S99" t="n">
        <v>0</v>
      </c>
      <c r="T99" t="n">
        <v>0</v>
      </c>
      <c r="U99" s="2" t="inlineStr"/>
    </row>
    <row r="100" ht="15" customHeight="1">
      <c r="A100" t="inlineStr">
        <is>
          <t>A 35243-2022</t>
        </is>
      </c>
      <c r="B100" t="inlineStr">
        <is>
          <t>avverkningsanmälan</t>
        </is>
      </c>
      <c r="C100" t="inlineStr">
        <is>
          <t>Föryngringsavverkning</t>
        </is>
      </c>
      <c r="D100" s="1" t="n">
        <v>44798</v>
      </c>
      <c r="E100" s="1" t="n">
        <v>46223</v>
      </c>
      <c r="F100" t="inlineStr">
        <is>
          <t>ÖREBRO LÄN</t>
        </is>
      </c>
      <c r="G100" t="inlineStr">
        <is>
          <t>HÄLLEFORS</t>
        </is>
      </c>
      <c r="H100" t="inlineStr">
        <is>
          <t>Bergvik skog väst AB</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35862-2024</t>
        </is>
      </c>
      <c r="B101" t="inlineStr">
        <is>
          <t>avverkningsanmälan</t>
        </is>
      </c>
      <c r="C101" t="inlineStr">
        <is>
          <t>Föryngringsavverkning</t>
        </is>
      </c>
      <c r="D101" s="1" t="n">
        <v>45533</v>
      </c>
      <c r="E101" s="1" t="n">
        <v>46223</v>
      </c>
      <c r="F101" t="inlineStr">
        <is>
          <t>ÖREBRO LÄN</t>
        </is>
      </c>
      <c r="G101" t="inlineStr">
        <is>
          <t>HÄLLEFORS</t>
        </is>
      </c>
      <c r="H101" t="inlineStr">
        <is>
          <t>Bergvik skog väst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37027-2022</t>
        </is>
      </c>
      <c r="B102" t="inlineStr">
        <is>
          <t>avverkningsanmälan</t>
        </is>
      </c>
      <c r="C102" t="inlineStr">
        <is>
          <t>Föryngringsavverkning</t>
        </is>
      </c>
      <c r="D102" s="1" t="n">
        <v>44806</v>
      </c>
      <c r="E102" s="1" t="n">
        <v>46223</v>
      </c>
      <c r="F102" t="inlineStr">
        <is>
          <t>ÖREBRO LÄN</t>
        </is>
      </c>
      <c r="G102" t="inlineStr">
        <is>
          <t>HÄLLEFORS</t>
        </is>
      </c>
      <c r="H102" t="inlineStr">
        <is>
          <t>Bergvik skog väst AB</t>
        </is>
      </c>
      <c r="I102" t="n">
        <v>3.4</v>
      </c>
      <c r="J102" t="n">
        <v>0</v>
      </c>
      <c r="K102" t="n">
        <v>0</v>
      </c>
      <c r="L102" t="n">
        <v>0</v>
      </c>
      <c r="M102" t="n">
        <v>0</v>
      </c>
      <c r="N102" t="n">
        <v>0</v>
      </c>
      <c r="O102" t="n">
        <v>0</v>
      </c>
      <c r="P102" t="n">
        <v>0</v>
      </c>
      <c r="Q102" t="n">
        <v>0</v>
      </c>
      <c r="R102" t="n">
        <v>0</v>
      </c>
      <c r="S102" t="n">
        <v>0</v>
      </c>
      <c r="T102" t="n">
        <v>0</v>
      </c>
      <c r="U102" s="2" t="inlineStr"/>
    </row>
    <row r="103" ht="15" customHeight="1">
      <c r="A103" t="inlineStr">
        <is>
          <t>A 44107-2024</t>
        </is>
      </c>
      <c r="B103" t="inlineStr">
        <is>
          <t>avverkningsanmälan</t>
        </is>
      </c>
      <c r="C103" t="inlineStr">
        <is>
          <t>Föryngringsavverkning</t>
        </is>
      </c>
      <c r="D103" s="1" t="n">
        <v>45572</v>
      </c>
      <c r="E103" s="1" t="n">
        <v>46223</v>
      </c>
      <c r="F103" t="inlineStr">
        <is>
          <t>ÖREBRO LÄN</t>
        </is>
      </c>
      <c r="G103" t="inlineStr">
        <is>
          <t>HÄLLEFORS</t>
        </is>
      </c>
      <c r="H103" t="inlineStr">
        <is>
          <t>Bergvik skog väst AB</t>
        </is>
      </c>
      <c r="I103" t="n">
        <v>4.9</v>
      </c>
      <c r="J103" t="n">
        <v>0</v>
      </c>
      <c r="K103" t="n">
        <v>0</v>
      </c>
      <c r="L103" t="n">
        <v>0</v>
      </c>
      <c r="M103" t="n">
        <v>0</v>
      </c>
      <c r="N103" t="n">
        <v>0</v>
      </c>
      <c r="O103" t="n">
        <v>0</v>
      </c>
      <c r="P103" t="n">
        <v>0</v>
      </c>
      <c r="Q103" t="n">
        <v>0</v>
      </c>
      <c r="R103" t="n">
        <v>0</v>
      </c>
      <c r="S103" t="n">
        <v>0</v>
      </c>
      <c r="T103" t="n">
        <v>0</v>
      </c>
      <c r="U103" s="2" t="inlineStr"/>
    </row>
    <row r="104" ht="15" customHeight="1">
      <c r="A104" t="inlineStr">
        <is>
          <t>A 41089-2022</t>
        </is>
      </c>
      <c r="B104" t="inlineStr">
        <is>
          <t>avverkningsanmälan</t>
        </is>
      </c>
      <c r="C104" t="inlineStr">
        <is>
          <t>Föryngringsavverkning</t>
        </is>
      </c>
      <c r="D104" s="1" t="n">
        <v>44825</v>
      </c>
      <c r="E104" s="1" t="n">
        <v>46223</v>
      </c>
      <c r="F104" t="inlineStr">
        <is>
          <t>ÖREBRO LÄN</t>
        </is>
      </c>
      <c r="G104" t="inlineStr">
        <is>
          <t>HÄLLEFORS</t>
        </is>
      </c>
      <c r="H104" t="inlineStr">
        <is>
          <t>Sveaskog</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23036-2024</t>
        </is>
      </c>
      <c r="B105" t="inlineStr">
        <is>
          <t>avverkningsanmälan</t>
        </is>
      </c>
      <c r="C105" t="inlineStr">
        <is>
          <t>Föryngringsavverkning</t>
        </is>
      </c>
      <c r="D105" s="1" t="n">
        <v>45450</v>
      </c>
      <c r="E105" s="1" t="n">
        <v>46223</v>
      </c>
      <c r="F105" t="inlineStr">
        <is>
          <t>ÖREBRO LÄN</t>
        </is>
      </c>
      <c r="G105" t="inlineStr">
        <is>
          <t>HÄLLEFORS</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5657-2024</t>
        </is>
      </c>
      <c r="B106" t="inlineStr">
        <is>
          <t>avverkningsanmälan</t>
        </is>
      </c>
      <c r="C106" t="inlineStr">
        <is>
          <t>Föryngringsavverkning</t>
        </is>
      </c>
      <c r="D106" s="1" t="n">
        <v>45334</v>
      </c>
      <c r="E106" s="1" t="n">
        <v>46223</v>
      </c>
      <c r="F106" t="inlineStr">
        <is>
          <t>ÖREBRO LÄN</t>
        </is>
      </c>
      <c r="G106" t="inlineStr">
        <is>
          <t>HÄLLEFORS</t>
        </is>
      </c>
      <c r="I106" t="n">
        <v>0.3</v>
      </c>
      <c r="J106" t="n">
        <v>0</v>
      </c>
      <c r="K106" t="n">
        <v>0</v>
      </c>
      <c r="L106" t="n">
        <v>0</v>
      </c>
      <c r="M106" t="n">
        <v>0</v>
      </c>
      <c r="N106" t="n">
        <v>0</v>
      </c>
      <c r="O106" t="n">
        <v>0</v>
      </c>
      <c r="P106" t="n">
        <v>0</v>
      </c>
      <c r="Q106" t="n">
        <v>0</v>
      </c>
      <c r="R106" t="n">
        <v>0</v>
      </c>
      <c r="S106" t="n">
        <v>0</v>
      </c>
      <c r="T106" t="n">
        <v>0</v>
      </c>
      <c r="U106" s="2" t="inlineStr"/>
    </row>
    <row r="107" ht="15" customHeight="1">
      <c r="A107" t="inlineStr">
        <is>
          <t>A 62265-2022</t>
        </is>
      </c>
      <c r="B107" t="inlineStr">
        <is>
          <t>avverkningsanmälan</t>
        </is>
      </c>
      <c r="C107" t="inlineStr">
        <is>
          <t>Föryngringsavverkning</t>
        </is>
      </c>
      <c r="D107" s="1" t="n">
        <v>44923</v>
      </c>
      <c r="E107" s="1" t="n">
        <v>46223</v>
      </c>
      <c r="F107" t="inlineStr">
        <is>
          <t>ÖREBRO LÄN</t>
        </is>
      </c>
      <c r="G107" t="inlineStr">
        <is>
          <t>HÄLLEFORS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29027-2024</t>
        </is>
      </c>
      <c r="B108" t="inlineStr">
        <is>
          <t>avverkningsanmälan</t>
        </is>
      </c>
      <c r="C108" t="inlineStr">
        <is>
          <t>Föryngringsavverkning</t>
        </is>
      </c>
      <c r="D108" s="1" t="n">
        <v>45481</v>
      </c>
      <c r="E108" s="1" t="n">
        <v>46223</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58768-2024</t>
        </is>
      </c>
      <c r="B109" t="inlineStr">
        <is>
          <t>avverkningsanmälan</t>
        </is>
      </c>
      <c r="C109" t="inlineStr">
        <is>
          <t>Föryngringsavverkning</t>
        </is>
      </c>
      <c r="D109" s="1" t="n">
        <v>45635</v>
      </c>
      <c r="E109" s="1" t="n">
        <v>46223</v>
      </c>
      <c r="F109" t="inlineStr">
        <is>
          <t>ÖREBRO LÄN</t>
        </is>
      </c>
      <c r="G109" t="inlineStr">
        <is>
          <t>HÄLLEFORS</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62501-2022</t>
        </is>
      </c>
      <c r="B110" t="inlineStr">
        <is>
          <t>avverkningsanmälan</t>
        </is>
      </c>
      <c r="C110" t="inlineStr">
        <is>
          <t>Föryngringsavverkning</t>
        </is>
      </c>
      <c r="D110" s="1" t="n">
        <v>44924</v>
      </c>
      <c r="E110" s="1" t="n">
        <v>46223</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s="2" t="inlineStr"/>
    </row>
    <row r="111" ht="15" customHeight="1">
      <c r="A111" t="inlineStr">
        <is>
          <t>A 41810-2023</t>
        </is>
      </c>
      <c r="B111" t="inlineStr">
        <is>
          <t>avverkningsanmälan</t>
        </is>
      </c>
      <c r="C111" t="inlineStr">
        <is>
          <t>Föryngringsavverkning</t>
        </is>
      </c>
      <c r="D111" s="1" t="n">
        <v>45176</v>
      </c>
      <c r="E111" s="1" t="n">
        <v>46223</v>
      </c>
      <c r="F111" t="inlineStr">
        <is>
          <t>ÖREBRO LÄN</t>
        </is>
      </c>
      <c r="G111" t="inlineStr">
        <is>
          <t>HÄLLEFORS</t>
        </is>
      </c>
      <c r="H111" t="inlineStr">
        <is>
          <t>Bergvik skog väst AB</t>
        </is>
      </c>
      <c r="I111" t="n">
        <v>8.199999999999999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3057-2024</t>
        </is>
      </c>
      <c r="B112" t="inlineStr">
        <is>
          <t>avverkningsanmälan</t>
        </is>
      </c>
      <c r="C112" t="inlineStr">
        <is>
          <t>Föryngringsavverkning</t>
        </is>
      </c>
      <c r="D112" s="1" t="n">
        <v>45316</v>
      </c>
      <c r="E112" s="1" t="n">
        <v>46223</v>
      </c>
      <c r="F112" t="inlineStr">
        <is>
          <t>ÖREBRO LÄN</t>
        </is>
      </c>
      <c r="G112" t="inlineStr">
        <is>
          <t>HÄLLEFORS</t>
        </is>
      </c>
      <c r="H112" t="inlineStr">
        <is>
          <t>Bergvik skog väst AB</t>
        </is>
      </c>
      <c r="I112" t="n">
        <v>12.2</v>
      </c>
      <c r="J112" t="n">
        <v>0</v>
      </c>
      <c r="K112" t="n">
        <v>0</v>
      </c>
      <c r="L112" t="n">
        <v>0</v>
      </c>
      <c r="M112" t="n">
        <v>0</v>
      </c>
      <c r="N112" t="n">
        <v>0</v>
      </c>
      <c r="O112" t="n">
        <v>0</v>
      </c>
      <c r="P112" t="n">
        <v>0</v>
      </c>
      <c r="Q112" t="n">
        <v>0</v>
      </c>
      <c r="R112" t="n">
        <v>0</v>
      </c>
      <c r="S112" t="n">
        <v>0</v>
      </c>
      <c r="T112" t="n">
        <v>0</v>
      </c>
      <c r="U112" s="2" t="inlineStr"/>
    </row>
    <row r="113" ht="15" customHeight="1">
      <c r="A113" t="inlineStr">
        <is>
          <t>A 65054-2021</t>
        </is>
      </c>
      <c r="B113" t="inlineStr">
        <is>
          <t>avverkningsanmälan</t>
        </is>
      </c>
      <c r="C113" t="inlineStr">
        <is>
          <t>Föryngringsavverkning</t>
        </is>
      </c>
      <c r="D113" s="1" t="n">
        <v>44515</v>
      </c>
      <c r="E113" s="1" t="n">
        <v>46223</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39031-2022</t>
        </is>
      </c>
      <c r="B114" t="inlineStr">
        <is>
          <t>avverkningsanmälan</t>
        </is>
      </c>
      <c r="C114" t="inlineStr">
        <is>
          <t>Avverkning för att bevara och utveckla /försöksver</t>
        </is>
      </c>
      <c r="D114" s="1" t="n">
        <v>44817</v>
      </c>
      <c r="E114" s="1" t="n">
        <v>46223</v>
      </c>
      <c r="F114" t="inlineStr">
        <is>
          <t>ÖREBRO LÄN</t>
        </is>
      </c>
      <c r="G114" t="inlineStr">
        <is>
          <t>HÄLLEFORS</t>
        </is>
      </c>
      <c r="H114" t="inlineStr">
        <is>
          <t>Sveaskog</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3365-2026</t>
        </is>
      </c>
      <c r="B115" t="inlineStr">
        <is>
          <t>avverkningsanmälan</t>
        </is>
      </c>
      <c r="C115" t="inlineStr">
        <is>
          <t>Föryngringsavverkning</t>
        </is>
      </c>
      <c r="D115" s="1" t="n">
        <v>46042</v>
      </c>
      <c r="E115" s="1" t="n">
        <v>46223</v>
      </c>
      <c r="F115" t="inlineStr">
        <is>
          <t>ÖREBRO LÄN</t>
        </is>
      </c>
      <c r="G115" t="inlineStr">
        <is>
          <t>HÄLLEFORS</t>
        </is>
      </c>
      <c r="H115" t="inlineStr">
        <is>
          <t>Bergvik skog väst AB</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46980-2023</t>
        </is>
      </c>
      <c r="B116" t="inlineStr">
        <is>
          <t>avverkningsanmälan</t>
        </is>
      </c>
      <c r="C116" t="inlineStr">
        <is>
          <t>Föryngringsavverkning</t>
        </is>
      </c>
      <c r="D116" s="1" t="n">
        <v>45201</v>
      </c>
      <c r="E116" s="1" t="n">
        <v>46223</v>
      </c>
      <c r="F116" t="inlineStr">
        <is>
          <t>ÖREBRO LÄN</t>
        </is>
      </c>
      <c r="G116" t="inlineStr">
        <is>
          <t>HÄLLEFORS</t>
        </is>
      </c>
      <c r="H116" t="inlineStr">
        <is>
          <t>Bergvik skog väst AB</t>
        </is>
      </c>
      <c r="I116" t="n">
        <v>7.5</v>
      </c>
      <c r="J116" t="n">
        <v>0</v>
      </c>
      <c r="K116" t="n">
        <v>0</v>
      </c>
      <c r="L116" t="n">
        <v>0</v>
      </c>
      <c r="M116" t="n">
        <v>0</v>
      </c>
      <c r="N116" t="n">
        <v>0</v>
      </c>
      <c r="O116" t="n">
        <v>0</v>
      </c>
      <c r="P116" t="n">
        <v>0</v>
      </c>
      <c r="Q116" t="n">
        <v>0</v>
      </c>
      <c r="R116" t="n">
        <v>0</v>
      </c>
      <c r="S116" t="n">
        <v>0</v>
      </c>
      <c r="T116" t="n">
        <v>0</v>
      </c>
      <c r="U116" s="2" t="inlineStr"/>
    </row>
    <row r="117" ht="15" customHeight="1">
      <c r="A117" t="inlineStr">
        <is>
          <t>A 13757-2023</t>
        </is>
      </c>
      <c r="B117" t="inlineStr">
        <is>
          <t>avverkningsanmälan</t>
        </is>
      </c>
      <c r="C117" t="inlineStr">
        <is>
          <t>Föryngringsavverkning</t>
        </is>
      </c>
      <c r="D117" s="1" t="n">
        <v>45007</v>
      </c>
      <c r="E117" s="1" t="n">
        <v>46223</v>
      </c>
      <c r="F117" t="inlineStr">
        <is>
          <t>ÖREBRO LÄN</t>
        </is>
      </c>
      <c r="G117" t="inlineStr">
        <is>
          <t>HÄLLEFORS</t>
        </is>
      </c>
      <c r="H117" t="inlineStr">
        <is>
          <t>Bergvik skog väst AB</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4125-2026</t>
        </is>
      </c>
      <c r="B118" t="inlineStr">
        <is>
          <t>avverkningsanmälan</t>
        </is>
      </c>
      <c r="C118" t="inlineStr">
        <is>
          <t>Föryngringsavverkning</t>
        </is>
      </c>
      <c r="D118" s="1" t="n">
        <v>46044</v>
      </c>
      <c r="E118" s="1" t="n">
        <v>46223</v>
      </c>
      <c r="F118" t="inlineStr">
        <is>
          <t>ÖREBRO LÄN</t>
        </is>
      </c>
      <c r="G118" t="inlineStr">
        <is>
          <t>HÄLLEFORS</t>
        </is>
      </c>
      <c r="I118" t="n">
        <v>3.5</v>
      </c>
      <c r="J118" t="n">
        <v>0</v>
      </c>
      <c r="K118" t="n">
        <v>0</v>
      </c>
      <c r="L118" t="n">
        <v>0</v>
      </c>
      <c r="M118" t="n">
        <v>0</v>
      </c>
      <c r="N118" t="n">
        <v>0</v>
      </c>
      <c r="O118" t="n">
        <v>0</v>
      </c>
      <c r="P118" t="n">
        <v>0</v>
      </c>
      <c r="Q118" t="n">
        <v>0</v>
      </c>
      <c r="R118" t="n">
        <v>0</v>
      </c>
      <c r="S118" t="n">
        <v>0</v>
      </c>
      <c r="T118" t="n">
        <v>0</v>
      </c>
      <c r="U118" s="2" t="inlineStr"/>
    </row>
    <row r="119" ht="15" customHeight="1">
      <c r="A119" t="inlineStr">
        <is>
          <t>A 5583-2023</t>
        </is>
      </c>
      <c r="B119" t="inlineStr">
        <is>
          <t>avverkningsanmälan</t>
        </is>
      </c>
      <c r="C119" t="inlineStr">
        <is>
          <t>Föryngringsavverkning</t>
        </is>
      </c>
      <c r="D119" s="1" t="n">
        <v>44960</v>
      </c>
      <c r="E119" s="1" t="n">
        <v>46223</v>
      </c>
      <c r="F119" t="inlineStr">
        <is>
          <t>ÖREBRO LÄN</t>
        </is>
      </c>
      <c r="G119" t="inlineStr">
        <is>
          <t>HÄLLEFORS</t>
        </is>
      </c>
      <c r="H119" t="inlineStr">
        <is>
          <t>Bergvik skog väst AB</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3837-2026</t>
        </is>
      </c>
      <c r="B120" t="inlineStr">
        <is>
          <t>avverkningsanmälan</t>
        </is>
      </c>
      <c r="C120" t="inlineStr">
        <is>
          <t>Föryngringsavverkning</t>
        </is>
      </c>
      <c r="D120" s="1" t="n">
        <v>46043</v>
      </c>
      <c r="E120" s="1" t="n">
        <v>46223</v>
      </c>
      <c r="F120" t="inlineStr">
        <is>
          <t>ÖREBRO LÄN</t>
        </is>
      </c>
      <c r="G120" t="inlineStr">
        <is>
          <t>HÄLLEFORS</t>
        </is>
      </c>
      <c r="I120" t="n">
        <v>3.5</v>
      </c>
      <c r="J120" t="n">
        <v>0</v>
      </c>
      <c r="K120" t="n">
        <v>0</v>
      </c>
      <c r="L120" t="n">
        <v>0</v>
      </c>
      <c r="M120" t="n">
        <v>0</v>
      </c>
      <c r="N120" t="n">
        <v>0</v>
      </c>
      <c r="O120" t="n">
        <v>0</v>
      </c>
      <c r="P120" t="n">
        <v>0</v>
      </c>
      <c r="Q120" t="n">
        <v>0</v>
      </c>
      <c r="R120" t="n">
        <v>0</v>
      </c>
      <c r="S120" t="n">
        <v>0</v>
      </c>
      <c r="T120" t="n">
        <v>0</v>
      </c>
      <c r="U120" s="2" t="inlineStr"/>
    </row>
    <row r="121" ht="15" customHeight="1">
      <c r="A121" t="inlineStr">
        <is>
          <t>A 16053-2023</t>
        </is>
      </c>
      <c r="B121" t="inlineStr">
        <is>
          <t>avverkningsanmälan</t>
        </is>
      </c>
      <c r="C121" t="inlineStr">
        <is>
          <t>Föryngringsavverkning</t>
        </is>
      </c>
      <c r="D121" s="1" t="n">
        <v>45027</v>
      </c>
      <c r="E121" s="1" t="n">
        <v>46223</v>
      </c>
      <c r="F121" t="inlineStr">
        <is>
          <t>ÖREBRO LÄN</t>
        </is>
      </c>
      <c r="G121" t="inlineStr">
        <is>
          <t>HÄLLEFORS</t>
        </is>
      </c>
      <c r="H121" t="inlineStr">
        <is>
          <t>Bergvik skog väst AB</t>
        </is>
      </c>
      <c r="I121" t="n">
        <v>14.7</v>
      </c>
      <c r="J121" t="n">
        <v>0</v>
      </c>
      <c r="K121" t="n">
        <v>0</v>
      </c>
      <c r="L121" t="n">
        <v>0</v>
      </c>
      <c r="M121" t="n">
        <v>0</v>
      </c>
      <c r="N121" t="n">
        <v>0</v>
      </c>
      <c r="O121" t="n">
        <v>0</v>
      </c>
      <c r="P121" t="n">
        <v>0</v>
      </c>
      <c r="Q121" t="n">
        <v>0</v>
      </c>
      <c r="R121" t="n">
        <v>0</v>
      </c>
      <c r="S121" t="n">
        <v>0</v>
      </c>
      <c r="T121" t="n">
        <v>0</v>
      </c>
      <c r="U121" s="2" t="inlineStr"/>
    </row>
    <row r="122" ht="15" customHeight="1">
      <c r="A122" t="inlineStr">
        <is>
          <t>A 43966-2024</t>
        </is>
      </c>
      <c r="B122" t="inlineStr">
        <is>
          <t>avverkningsanmälan</t>
        </is>
      </c>
      <c r="C122" t="inlineStr">
        <is>
          <t>Föryngringsavverkning</t>
        </is>
      </c>
      <c r="D122" s="1" t="n">
        <v>45572</v>
      </c>
      <c r="E122" s="1" t="n">
        <v>46223</v>
      </c>
      <c r="F122" t="inlineStr">
        <is>
          <t>ÖREBRO LÄN</t>
        </is>
      </c>
      <c r="G122" t="inlineStr">
        <is>
          <t>HÄLLEFORS</t>
        </is>
      </c>
      <c r="H122" t="inlineStr">
        <is>
          <t>Bergvik skog väst AB</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5045-2025</t>
        </is>
      </c>
      <c r="B123" t="inlineStr">
        <is>
          <t>avverkningsanmälan</t>
        </is>
      </c>
      <c r="C123" t="inlineStr">
        <is>
          <t>Föryngringsavverkning</t>
        </is>
      </c>
      <c r="D123" s="1" t="n">
        <v>45691</v>
      </c>
      <c r="E123" s="1" t="n">
        <v>46223</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s="2" t="inlineStr"/>
    </row>
    <row r="124" ht="15" customHeight="1">
      <c r="A124" t="inlineStr">
        <is>
          <t>A 52367-2022</t>
        </is>
      </c>
      <c r="B124" t="inlineStr">
        <is>
          <t>avverkningsanmälan</t>
        </is>
      </c>
      <c r="C124" t="inlineStr">
        <is>
          <t>Föryngringsavverkning</t>
        </is>
      </c>
      <c r="D124" s="1" t="n">
        <v>44874</v>
      </c>
      <c r="E124" s="1" t="n">
        <v>46223</v>
      </c>
      <c r="F124" t="inlineStr">
        <is>
          <t>ÖREBRO LÄN</t>
        </is>
      </c>
      <c r="G124" t="inlineStr">
        <is>
          <t>HÄLLEFORS</t>
        </is>
      </c>
      <c r="H124" t="inlineStr">
        <is>
          <t>Bergvik skog väst AB</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28979-2025</t>
        </is>
      </c>
      <c r="B125" t="inlineStr">
        <is>
          <t>avverkningsanmälan</t>
        </is>
      </c>
      <c r="C125" t="inlineStr">
        <is>
          <t>Föryngringsavverkning</t>
        </is>
      </c>
      <c r="D125" s="1" t="n">
        <v>45821</v>
      </c>
      <c r="E125" s="1" t="n">
        <v>46223</v>
      </c>
      <c r="F125" t="inlineStr">
        <is>
          <t>ÖREBRO LÄN</t>
        </is>
      </c>
      <c r="G125" t="inlineStr">
        <is>
          <t>HÄLLEFORS</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28975-2025</t>
        </is>
      </c>
      <c r="B126" t="inlineStr">
        <is>
          <t>avverkningsanmälan</t>
        </is>
      </c>
      <c r="C126" t="inlineStr">
        <is>
          <t>Föryngringsavverkning</t>
        </is>
      </c>
      <c r="D126" s="1" t="n">
        <v>45821</v>
      </c>
      <c r="E126" s="1" t="n">
        <v>46223</v>
      </c>
      <c r="F126" t="inlineStr">
        <is>
          <t>ÖREBRO LÄN</t>
        </is>
      </c>
      <c r="G126" t="inlineStr">
        <is>
          <t>HÄLLEFORS</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35191-2023</t>
        </is>
      </c>
      <c r="B127" t="inlineStr">
        <is>
          <t>avverkningsanmälan</t>
        </is>
      </c>
      <c r="C127" t="inlineStr">
        <is>
          <t>Föryngringsavverkning</t>
        </is>
      </c>
      <c r="D127" s="1" t="n">
        <v>45145</v>
      </c>
      <c r="E127" s="1" t="n">
        <v>46223</v>
      </c>
      <c r="F127" t="inlineStr">
        <is>
          <t>ÖREBRO LÄN</t>
        </is>
      </c>
      <c r="G127" t="inlineStr">
        <is>
          <t>HÄLLEFORS</t>
        </is>
      </c>
      <c r="H127" t="inlineStr">
        <is>
          <t>Bergvik skog väst AB</t>
        </is>
      </c>
      <c r="I127" t="n">
        <v>3.8</v>
      </c>
      <c r="J127" t="n">
        <v>0</v>
      </c>
      <c r="K127" t="n">
        <v>0</v>
      </c>
      <c r="L127" t="n">
        <v>0</v>
      </c>
      <c r="M127" t="n">
        <v>0</v>
      </c>
      <c r="N127" t="n">
        <v>0</v>
      </c>
      <c r="O127" t="n">
        <v>0</v>
      </c>
      <c r="P127" t="n">
        <v>0</v>
      </c>
      <c r="Q127" t="n">
        <v>0</v>
      </c>
      <c r="R127" t="n">
        <v>0</v>
      </c>
      <c r="S127" t="n">
        <v>0</v>
      </c>
      <c r="T127" t="n">
        <v>0</v>
      </c>
      <c r="U127" s="2" t="inlineStr"/>
    </row>
    <row r="128" ht="15" customHeight="1">
      <c r="A128" t="inlineStr">
        <is>
          <t>A 17098-2025</t>
        </is>
      </c>
      <c r="B128" t="inlineStr">
        <is>
          <t>avverkningsanmälan</t>
        </is>
      </c>
      <c r="C128" t="inlineStr">
        <is>
          <t>Föryngringsavverkning</t>
        </is>
      </c>
      <c r="D128" s="1" t="n">
        <v>45755</v>
      </c>
      <c r="E128" s="1" t="n">
        <v>46223</v>
      </c>
      <c r="F128" t="inlineStr">
        <is>
          <t>ÖREBRO LÄN</t>
        </is>
      </c>
      <c r="G128" t="inlineStr">
        <is>
          <t>HÄLLEFORS</t>
        </is>
      </c>
      <c r="H128" t="inlineStr">
        <is>
          <t>Bergvik skog väst AB</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15013-2024</t>
        </is>
      </c>
      <c r="B129" t="inlineStr">
        <is>
          <t>avverkningsanmälan</t>
        </is>
      </c>
      <c r="C129" t="inlineStr">
        <is>
          <t>Föryngringsavverkning</t>
        </is>
      </c>
      <c r="D129" s="1" t="n">
        <v>45399</v>
      </c>
      <c r="E129" s="1" t="n">
        <v>46223</v>
      </c>
      <c r="F129" t="inlineStr">
        <is>
          <t>ÖREBRO LÄN</t>
        </is>
      </c>
      <c r="G129" t="inlineStr">
        <is>
          <t>HÄLLEFORS</t>
        </is>
      </c>
      <c r="H129" t="inlineStr">
        <is>
          <t>Bergvik skog väst AB</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11459-2024</t>
        </is>
      </c>
      <c r="B130" t="inlineStr">
        <is>
          <t>avverkningsanmälan</t>
        </is>
      </c>
      <c r="C130" t="inlineStr">
        <is>
          <t>Föryngringsavverkning</t>
        </is>
      </c>
      <c r="D130" s="1" t="n">
        <v>45372</v>
      </c>
      <c r="E130" s="1" t="n">
        <v>46223</v>
      </c>
      <c r="F130" t="inlineStr">
        <is>
          <t>ÖREBRO LÄN</t>
        </is>
      </c>
      <c r="G130" t="inlineStr">
        <is>
          <t>HÄLLEFORS</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59557-2022</t>
        </is>
      </c>
      <c r="B131" t="inlineStr">
        <is>
          <t>avverkningsanmälan</t>
        </is>
      </c>
      <c r="C131" t="inlineStr">
        <is>
          <t>Föryngringsavverkning</t>
        </is>
      </c>
      <c r="D131" s="1" t="n">
        <v>44907</v>
      </c>
      <c r="E131" s="1" t="n">
        <v>46223</v>
      </c>
      <c r="F131" t="inlineStr">
        <is>
          <t>ÖREBRO LÄN</t>
        </is>
      </c>
      <c r="G131" t="inlineStr">
        <is>
          <t>HÄLLEFORS</t>
        </is>
      </c>
      <c r="H131" t="inlineStr">
        <is>
          <t>Bergvik skog väst AB</t>
        </is>
      </c>
      <c r="I131" t="n">
        <v>11.2</v>
      </c>
      <c r="J131" t="n">
        <v>0</v>
      </c>
      <c r="K131" t="n">
        <v>0</v>
      </c>
      <c r="L131" t="n">
        <v>0</v>
      </c>
      <c r="M131" t="n">
        <v>0</v>
      </c>
      <c r="N131" t="n">
        <v>0</v>
      </c>
      <c r="O131" t="n">
        <v>0</v>
      </c>
      <c r="P131" t="n">
        <v>0</v>
      </c>
      <c r="Q131" t="n">
        <v>0</v>
      </c>
      <c r="R131" t="n">
        <v>0</v>
      </c>
      <c r="S131" t="n">
        <v>0</v>
      </c>
      <c r="T131" t="n">
        <v>0</v>
      </c>
      <c r="U131" s="2" t="inlineStr"/>
    </row>
    <row r="132" ht="15" customHeight="1">
      <c r="A132" t="inlineStr">
        <is>
          <t>A 67439-2021</t>
        </is>
      </c>
      <c r="B132" t="inlineStr">
        <is>
          <t>avverkningsanmälan</t>
        </is>
      </c>
      <c r="C132" t="inlineStr">
        <is>
          <t>Föryngringsavverkning</t>
        </is>
      </c>
      <c r="D132" s="1" t="n">
        <v>44523</v>
      </c>
      <c r="E132" s="1" t="n">
        <v>46223</v>
      </c>
      <c r="F132" t="inlineStr">
        <is>
          <t>ÖREBRO LÄN</t>
        </is>
      </c>
      <c r="G132" t="inlineStr">
        <is>
          <t>HÄLLEFORS</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39171-2024</t>
        </is>
      </c>
      <c r="B133" t="inlineStr">
        <is>
          <t>avverkningsanmälan</t>
        </is>
      </c>
      <c r="C133" t="inlineStr">
        <is>
          <t>Föryngringsavverkning</t>
        </is>
      </c>
      <c r="D133" s="1" t="n">
        <v>45548</v>
      </c>
      <c r="E133" s="1" t="n">
        <v>46223</v>
      </c>
      <c r="F133" t="inlineStr">
        <is>
          <t>ÖREBRO LÄN</t>
        </is>
      </c>
      <c r="G133" t="inlineStr">
        <is>
          <t>HÄLLEFORS</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44400-2025</t>
        </is>
      </c>
      <c r="B134" t="inlineStr">
        <is>
          <t>avverkningsanmälan</t>
        </is>
      </c>
      <c r="C134" t="inlineStr">
        <is>
          <t>Föryngringsavverkning</t>
        </is>
      </c>
      <c r="D134" s="1" t="n">
        <v>45916</v>
      </c>
      <c r="E134" s="1" t="n">
        <v>46223</v>
      </c>
      <c r="F134" t="inlineStr">
        <is>
          <t>ÖREBRO LÄN</t>
        </is>
      </c>
      <c r="G134" t="inlineStr">
        <is>
          <t>HÄLLEFORS</t>
        </is>
      </c>
      <c r="H134" t="inlineStr">
        <is>
          <t>Bergvik skog väst AB</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28004-2022</t>
        </is>
      </c>
      <c r="B135" t="inlineStr">
        <is>
          <t>avverkningsanmälan</t>
        </is>
      </c>
      <c r="C135" t="inlineStr">
        <is>
          <t>Föryngringsavverkning</t>
        </is>
      </c>
      <c r="D135" s="1" t="n">
        <v>44746</v>
      </c>
      <c r="E135" s="1" t="n">
        <v>46223</v>
      </c>
      <c r="F135" t="inlineStr">
        <is>
          <t>ÖREBRO LÄN</t>
        </is>
      </c>
      <c r="G135" t="inlineStr">
        <is>
          <t>HÄLLEFORS</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55453-2023</t>
        </is>
      </c>
      <c r="B136" t="inlineStr">
        <is>
          <t>avverkningsanmälan</t>
        </is>
      </c>
      <c r="C136" t="inlineStr">
        <is>
          <t>Avverkning för annat ändamål</t>
        </is>
      </c>
      <c r="D136" s="1" t="n">
        <v>45238</v>
      </c>
      <c r="E136" s="1" t="n">
        <v>46223</v>
      </c>
      <c r="F136" t="inlineStr">
        <is>
          <t>ÖREBRO LÄN</t>
        </is>
      </c>
      <c r="G136" t="inlineStr">
        <is>
          <t>HÄLLEFORS</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34062-2025</t>
        </is>
      </c>
      <c r="B137" t="inlineStr">
        <is>
          <t>avverkningsanmälan</t>
        </is>
      </c>
      <c r="C137" t="inlineStr">
        <is>
          <t>Föryngringsavverkning</t>
        </is>
      </c>
      <c r="D137" s="1" t="n">
        <v>45845</v>
      </c>
      <c r="E137" s="1" t="n">
        <v>46223</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34022-2025</t>
        </is>
      </c>
      <c r="B138" t="inlineStr">
        <is>
          <t>avverkningsanmälan</t>
        </is>
      </c>
      <c r="C138" t="inlineStr">
        <is>
          <t>Föryngringsavverkning</t>
        </is>
      </c>
      <c r="D138" s="1" t="n">
        <v>45845</v>
      </c>
      <c r="E138" s="1" t="n">
        <v>46223</v>
      </c>
      <c r="F138" t="inlineStr">
        <is>
          <t>ÖREBRO LÄN</t>
        </is>
      </c>
      <c r="G138" t="inlineStr">
        <is>
          <t>HÄLLEFORS</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34059-2025</t>
        </is>
      </c>
      <c r="B139" t="inlineStr">
        <is>
          <t>avverkningsanmälan</t>
        </is>
      </c>
      <c r="C139" t="inlineStr">
        <is>
          <t>Föryngringsavverkning</t>
        </is>
      </c>
      <c r="D139" s="1" t="n">
        <v>45845</v>
      </c>
      <c r="E139" s="1" t="n">
        <v>46223</v>
      </c>
      <c r="F139" t="inlineStr">
        <is>
          <t>ÖREBRO LÄN</t>
        </is>
      </c>
      <c r="G139" t="inlineStr">
        <is>
          <t>HÄLLEFORS</t>
        </is>
      </c>
      <c r="I139" t="n">
        <v>9.199999999999999</v>
      </c>
      <c r="J139" t="n">
        <v>0</v>
      </c>
      <c r="K139" t="n">
        <v>0</v>
      </c>
      <c r="L139" t="n">
        <v>0</v>
      </c>
      <c r="M139" t="n">
        <v>0</v>
      </c>
      <c r="N139" t="n">
        <v>0</v>
      </c>
      <c r="O139" t="n">
        <v>0</v>
      </c>
      <c r="P139" t="n">
        <v>0</v>
      </c>
      <c r="Q139" t="n">
        <v>0</v>
      </c>
      <c r="R139" t="n">
        <v>0</v>
      </c>
      <c r="S139" t="n">
        <v>0</v>
      </c>
      <c r="T139" t="n">
        <v>0</v>
      </c>
      <c r="U139" s="2" t="inlineStr"/>
    </row>
    <row r="140" ht="15" customHeight="1">
      <c r="A140" t="inlineStr">
        <is>
          <t>A 34093-2025</t>
        </is>
      </c>
      <c r="B140" t="inlineStr">
        <is>
          <t>avverkningsanmälan</t>
        </is>
      </c>
      <c r="C140" t="inlineStr">
        <is>
          <t>Föryngringsavverkning</t>
        </is>
      </c>
      <c r="D140" s="1" t="n">
        <v>45845</v>
      </c>
      <c r="E140" s="1" t="n">
        <v>46223</v>
      </c>
      <c r="F140" t="inlineStr">
        <is>
          <t>ÖREBRO LÄN</t>
        </is>
      </c>
      <c r="G140" t="inlineStr">
        <is>
          <t>HÄLLEFORS</t>
        </is>
      </c>
      <c r="H140" t="inlineStr">
        <is>
          <t>Bergvik skog väst AB</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34057-2025</t>
        </is>
      </c>
      <c r="B141" t="inlineStr">
        <is>
          <t>avverkningsanmälan</t>
        </is>
      </c>
      <c r="C141" t="inlineStr">
        <is>
          <t>Föryngringsavverkning</t>
        </is>
      </c>
      <c r="D141" s="1" t="n">
        <v>45845</v>
      </c>
      <c r="E141" s="1" t="n">
        <v>46223</v>
      </c>
      <c r="F141" t="inlineStr">
        <is>
          <t>ÖREBRO LÄN</t>
        </is>
      </c>
      <c r="G141" t="inlineStr">
        <is>
          <t>HÄLLEFORS</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34020-2025</t>
        </is>
      </c>
      <c r="B142" t="inlineStr">
        <is>
          <t>avverkningsanmälan</t>
        </is>
      </c>
      <c r="C142" t="inlineStr">
        <is>
          <t>Föryngringsavverkning</t>
        </is>
      </c>
      <c r="D142" s="1" t="n">
        <v>45845</v>
      </c>
      <c r="E142" s="1" t="n">
        <v>46223</v>
      </c>
      <c r="F142" t="inlineStr">
        <is>
          <t>ÖREBRO LÄN</t>
        </is>
      </c>
      <c r="G142" t="inlineStr">
        <is>
          <t>HÄLLEFORS</t>
        </is>
      </c>
      <c r="H142" t="inlineStr">
        <is>
          <t>Bergvik skog väst AB</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34052-2025</t>
        </is>
      </c>
      <c r="B143" t="inlineStr">
        <is>
          <t>avverkningsanmälan</t>
        </is>
      </c>
      <c r="C143" t="inlineStr">
        <is>
          <t>Föryngringsavverkning</t>
        </is>
      </c>
      <c r="D143" s="1" t="n">
        <v>45845</v>
      </c>
      <c r="E143" s="1" t="n">
        <v>46223</v>
      </c>
      <c r="F143" t="inlineStr">
        <is>
          <t>ÖREBRO LÄN</t>
        </is>
      </c>
      <c r="G143" t="inlineStr">
        <is>
          <t>HÄLLEFORS</t>
        </is>
      </c>
      <c r="I143" t="n">
        <v>8.300000000000001</v>
      </c>
      <c r="J143" t="n">
        <v>0</v>
      </c>
      <c r="K143" t="n">
        <v>0</v>
      </c>
      <c r="L143" t="n">
        <v>0</v>
      </c>
      <c r="M143" t="n">
        <v>0</v>
      </c>
      <c r="N143" t="n">
        <v>0</v>
      </c>
      <c r="O143" t="n">
        <v>0</v>
      </c>
      <c r="P143" t="n">
        <v>0</v>
      </c>
      <c r="Q143" t="n">
        <v>0</v>
      </c>
      <c r="R143" t="n">
        <v>0</v>
      </c>
      <c r="S143" t="n">
        <v>0</v>
      </c>
      <c r="T143" t="n">
        <v>0</v>
      </c>
      <c r="U143" s="2" t="inlineStr"/>
    </row>
    <row r="144" ht="15" customHeight="1">
      <c r="A144" t="inlineStr">
        <is>
          <t>A 17075-2025</t>
        </is>
      </c>
      <c r="B144" t="inlineStr">
        <is>
          <t>avverkningsanmälan</t>
        </is>
      </c>
      <c r="C144" t="inlineStr">
        <is>
          <t>Föryngringsavverkning</t>
        </is>
      </c>
      <c r="D144" s="1" t="n">
        <v>45755</v>
      </c>
      <c r="E144" s="1" t="n">
        <v>46223</v>
      </c>
      <c r="F144" t="inlineStr">
        <is>
          <t>ÖREBRO LÄN</t>
        </is>
      </c>
      <c r="G144" t="inlineStr">
        <is>
          <t>HÄLLEFORS</t>
        </is>
      </c>
      <c r="H144" t="inlineStr">
        <is>
          <t>Bergvik skog väst AB</t>
        </is>
      </c>
      <c r="I144" t="n">
        <v>3.2</v>
      </c>
      <c r="J144" t="n">
        <v>0</v>
      </c>
      <c r="K144" t="n">
        <v>0</v>
      </c>
      <c r="L144" t="n">
        <v>0</v>
      </c>
      <c r="M144" t="n">
        <v>0</v>
      </c>
      <c r="N144" t="n">
        <v>0</v>
      </c>
      <c r="O144" t="n">
        <v>0</v>
      </c>
      <c r="P144" t="n">
        <v>0</v>
      </c>
      <c r="Q144" t="n">
        <v>0</v>
      </c>
      <c r="R144" t="n">
        <v>0</v>
      </c>
      <c r="S144" t="n">
        <v>0</v>
      </c>
      <c r="T144" t="n">
        <v>0</v>
      </c>
      <c r="U144" s="2" t="inlineStr"/>
    </row>
    <row r="145" ht="15" customHeight="1">
      <c r="A145" t="inlineStr">
        <is>
          <t>A 9411-2022</t>
        </is>
      </c>
      <c r="B145" t="inlineStr">
        <is>
          <t>avverkningsanmälan</t>
        </is>
      </c>
      <c r="C145" t="inlineStr">
        <is>
          <t>Föryngringsavverkning</t>
        </is>
      </c>
      <c r="D145" s="1" t="n">
        <v>44616</v>
      </c>
      <c r="E145" s="1" t="n">
        <v>46223</v>
      </c>
      <c r="F145" t="inlineStr">
        <is>
          <t>ÖREBRO LÄN</t>
        </is>
      </c>
      <c r="G145" t="inlineStr">
        <is>
          <t>HÄLLEFORS</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6126-2026</t>
        </is>
      </c>
      <c r="B146" t="inlineStr">
        <is>
          <t>avverkningsanmälan</t>
        </is>
      </c>
      <c r="C146" t="inlineStr">
        <is>
          <t>Föryngringsavverkning</t>
        </is>
      </c>
      <c r="D146" s="1" t="n">
        <v>46053</v>
      </c>
      <c r="E146" s="1" t="n">
        <v>46223</v>
      </c>
      <c r="F146" t="inlineStr">
        <is>
          <t>ÖREBRO LÄN</t>
        </is>
      </c>
      <c r="G146" t="inlineStr">
        <is>
          <t>HÄLLEFORS</t>
        </is>
      </c>
      <c r="I146" t="n">
        <v>2</v>
      </c>
      <c r="J146" t="n">
        <v>0</v>
      </c>
      <c r="K146" t="n">
        <v>0</v>
      </c>
      <c r="L146" t="n">
        <v>0</v>
      </c>
      <c r="M146" t="n">
        <v>0</v>
      </c>
      <c r="N146" t="n">
        <v>0</v>
      </c>
      <c r="O146" t="n">
        <v>0</v>
      </c>
      <c r="P146" t="n">
        <v>0</v>
      </c>
      <c r="Q146" t="n">
        <v>0</v>
      </c>
      <c r="R146" t="n">
        <v>0</v>
      </c>
      <c r="S146" t="n">
        <v>0</v>
      </c>
      <c r="T146" t="n">
        <v>0</v>
      </c>
      <c r="U146" s="2" t="inlineStr"/>
    </row>
    <row r="147" ht="15" customHeight="1">
      <c r="A147" t="inlineStr">
        <is>
          <t>A 12511-2025</t>
        </is>
      </c>
      <c r="B147" t="inlineStr">
        <is>
          <t>avverkningsanmälan</t>
        </is>
      </c>
      <c r="C147" t="inlineStr">
        <is>
          <t>Föryngringsavverkning</t>
        </is>
      </c>
      <c r="D147" s="1" t="n">
        <v>45730</v>
      </c>
      <c r="E147" s="1" t="n">
        <v>46223</v>
      </c>
      <c r="F147" t="inlineStr">
        <is>
          <t>ÖREBRO LÄN</t>
        </is>
      </c>
      <c r="G147" t="inlineStr">
        <is>
          <t>HÄLLEFORS</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33944-2024</t>
        </is>
      </c>
      <c r="B148" t="inlineStr">
        <is>
          <t>avverkningsanmälan</t>
        </is>
      </c>
      <c r="C148" t="inlineStr">
        <is>
          <t>Avverkning för att bevara och utveckla /försöksver</t>
        </is>
      </c>
      <c r="D148" s="1" t="n">
        <v>45523</v>
      </c>
      <c r="E148" s="1" t="n">
        <v>46223</v>
      </c>
      <c r="F148" t="inlineStr">
        <is>
          <t>ÖREBRO LÄN</t>
        </is>
      </c>
      <c r="G148" t="inlineStr">
        <is>
          <t>HÄLLEFORS</t>
        </is>
      </c>
      <c r="I148" t="n">
        <v>5.9</v>
      </c>
      <c r="J148" t="n">
        <v>0</v>
      </c>
      <c r="K148" t="n">
        <v>0</v>
      </c>
      <c r="L148" t="n">
        <v>0</v>
      </c>
      <c r="M148" t="n">
        <v>0</v>
      </c>
      <c r="N148" t="n">
        <v>0</v>
      </c>
      <c r="O148" t="n">
        <v>0</v>
      </c>
      <c r="P148" t="n">
        <v>0</v>
      </c>
      <c r="Q148" t="n">
        <v>0</v>
      </c>
      <c r="R148" t="n">
        <v>0</v>
      </c>
      <c r="S148" t="n">
        <v>0</v>
      </c>
      <c r="T148" t="n">
        <v>0</v>
      </c>
      <c r="U148" s="2" t="inlineStr"/>
    </row>
    <row r="149" ht="15" customHeight="1">
      <c r="A149" t="inlineStr">
        <is>
          <t>A 55747-2024</t>
        </is>
      </c>
      <c r="B149" t="inlineStr">
        <is>
          <t>avverkningsanmälan</t>
        </is>
      </c>
      <c r="C149" t="inlineStr">
        <is>
          <t>Föryngringsavverkning</t>
        </is>
      </c>
      <c r="D149" s="1" t="n">
        <v>45623</v>
      </c>
      <c r="E149" s="1" t="n">
        <v>46223</v>
      </c>
      <c r="F149" t="inlineStr">
        <is>
          <t>ÖREBRO LÄN</t>
        </is>
      </c>
      <c r="G149" t="inlineStr">
        <is>
          <t>HÄLLEFORS</t>
        </is>
      </c>
      <c r="H149" t="inlineStr">
        <is>
          <t>Bergvik skog väst AB</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1288-2024</t>
        </is>
      </c>
      <c r="B150" t="inlineStr">
        <is>
          <t>avverkningsanmälan</t>
        </is>
      </c>
      <c r="C150" t="inlineStr">
        <is>
          <t>Föryngringsavverkning</t>
        </is>
      </c>
      <c r="D150" s="1" t="n">
        <v>45303</v>
      </c>
      <c r="E150" s="1" t="n">
        <v>46223</v>
      </c>
      <c r="F150" t="inlineStr">
        <is>
          <t>ÖREBRO LÄN</t>
        </is>
      </c>
      <c r="G150" t="inlineStr">
        <is>
          <t>HÄLLEFORS</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56298-2024</t>
        </is>
      </c>
      <c r="B151" t="inlineStr">
        <is>
          <t>avverkningsanmälan</t>
        </is>
      </c>
      <c r="C151" t="inlineStr">
        <is>
          <t>Föryngringsavverkning</t>
        </is>
      </c>
      <c r="D151" s="1" t="n">
        <v>45624</v>
      </c>
      <c r="E151" s="1" t="n">
        <v>46223</v>
      </c>
      <c r="F151" t="inlineStr">
        <is>
          <t>ÖREBRO LÄN</t>
        </is>
      </c>
      <c r="G151" t="inlineStr">
        <is>
          <t>HÄLLEFORS</t>
        </is>
      </c>
      <c r="H151" t="inlineStr">
        <is>
          <t>Bergvik skog väst AB</t>
        </is>
      </c>
      <c r="I151" t="n">
        <v>4.6</v>
      </c>
      <c r="J151" t="n">
        <v>0</v>
      </c>
      <c r="K151" t="n">
        <v>0</v>
      </c>
      <c r="L151" t="n">
        <v>0</v>
      </c>
      <c r="M151" t="n">
        <v>0</v>
      </c>
      <c r="N151" t="n">
        <v>0</v>
      </c>
      <c r="O151" t="n">
        <v>0</v>
      </c>
      <c r="P151" t="n">
        <v>0</v>
      </c>
      <c r="Q151" t="n">
        <v>0</v>
      </c>
      <c r="R151" t="n">
        <v>0</v>
      </c>
      <c r="S151" t="n">
        <v>0</v>
      </c>
      <c r="T151" t="n">
        <v>0</v>
      </c>
      <c r="U151" s="2" t="inlineStr"/>
    </row>
    <row r="152" ht="15" customHeight="1">
      <c r="A152" t="inlineStr">
        <is>
          <t>A 14120-2023</t>
        </is>
      </c>
      <c r="B152" t="inlineStr">
        <is>
          <t>avverkningsanmälan</t>
        </is>
      </c>
      <c r="C152" t="inlineStr">
        <is>
          <t>Föryngringsavverkning</t>
        </is>
      </c>
      <c r="D152" s="1" t="n">
        <v>45009</v>
      </c>
      <c r="E152" s="1" t="n">
        <v>46223</v>
      </c>
      <c r="F152" t="inlineStr">
        <is>
          <t>ÖREBRO LÄN</t>
        </is>
      </c>
      <c r="G152" t="inlineStr">
        <is>
          <t>HÄLLEFORS</t>
        </is>
      </c>
      <c r="H152" t="inlineStr">
        <is>
          <t>Bergvik skog väst AB</t>
        </is>
      </c>
      <c r="I152" t="n">
        <v>4.2</v>
      </c>
      <c r="J152" t="n">
        <v>0</v>
      </c>
      <c r="K152" t="n">
        <v>0</v>
      </c>
      <c r="L152" t="n">
        <v>0</v>
      </c>
      <c r="M152" t="n">
        <v>0</v>
      </c>
      <c r="N152" t="n">
        <v>0</v>
      </c>
      <c r="O152" t="n">
        <v>0</v>
      </c>
      <c r="P152" t="n">
        <v>0</v>
      </c>
      <c r="Q152" t="n">
        <v>0</v>
      </c>
      <c r="R152" t="n">
        <v>0</v>
      </c>
      <c r="S152" t="n">
        <v>0</v>
      </c>
      <c r="T152" t="n">
        <v>0</v>
      </c>
      <c r="U152" s="2" t="inlineStr"/>
    </row>
    <row r="153" ht="15" customHeight="1">
      <c r="A153" t="inlineStr">
        <is>
          <t>A 35183-2023</t>
        </is>
      </c>
      <c r="B153" t="inlineStr">
        <is>
          <t>avverkningsanmälan</t>
        </is>
      </c>
      <c r="C153" t="inlineStr">
        <is>
          <t>Föryngringsavverkning</t>
        </is>
      </c>
      <c r="D153" s="1" t="n">
        <v>45145</v>
      </c>
      <c r="E153" s="1" t="n">
        <v>46223</v>
      </c>
      <c r="F153" t="inlineStr">
        <is>
          <t>ÖREBRO LÄN</t>
        </is>
      </c>
      <c r="G153" t="inlineStr">
        <is>
          <t>HÄLLEFORS</t>
        </is>
      </c>
      <c r="H153" t="inlineStr">
        <is>
          <t>Bergvik skog väst AB</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50714-2022</t>
        </is>
      </c>
      <c r="B154" t="inlineStr">
        <is>
          <t>avverkningsanmälan</t>
        </is>
      </c>
      <c r="C154" t="inlineStr">
        <is>
          <t>Föryngringsavverkning</t>
        </is>
      </c>
      <c r="D154" s="1" t="n">
        <v>44867</v>
      </c>
      <c r="E154" s="1" t="n">
        <v>46223</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48961-2025</t>
        </is>
      </c>
      <c r="B155" t="inlineStr">
        <is>
          <t>avverkningsanmälan</t>
        </is>
      </c>
      <c r="C155" t="inlineStr">
        <is>
          <t>Föryngringsavverkning</t>
        </is>
      </c>
      <c r="D155" s="1" t="n">
        <v>45936</v>
      </c>
      <c r="E155" s="1" t="n">
        <v>46223</v>
      </c>
      <c r="F155" t="inlineStr">
        <is>
          <t>ÖREBRO LÄN</t>
        </is>
      </c>
      <c r="G155" t="inlineStr">
        <is>
          <t>HÄLLEFORS</t>
        </is>
      </c>
      <c r="I155" t="n">
        <v>3.7</v>
      </c>
      <c r="J155" t="n">
        <v>0</v>
      </c>
      <c r="K155" t="n">
        <v>0</v>
      </c>
      <c r="L155" t="n">
        <v>0</v>
      </c>
      <c r="M155" t="n">
        <v>0</v>
      </c>
      <c r="N155" t="n">
        <v>0</v>
      </c>
      <c r="O155" t="n">
        <v>0</v>
      </c>
      <c r="P155" t="n">
        <v>0</v>
      </c>
      <c r="Q155" t="n">
        <v>0</v>
      </c>
      <c r="R155" t="n">
        <v>0</v>
      </c>
      <c r="S155" t="n">
        <v>0</v>
      </c>
      <c r="T155" t="n">
        <v>0</v>
      </c>
      <c r="U155" s="2" t="inlineStr"/>
    </row>
    <row r="156" ht="15" customHeight="1">
      <c r="A156" t="inlineStr">
        <is>
          <t>A 59976-2024</t>
        </is>
      </c>
      <c r="B156" t="inlineStr">
        <is>
          <t>avverkningsanmälan</t>
        </is>
      </c>
      <c r="C156" t="inlineStr">
        <is>
          <t>Föryngringsavverkning</t>
        </is>
      </c>
      <c r="D156" s="1" t="n">
        <v>45642</v>
      </c>
      <c r="E156" s="1" t="n">
        <v>46223</v>
      </c>
      <c r="F156" t="inlineStr">
        <is>
          <t>ÖREBRO LÄN</t>
        </is>
      </c>
      <c r="G156" t="inlineStr">
        <is>
          <t>HÄLLEFORS</t>
        </is>
      </c>
      <c r="H156" t="inlineStr">
        <is>
          <t>Bergvik skog väst AB</t>
        </is>
      </c>
      <c r="I156" t="n">
        <v>8.9</v>
      </c>
      <c r="J156" t="n">
        <v>0</v>
      </c>
      <c r="K156" t="n">
        <v>0</v>
      </c>
      <c r="L156" t="n">
        <v>0</v>
      </c>
      <c r="M156" t="n">
        <v>0</v>
      </c>
      <c r="N156" t="n">
        <v>0</v>
      </c>
      <c r="O156" t="n">
        <v>0</v>
      </c>
      <c r="P156" t="n">
        <v>0</v>
      </c>
      <c r="Q156" t="n">
        <v>0</v>
      </c>
      <c r="R156" t="n">
        <v>0</v>
      </c>
      <c r="S156" t="n">
        <v>0</v>
      </c>
      <c r="T156" t="n">
        <v>0</v>
      </c>
      <c r="U156" s="2" t="inlineStr"/>
    </row>
    <row r="157" ht="15" customHeight="1">
      <c r="A157" t="inlineStr">
        <is>
          <t>A 5245-2025</t>
        </is>
      </c>
      <c r="B157" t="inlineStr">
        <is>
          <t>avverkningsanmälan</t>
        </is>
      </c>
      <c r="C157" t="inlineStr">
        <is>
          <t>Föryngringsavverkning</t>
        </is>
      </c>
      <c r="D157" s="1" t="n">
        <v>45692</v>
      </c>
      <c r="E157" s="1" t="n">
        <v>46223</v>
      </c>
      <c r="F157" t="inlineStr">
        <is>
          <t>ÖREBRO LÄN</t>
        </is>
      </c>
      <c r="G157" t="inlineStr">
        <is>
          <t>HÄLLEFORS</t>
        </is>
      </c>
      <c r="H157" t="inlineStr">
        <is>
          <t>Bergvik skog väst AB</t>
        </is>
      </c>
      <c r="I157" t="n">
        <v>8.699999999999999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15941-2023</t>
        </is>
      </c>
      <c r="B158" t="inlineStr">
        <is>
          <t>avverkningsanmälan</t>
        </is>
      </c>
      <c r="C158" t="inlineStr">
        <is>
          <t>Föryngringsavverkning</t>
        </is>
      </c>
      <c r="D158" s="1" t="n">
        <v>45022</v>
      </c>
      <c r="E158" s="1" t="n">
        <v>46223</v>
      </c>
      <c r="F158" t="inlineStr">
        <is>
          <t>ÖREBRO LÄN</t>
        </is>
      </c>
      <c r="G158" t="inlineStr">
        <is>
          <t>HÄLLEFORS</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12545-2023</t>
        </is>
      </c>
      <c r="B159" t="inlineStr">
        <is>
          <t>avverkningsanmälan</t>
        </is>
      </c>
      <c r="C159" t="inlineStr">
        <is>
          <t>Föryngringsavverkning</t>
        </is>
      </c>
      <c r="D159" s="1" t="n">
        <v>45000</v>
      </c>
      <c r="E159" s="1" t="n">
        <v>46223</v>
      </c>
      <c r="F159" t="inlineStr">
        <is>
          <t>ÖREBRO LÄN</t>
        </is>
      </c>
      <c r="G159" t="inlineStr">
        <is>
          <t>HÄLLEFORS</t>
        </is>
      </c>
      <c r="H159" t="inlineStr">
        <is>
          <t>Bergvik skog väst AB</t>
        </is>
      </c>
      <c r="I159" t="n">
        <v>5.6</v>
      </c>
      <c r="J159" t="n">
        <v>0</v>
      </c>
      <c r="K159" t="n">
        <v>0</v>
      </c>
      <c r="L159" t="n">
        <v>0</v>
      </c>
      <c r="M159" t="n">
        <v>0</v>
      </c>
      <c r="N159" t="n">
        <v>0</v>
      </c>
      <c r="O159" t="n">
        <v>0</v>
      </c>
      <c r="P159" t="n">
        <v>0</v>
      </c>
      <c r="Q159" t="n">
        <v>0</v>
      </c>
      <c r="R159" t="n">
        <v>0</v>
      </c>
      <c r="S159" t="n">
        <v>0</v>
      </c>
      <c r="T159" t="n">
        <v>0</v>
      </c>
      <c r="U159" s="2" t="inlineStr"/>
    </row>
    <row r="160" ht="15" customHeight="1">
      <c r="A160" t="inlineStr">
        <is>
          <t>A 12558-2025</t>
        </is>
      </c>
      <c r="B160" t="inlineStr">
        <is>
          <t>avverkningsanmälan</t>
        </is>
      </c>
      <c r="C160" t="inlineStr">
        <is>
          <t>Föryngringsavverkning</t>
        </is>
      </c>
      <c r="D160" s="1" t="n">
        <v>45731</v>
      </c>
      <c r="E160" s="1" t="n">
        <v>46223</v>
      </c>
      <c r="F160" t="inlineStr">
        <is>
          <t>ÖREBRO LÄN</t>
        </is>
      </c>
      <c r="G160" t="inlineStr">
        <is>
          <t>HÄLLEFORS</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50881-2025</t>
        </is>
      </c>
      <c r="B161" t="inlineStr">
        <is>
          <t>avverkningsanmälan</t>
        </is>
      </c>
      <c r="C161" t="inlineStr">
        <is>
          <t>Föryngringsavverkning</t>
        </is>
      </c>
      <c r="D161" s="1" t="n">
        <v>45946</v>
      </c>
      <c r="E161" s="1" t="n">
        <v>46223</v>
      </c>
      <c r="F161" t="inlineStr">
        <is>
          <t>ÖREBRO LÄN</t>
        </is>
      </c>
      <c r="G161" t="inlineStr">
        <is>
          <t>HÄLLEFORS</t>
        </is>
      </c>
      <c r="H161" t="inlineStr">
        <is>
          <t>Bergvik skog väst AB</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6281-2025</t>
        </is>
      </c>
      <c r="B162" t="inlineStr">
        <is>
          <t>avverkningsanmälan</t>
        </is>
      </c>
      <c r="C162" t="inlineStr">
        <is>
          <t>Föryngringsavverkning</t>
        </is>
      </c>
      <c r="D162" s="1" t="n">
        <v>45698</v>
      </c>
      <c r="E162" s="1" t="n">
        <v>46223</v>
      </c>
      <c r="F162" t="inlineStr">
        <is>
          <t>ÖREBRO LÄN</t>
        </is>
      </c>
      <c r="G162" t="inlineStr">
        <is>
          <t>HÄLLEFORS</t>
        </is>
      </c>
      <c r="H162" t="inlineStr">
        <is>
          <t>Bergvik skog väst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50798-2025</t>
        </is>
      </c>
      <c r="B163" t="inlineStr">
        <is>
          <t>avverkningsanmälan</t>
        </is>
      </c>
      <c r="C163" t="inlineStr">
        <is>
          <t>Föryngringsavverkning</t>
        </is>
      </c>
      <c r="D163" s="1" t="n">
        <v>45946</v>
      </c>
      <c r="E163" s="1" t="n">
        <v>46223</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50794-2025</t>
        </is>
      </c>
      <c r="B164" t="inlineStr">
        <is>
          <t>avverkningsanmälan</t>
        </is>
      </c>
      <c r="C164" t="inlineStr">
        <is>
          <t>Föryngringsavverkning</t>
        </is>
      </c>
      <c r="D164" s="1" t="n">
        <v>45946</v>
      </c>
      <c r="E164" s="1" t="n">
        <v>46223</v>
      </c>
      <c r="F164" t="inlineStr">
        <is>
          <t>ÖREBRO LÄN</t>
        </is>
      </c>
      <c r="G164" t="inlineStr">
        <is>
          <t>HÄLLEFORS</t>
        </is>
      </c>
      <c r="H164" t="inlineStr">
        <is>
          <t>Bergvik skog väst AB</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19055-2024</t>
        </is>
      </c>
      <c r="B165" t="inlineStr">
        <is>
          <t>avverkningsanmälan</t>
        </is>
      </c>
      <c r="C165" t="inlineStr">
        <is>
          <t>Föryngringsavverkning</t>
        </is>
      </c>
      <c r="D165" s="1" t="n">
        <v>45427</v>
      </c>
      <c r="E165" s="1" t="n">
        <v>46223</v>
      </c>
      <c r="F165" t="inlineStr">
        <is>
          <t>ÖREBRO LÄN</t>
        </is>
      </c>
      <c r="G165" t="inlineStr">
        <is>
          <t>HÄLLEFORS</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3643-2025</t>
        </is>
      </c>
      <c r="B166" t="inlineStr">
        <is>
          <t>avverkningsanmälan</t>
        </is>
      </c>
      <c r="C166" t="inlineStr">
        <is>
          <t>Föryngringsavverkning</t>
        </is>
      </c>
      <c r="D166" s="1" t="n">
        <v>45681</v>
      </c>
      <c r="E166" s="1" t="n">
        <v>46223</v>
      </c>
      <c r="F166" t="inlineStr">
        <is>
          <t>ÖREBRO LÄN</t>
        </is>
      </c>
      <c r="G166" t="inlineStr">
        <is>
          <t>HÄLLEFORS</t>
        </is>
      </c>
      <c r="I166" t="n">
        <v>20.8</v>
      </c>
      <c r="J166" t="n">
        <v>0</v>
      </c>
      <c r="K166" t="n">
        <v>0</v>
      </c>
      <c r="L166" t="n">
        <v>0</v>
      </c>
      <c r="M166" t="n">
        <v>0</v>
      </c>
      <c r="N166" t="n">
        <v>0</v>
      </c>
      <c r="O166" t="n">
        <v>0</v>
      </c>
      <c r="P166" t="n">
        <v>0</v>
      </c>
      <c r="Q166" t="n">
        <v>0</v>
      </c>
      <c r="R166" t="n">
        <v>0</v>
      </c>
      <c r="S166" t="n">
        <v>0</v>
      </c>
      <c r="T166" t="n">
        <v>0</v>
      </c>
      <c r="U166" s="2" t="inlineStr"/>
    </row>
    <row r="167" ht="15" customHeight="1">
      <c r="A167" t="inlineStr">
        <is>
          <t>A 8064-2026</t>
        </is>
      </c>
      <c r="B167" t="inlineStr">
        <is>
          <t>avverkningsanmälan</t>
        </is>
      </c>
      <c r="C167" t="inlineStr">
        <is>
          <t>Föryngringsavverkning</t>
        </is>
      </c>
      <c r="D167" s="1" t="n">
        <v>46063</v>
      </c>
      <c r="E167" s="1" t="n">
        <v>46223</v>
      </c>
      <c r="F167" t="inlineStr">
        <is>
          <t>ÖREBRO LÄN</t>
        </is>
      </c>
      <c r="G167" t="inlineStr">
        <is>
          <t>HÄLLEFORS</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8095-2026</t>
        </is>
      </c>
      <c r="B168" t="inlineStr">
        <is>
          <t>avverkningsanmälan</t>
        </is>
      </c>
      <c r="C168" t="inlineStr">
        <is>
          <t>Föryngringsavverkning</t>
        </is>
      </c>
      <c r="D168" s="1" t="n">
        <v>46063</v>
      </c>
      <c r="E168" s="1" t="n">
        <v>46223</v>
      </c>
      <c r="F168" t="inlineStr">
        <is>
          <t>ÖREBRO LÄN</t>
        </is>
      </c>
      <c r="G168" t="inlineStr">
        <is>
          <t>HÄLLEFORS</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8099-2026</t>
        </is>
      </c>
      <c r="B169" t="inlineStr">
        <is>
          <t>avverkningsanmälan</t>
        </is>
      </c>
      <c r="C169" t="inlineStr">
        <is>
          <t>Föryngringsavverkning</t>
        </is>
      </c>
      <c r="D169" s="1" t="n">
        <v>46063</v>
      </c>
      <c r="E169" s="1" t="n">
        <v>46223</v>
      </c>
      <c r="F169" t="inlineStr">
        <is>
          <t>ÖREBRO LÄN</t>
        </is>
      </c>
      <c r="G169" t="inlineStr">
        <is>
          <t>HÄLLEFORS</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52453-2025</t>
        </is>
      </c>
      <c r="B170" t="inlineStr">
        <is>
          <t>avverkningsanmälan</t>
        </is>
      </c>
      <c r="C170" t="inlineStr">
        <is>
          <t>Föryngringsavverkning</t>
        </is>
      </c>
      <c r="D170" s="1" t="n">
        <v>45954</v>
      </c>
      <c r="E170" s="1" t="n">
        <v>46223</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52449-2025</t>
        </is>
      </c>
      <c r="B171" t="inlineStr">
        <is>
          <t>avverkningsanmälan</t>
        </is>
      </c>
      <c r="C171" t="inlineStr">
        <is>
          <t>Avverkning för att bevara och utveckla /försöksver</t>
        </is>
      </c>
      <c r="D171" s="1" t="n">
        <v>45954</v>
      </c>
      <c r="E171" s="1" t="n">
        <v>46223</v>
      </c>
      <c r="F171" t="inlineStr">
        <is>
          <t>ÖREBRO LÄN</t>
        </is>
      </c>
      <c r="G171" t="inlineStr">
        <is>
          <t>HÄLLEFORS</t>
        </is>
      </c>
      <c r="H171" t="inlineStr">
        <is>
          <t>Bergvik skog väst AB</t>
        </is>
      </c>
      <c r="I171" t="n">
        <v>3.1</v>
      </c>
      <c r="J171" t="n">
        <v>0</v>
      </c>
      <c r="K171" t="n">
        <v>0</v>
      </c>
      <c r="L171" t="n">
        <v>0</v>
      </c>
      <c r="M171" t="n">
        <v>0</v>
      </c>
      <c r="N171" t="n">
        <v>0</v>
      </c>
      <c r="O171" t="n">
        <v>0</v>
      </c>
      <c r="P171" t="n">
        <v>0</v>
      </c>
      <c r="Q171" t="n">
        <v>0</v>
      </c>
      <c r="R171" t="n">
        <v>0</v>
      </c>
      <c r="S171" t="n">
        <v>0</v>
      </c>
      <c r="T171" t="n">
        <v>0</v>
      </c>
      <c r="U171" s="2" t="inlineStr"/>
    </row>
    <row r="172" ht="15" customHeight="1">
      <c r="A172" t="inlineStr">
        <is>
          <t>A 29884-2022</t>
        </is>
      </c>
      <c r="B172" t="inlineStr">
        <is>
          <t>avverkningsanmälan</t>
        </is>
      </c>
      <c r="C172" t="inlineStr">
        <is>
          <t>Föryngringsavverkning</t>
        </is>
      </c>
      <c r="D172" s="1" t="n">
        <v>44756</v>
      </c>
      <c r="E172" s="1" t="n">
        <v>46223</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17041-2025</t>
        </is>
      </c>
      <c r="B173" t="inlineStr">
        <is>
          <t>avverkningsanmälan</t>
        </is>
      </c>
      <c r="C173" t="inlineStr">
        <is>
          <t>Föryngringsavverkning</t>
        </is>
      </c>
      <c r="D173" s="1" t="n">
        <v>45755</v>
      </c>
      <c r="E173" s="1" t="n">
        <v>46223</v>
      </c>
      <c r="F173" t="inlineStr">
        <is>
          <t>ÖREBRO LÄN</t>
        </is>
      </c>
      <c r="G173" t="inlineStr">
        <is>
          <t>HÄLLEFORS</t>
        </is>
      </c>
      <c r="H173" t="inlineStr">
        <is>
          <t>Bergvik skog väst AB</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29340-2024</t>
        </is>
      </c>
      <c r="B174" t="inlineStr">
        <is>
          <t>avverkningsanmälan</t>
        </is>
      </c>
      <c r="C174" t="inlineStr">
        <is>
          <t>Föryngringsavverkning</t>
        </is>
      </c>
      <c r="D174" s="1" t="n">
        <v>45483</v>
      </c>
      <c r="E174" s="1" t="n">
        <v>46223</v>
      </c>
      <c r="F174" t="inlineStr">
        <is>
          <t>ÖREBRO LÄN</t>
        </is>
      </c>
      <c r="G174" t="inlineStr">
        <is>
          <t>HÄLLEFORS</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53337-2025</t>
        </is>
      </c>
      <c r="B175" t="inlineStr">
        <is>
          <t>avverkningsanmälan</t>
        </is>
      </c>
      <c r="C175" t="inlineStr">
        <is>
          <t>Föryngringsavverkning</t>
        </is>
      </c>
      <c r="D175" s="1" t="n">
        <v>45959</v>
      </c>
      <c r="E175" s="1" t="n">
        <v>46223</v>
      </c>
      <c r="F175" t="inlineStr">
        <is>
          <t>ÖREBRO LÄN</t>
        </is>
      </c>
      <c r="G175" t="inlineStr">
        <is>
          <t>HÄLLEFORS</t>
        </is>
      </c>
      <c r="I175" t="n">
        <v>4.8</v>
      </c>
      <c r="J175" t="n">
        <v>0</v>
      </c>
      <c r="K175" t="n">
        <v>0</v>
      </c>
      <c r="L175" t="n">
        <v>0</v>
      </c>
      <c r="M175" t="n">
        <v>0</v>
      </c>
      <c r="N175" t="n">
        <v>0</v>
      </c>
      <c r="O175" t="n">
        <v>0</v>
      </c>
      <c r="P175" t="n">
        <v>0</v>
      </c>
      <c r="Q175" t="n">
        <v>0</v>
      </c>
      <c r="R175" t="n">
        <v>0</v>
      </c>
      <c r="S175" t="n">
        <v>0</v>
      </c>
      <c r="T175" t="n">
        <v>0</v>
      </c>
      <c r="U175" s="2" t="inlineStr"/>
    </row>
    <row r="176" ht="15" customHeight="1">
      <c r="A176" t="inlineStr">
        <is>
          <t>A 53335-2025</t>
        </is>
      </c>
      <c r="B176" t="inlineStr">
        <is>
          <t>avverkningsanmälan</t>
        </is>
      </c>
      <c r="C176" t="inlineStr">
        <is>
          <t>Föryngringsavverkning</t>
        </is>
      </c>
      <c r="D176" s="1" t="n">
        <v>45959</v>
      </c>
      <c r="E176" s="1" t="n">
        <v>46223</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s="2" t="inlineStr"/>
    </row>
    <row r="177" ht="15" customHeight="1">
      <c r="A177" t="inlineStr">
        <is>
          <t>A 20170-2023</t>
        </is>
      </c>
      <c r="B177" t="inlineStr">
        <is>
          <t>avverkningsanmälan</t>
        </is>
      </c>
      <c r="C177" t="inlineStr">
        <is>
          <t>Föryngringsavverkning</t>
        </is>
      </c>
      <c r="D177" s="1" t="n">
        <v>45055</v>
      </c>
      <c r="E177" s="1" t="n">
        <v>46223</v>
      </c>
      <c r="F177" t="inlineStr">
        <is>
          <t>ÖREBRO LÄN</t>
        </is>
      </c>
      <c r="G177" t="inlineStr">
        <is>
          <t>HÄLLEFORS</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53331-2025</t>
        </is>
      </c>
      <c r="B178" t="inlineStr">
        <is>
          <t>avverkningsanmälan</t>
        </is>
      </c>
      <c r="C178" t="inlineStr">
        <is>
          <t>Föryngringsavverkning</t>
        </is>
      </c>
      <c r="D178" s="1" t="n">
        <v>45959</v>
      </c>
      <c r="E178" s="1" t="n">
        <v>46223</v>
      </c>
      <c r="F178" t="inlineStr">
        <is>
          <t>ÖREBRO LÄN</t>
        </is>
      </c>
      <c r="G178" t="inlineStr">
        <is>
          <t>HÄLLEFORS</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53952-2025</t>
        </is>
      </c>
      <c r="B179" t="inlineStr">
        <is>
          <t>avverkningsanmälan</t>
        </is>
      </c>
      <c r="C179" t="inlineStr">
        <is>
          <t>Föryngringsavverkning</t>
        </is>
      </c>
      <c r="D179" s="1" t="n">
        <v>45961</v>
      </c>
      <c r="E179" s="1" t="n">
        <v>46223</v>
      </c>
      <c r="F179" t="inlineStr">
        <is>
          <t>ÖREBRO LÄN</t>
        </is>
      </c>
      <c r="G179" t="inlineStr">
        <is>
          <t>HÄLLEFORS</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36276-2024</t>
        </is>
      </c>
      <c r="B180" t="inlineStr">
        <is>
          <t>avverkningsanmälan</t>
        </is>
      </c>
      <c r="C180" t="inlineStr">
        <is>
          <t>Föryngringsavverkning</t>
        </is>
      </c>
      <c r="D180" s="1" t="n">
        <v>45534</v>
      </c>
      <c r="E180" s="1" t="n">
        <v>46223</v>
      </c>
      <c r="F180" t="inlineStr">
        <is>
          <t>ÖREBRO LÄN</t>
        </is>
      </c>
      <c r="G180" t="inlineStr">
        <is>
          <t>HÄLLEFORS</t>
        </is>
      </c>
      <c r="H180" t="inlineStr">
        <is>
          <t>Bergvik skog väst AB</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39327-2022</t>
        </is>
      </c>
      <c r="B181" t="inlineStr">
        <is>
          <t>avverkningsanmälan</t>
        </is>
      </c>
      <c r="C181" t="inlineStr">
        <is>
          <t>Föryngringsavverkning</t>
        </is>
      </c>
      <c r="D181" s="1" t="n">
        <v>44817</v>
      </c>
      <c r="E181" s="1" t="n">
        <v>46223</v>
      </c>
      <c r="F181" t="inlineStr">
        <is>
          <t>ÖREBRO LÄN</t>
        </is>
      </c>
      <c r="G181" t="inlineStr">
        <is>
          <t>HÄLLEFORS</t>
        </is>
      </c>
      <c r="H181" t="inlineStr">
        <is>
          <t>Bergvik skog väst AB</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41822-2023</t>
        </is>
      </c>
      <c r="B182" t="inlineStr">
        <is>
          <t>avverkningsanmälan</t>
        </is>
      </c>
      <c r="C182" t="inlineStr">
        <is>
          <t>Föryngringsavverkning</t>
        </is>
      </c>
      <c r="D182" s="1" t="n">
        <v>45176</v>
      </c>
      <c r="E182" s="1" t="n">
        <v>46223</v>
      </c>
      <c r="F182" t="inlineStr">
        <is>
          <t>ÖREBRO LÄN</t>
        </is>
      </c>
      <c r="G182" t="inlineStr">
        <is>
          <t>HÄLLEFORS</t>
        </is>
      </c>
      <c r="H182" t="inlineStr">
        <is>
          <t>Bergvik skog väst AB</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17811-2025</t>
        </is>
      </c>
      <c r="B183" t="inlineStr">
        <is>
          <t>avverkningsanmälan</t>
        </is>
      </c>
      <c r="C183" t="inlineStr">
        <is>
          <t>Avverkning för att bevara och utveckla /försöksver</t>
        </is>
      </c>
      <c r="D183" s="1" t="n">
        <v>45758</v>
      </c>
      <c r="E183" s="1" t="n">
        <v>46223</v>
      </c>
      <c r="F183" t="inlineStr">
        <is>
          <t>ÖREBRO LÄN</t>
        </is>
      </c>
      <c r="G183" t="inlineStr">
        <is>
          <t>HÄLLEFORS</t>
        </is>
      </c>
      <c r="H183" t="inlineStr">
        <is>
          <t>Sveaskog</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23561-2023</t>
        </is>
      </c>
      <c r="B184" t="inlineStr">
        <is>
          <t>avverkningsanmälan</t>
        </is>
      </c>
      <c r="C184" t="inlineStr">
        <is>
          <t>Föryngringsavverkning</t>
        </is>
      </c>
      <c r="D184" s="1" t="n">
        <v>45077</v>
      </c>
      <c r="E184" s="1" t="n">
        <v>46223</v>
      </c>
      <c r="F184" t="inlineStr">
        <is>
          <t>ÖREBRO LÄN</t>
        </is>
      </c>
      <c r="G184" t="inlineStr">
        <is>
          <t>HÄLLEFORS</t>
        </is>
      </c>
      <c r="H184" t="inlineStr">
        <is>
          <t>Bergvik skog väst AB</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67953-2021</t>
        </is>
      </c>
      <c r="B185" t="inlineStr">
        <is>
          <t>avverkningsanmälan</t>
        </is>
      </c>
      <c r="C185" t="inlineStr">
        <is>
          <t>Föryngringsavverkning</t>
        </is>
      </c>
      <c r="D185" s="1" t="n">
        <v>44525</v>
      </c>
      <c r="E185" s="1" t="n">
        <v>46223</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9536-2025</t>
        </is>
      </c>
      <c r="B186" t="inlineStr">
        <is>
          <t>avverkningsanmälan</t>
        </is>
      </c>
      <c r="C186" t="inlineStr">
        <is>
          <t>Föryngringsavverkning</t>
        </is>
      </c>
      <c r="D186" s="1" t="n">
        <v>45715</v>
      </c>
      <c r="E186" s="1" t="n">
        <v>46223</v>
      </c>
      <c r="F186" t="inlineStr">
        <is>
          <t>ÖREBRO LÄN</t>
        </is>
      </c>
      <c r="G186" t="inlineStr">
        <is>
          <t>HÄLLEFORS</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9539-2025</t>
        </is>
      </c>
      <c r="B187" t="inlineStr">
        <is>
          <t>avverkningsanmälan</t>
        </is>
      </c>
      <c r="C187" t="inlineStr">
        <is>
          <t>Föryngringsavverkning</t>
        </is>
      </c>
      <c r="D187" s="1" t="n">
        <v>45715</v>
      </c>
      <c r="E187" s="1" t="n">
        <v>46223</v>
      </c>
      <c r="F187" t="inlineStr">
        <is>
          <t>ÖREBRO LÄN</t>
        </is>
      </c>
      <c r="G187" t="inlineStr">
        <is>
          <t>HÄLLEFORS</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58942-2025</t>
        </is>
      </c>
      <c r="B188" t="inlineStr">
        <is>
          <t>avverkningsanmälan</t>
        </is>
      </c>
      <c r="C188" t="inlineStr">
        <is>
          <t>Föryngringsavverkning</t>
        </is>
      </c>
      <c r="D188" s="1" t="n">
        <v>45987</v>
      </c>
      <c r="E188" s="1" t="n">
        <v>46223</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58947-2025</t>
        </is>
      </c>
      <c r="B189" t="inlineStr">
        <is>
          <t>avverkningsanmälan</t>
        </is>
      </c>
      <c r="C189" t="inlineStr">
        <is>
          <t>Föryngringsavverkning</t>
        </is>
      </c>
      <c r="D189" s="1" t="n">
        <v>45987</v>
      </c>
      <c r="E189" s="1" t="n">
        <v>46223</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s="2" t="inlineStr"/>
    </row>
    <row r="190" ht="15" customHeight="1">
      <c r="A190" t="inlineStr">
        <is>
          <t>A 24359-2023</t>
        </is>
      </c>
      <c r="B190" t="inlineStr">
        <is>
          <t>avverkningsanmälan</t>
        </is>
      </c>
      <c r="C190" t="inlineStr">
        <is>
          <t>Föryngringsavverkning</t>
        </is>
      </c>
      <c r="D190" s="1" t="n">
        <v>45082</v>
      </c>
      <c r="E190" s="1" t="n">
        <v>46223</v>
      </c>
      <c r="F190" t="inlineStr">
        <is>
          <t>ÖREBRO LÄN</t>
        </is>
      </c>
      <c r="G190" t="inlineStr">
        <is>
          <t>HÄLLEFORS</t>
        </is>
      </c>
      <c r="H190" t="inlineStr">
        <is>
          <t>Sveaskog</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61084-2025</t>
        </is>
      </c>
      <c r="B191" t="inlineStr">
        <is>
          <t>avverkningsanmälan</t>
        </is>
      </c>
      <c r="C191" t="inlineStr">
        <is>
          <t>Föryngringsavverkning</t>
        </is>
      </c>
      <c r="D191" s="1" t="n">
        <v>46000</v>
      </c>
      <c r="E191" s="1" t="n">
        <v>46223</v>
      </c>
      <c r="F191" t="inlineStr">
        <is>
          <t>ÖREBRO LÄN</t>
        </is>
      </c>
      <c r="G191" t="inlineStr">
        <is>
          <t>HÄLLEFORS</t>
        </is>
      </c>
      <c r="H191" t="inlineStr">
        <is>
          <t>Bergvik skog väst AB</t>
        </is>
      </c>
      <c r="I191" t="n">
        <v>7.7</v>
      </c>
      <c r="J191" t="n">
        <v>0</v>
      </c>
      <c r="K191" t="n">
        <v>0</v>
      </c>
      <c r="L191" t="n">
        <v>0</v>
      </c>
      <c r="M191" t="n">
        <v>0</v>
      </c>
      <c r="N191" t="n">
        <v>0</v>
      </c>
      <c r="O191" t="n">
        <v>0</v>
      </c>
      <c r="P191" t="n">
        <v>0</v>
      </c>
      <c r="Q191" t="n">
        <v>0</v>
      </c>
      <c r="R191" t="n">
        <v>0</v>
      </c>
      <c r="S191" t="n">
        <v>0</v>
      </c>
      <c r="T191" t="n">
        <v>0</v>
      </c>
      <c r="U191" s="2" t="inlineStr"/>
    </row>
    <row r="192" ht="15" customHeight="1">
      <c r="A192" t="inlineStr">
        <is>
          <t>A 61164-2025</t>
        </is>
      </c>
      <c r="B192" t="inlineStr">
        <is>
          <t>avverkningsanmälan</t>
        </is>
      </c>
      <c r="C192" t="inlineStr">
        <is>
          <t>Föryngringsavverkning</t>
        </is>
      </c>
      <c r="D192" s="1" t="n">
        <v>46000</v>
      </c>
      <c r="E192" s="1" t="n">
        <v>46223</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60852-2025</t>
        </is>
      </c>
      <c r="B193" t="inlineStr">
        <is>
          <t>avverkningsanmälan</t>
        </is>
      </c>
      <c r="C193" t="inlineStr">
        <is>
          <t>Föryngringsavverkning</t>
        </is>
      </c>
      <c r="D193" s="1" t="n">
        <v>45999</v>
      </c>
      <c r="E193" s="1" t="n">
        <v>46223</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s="2" t="inlineStr"/>
    </row>
    <row r="194" ht="15" customHeight="1">
      <c r="A194" t="inlineStr">
        <is>
          <t>A 34478-2022</t>
        </is>
      </c>
      <c r="B194" t="inlineStr">
        <is>
          <t>avverkningsanmälan</t>
        </is>
      </c>
      <c r="C194" t="inlineStr">
        <is>
          <t>Föryngringsavverkning</t>
        </is>
      </c>
      <c r="D194" s="1" t="n">
        <v>44792</v>
      </c>
      <c r="E194" s="1" t="n">
        <v>46223</v>
      </c>
      <c r="F194" t="inlineStr">
        <is>
          <t>ÖREBRO LÄN</t>
        </is>
      </c>
      <c r="G194" t="inlineStr">
        <is>
          <t>HÄLLEFORS</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38908-2021</t>
        </is>
      </c>
      <c r="B195" t="inlineStr">
        <is>
          <t>avverkningsanmälan</t>
        </is>
      </c>
      <c r="C195" t="inlineStr">
        <is>
          <t>Föryngringsavverkning</t>
        </is>
      </c>
      <c r="D195" s="1" t="n">
        <v>44411</v>
      </c>
      <c r="E195" s="1" t="n">
        <v>46223</v>
      </c>
      <c r="F195" t="inlineStr">
        <is>
          <t>ÖREBRO LÄN</t>
        </is>
      </c>
      <c r="G195" t="inlineStr">
        <is>
          <t>HÄLLEFORS</t>
        </is>
      </c>
      <c r="I195" t="n">
        <v>3.9</v>
      </c>
      <c r="J195" t="n">
        <v>0</v>
      </c>
      <c r="K195" t="n">
        <v>0</v>
      </c>
      <c r="L195" t="n">
        <v>0</v>
      </c>
      <c r="M195" t="n">
        <v>0</v>
      </c>
      <c r="N195" t="n">
        <v>0</v>
      </c>
      <c r="O195" t="n">
        <v>0</v>
      </c>
      <c r="P195" t="n">
        <v>0</v>
      </c>
      <c r="Q195" t="n">
        <v>0</v>
      </c>
      <c r="R195" t="n">
        <v>0</v>
      </c>
      <c r="S195" t="n">
        <v>0</v>
      </c>
      <c r="T195" t="n">
        <v>0</v>
      </c>
      <c r="U195" s="2" t="inlineStr"/>
    </row>
    <row r="196" ht="15" customHeight="1">
      <c r="A196" t="inlineStr">
        <is>
          <t>A 61366-2025</t>
        </is>
      </c>
      <c r="B196" t="inlineStr">
        <is>
          <t>avverkningsanmälan</t>
        </is>
      </c>
      <c r="C196" t="inlineStr">
        <is>
          <t>Avverkning för annat ändamål</t>
        </is>
      </c>
      <c r="D196" s="1" t="n">
        <v>46001</v>
      </c>
      <c r="E196" s="1" t="n">
        <v>46223</v>
      </c>
      <c r="F196" t="inlineStr">
        <is>
          <t>ÖREBRO LÄN</t>
        </is>
      </c>
      <c r="G196" t="inlineStr">
        <is>
          <t>HÄLLEFORS</t>
        </is>
      </c>
      <c r="H196" t="inlineStr">
        <is>
          <t>Bergvik skog väst AB</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62262-2025</t>
        </is>
      </c>
      <c r="B197" t="inlineStr">
        <is>
          <t>avverkningsanmälan</t>
        </is>
      </c>
      <c r="C197" t="inlineStr">
        <is>
          <t>Föryngringsavverkning</t>
        </is>
      </c>
      <c r="D197" s="1" t="n">
        <v>46006</v>
      </c>
      <c r="E197" s="1" t="n">
        <v>46223</v>
      </c>
      <c r="F197" t="inlineStr">
        <is>
          <t>ÖREBRO LÄN</t>
        </is>
      </c>
      <c r="G197" t="inlineStr">
        <is>
          <t>HÄLLEFORS</t>
        </is>
      </c>
      <c r="I197" t="n">
        <v>13.4</v>
      </c>
      <c r="J197" t="n">
        <v>0</v>
      </c>
      <c r="K197" t="n">
        <v>0</v>
      </c>
      <c r="L197" t="n">
        <v>0</v>
      </c>
      <c r="M197" t="n">
        <v>0</v>
      </c>
      <c r="N197" t="n">
        <v>0</v>
      </c>
      <c r="O197" t="n">
        <v>0</v>
      </c>
      <c r="P197" t="n">
        <v>0</v>
      </c>
      <c r="Q197" t="n">
        <v>0</v>
      </c>
      <c r="R197" t="n">
        <v>0</v>
      </c>
      <c r="S197" t="n">
        <v>0</v>
      </c>
      <c r="T197" t="n">
        <v>0</v>
      </c>
      <c r="U197" s="2" t="inlineStr"/>
    </row>
    <row r="198" ht="15" customHeight="1">
      <c r="A198" t="inlineStr">
        <is>
          <t>A 51088-2022</t>
        </is>
      </c>
      <c r="B198" t="inlineStr">
        <is>
          <t>avverkningsanmälan</t>
        </is>
      </c>
      <c r="C198" t="inlineStr">
        <is>
          <t>Föryngringsavverkning</t>
        </is>
      </c>
      <c r="D198" s="1" t="n">
        <v>44868</v>
      </c>
      <c r="E198" s="1" t="n">
        <v>46223</v>
      </c>
      <c r="F198" t="inlineStr">
        <is>
          <t>ÖREBRO LÄN</t>
        </is>
      </c>
      <c r="G198" t="inlineStr">
        <is>
          <t>HÄLLEFORS</t>
        </is>
      </c>
      <c r="H198" t="inlineStr">
        <is>
          <t>Bergvik skog väst AB</t>
        </is>
      </c>
      <c r="I198" t="n">
        <v>3.1</v>
      </c>
      <c r="J198" t="n">
        <v>0</v>
      </c>
      <c r="K198" t="n">
        <v>0</v>
      </c>
      <c r="L198" t="n">
        <v>0</v>
      </c>
      <c r="M198" t="n">
        <v>0</v>
      </c>
      <c r="N198" t="n">
        <v>0</v>
      </c>
      <c r="O198" t="n">
        <v>0</v>
      </c>
      <c r="P198" t="n">
        <v>0</v>
      </c>
      <c r="Q198" t="n">
        <v>0</v>
      </c>
      <c r="R198" t="n">
        <v>0</v>
      </c>
      <c r="S198" t="n">
        <v>0</v>
      </c>
      <c r="T198" t="n">
        <v>0</v>
      </c>
      <c r="U198" s="2" t="inlineStr"/>
    </row>
    <row r="199" ht="15" customHeight="1">
      <c r="A199" t="inlineStr">
        <is>
          <t>A 9906-2024</t>
        </is>
      </c>
      <c r="B199" t="inlineStr">
        <is>
          <t>avverkningsanmälan</t>
        </is>
      </c>
      <c r="C199" t="inlineStr">
        <is>
          <t>Föryngringsavverkning</t>
        </is>
      </c>
      <c r="D199" s="1" t="n">
        <v>45363</v>
      </c>
      <c r="E199" s="1" t="n">
        <v>46223</v>
      </c>
      <c r="F199" t="inlineStr">
        <is>
          <t>ÖREBRO LÄN</t>
        </is>
      </c>
      <c r="G199" t="inlineStr">
        <is>
          <t>HÄLLEFORS</t>
        </is>
      </c>
      <c r="H199" t="inlineStr">
        <is>
          <t>Bergvik skog väst AB</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623-2023</t>
        </is>
      </c>
      <c r="B200" t="inlineStr">
        <is>
          <t>avverkningsanmälan</t>
        </is>
      </c>
      <c r="C200" t="inlineStr">
        <is>
          <t>Föryngringsavverkning</t>
        </is>
      </c>
      <c r="D200" s="1" t="n">
        <v>44930</v>
      </c>
      <c r="E200" s="1" t="n">
        <v>46223</v>
      </c>
      <c r="F200" t="inlineStr">
        <is>
          <t>ÖREBRO LÄN</t>
        </is>
      </c>
      <c r="G200" t="inlineStr">
        <is>
          <t>HÄLLEFORS</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17764-2023</t>
        </is>
      </c>
      <c r="B201" t="inlineStr">
        <is>
          <t>avverkningsanmälan</t>
        </is>
      </c>
      <c r="C201" t="inlineStr">
        <is>
          <t>Föryngringsavverkning</t>
        </is>
      </c>
      <c r="D201" s="1" t="n">
        <v>45037</v>
      </c>
      <c r="E201" s="1" t="n">
        <v>46223</v>
      </c>
      <c r="F201" t="inlineStr">
        <is>
          <t>ÖREBRO LÄN</t>
        </is>
      </c>
      <c r="G201" t="inlineStr">
        <is>
          <t>HÄLLEFORS</t>
        </is>
      </c>
      <c r="H201" t="inlineStr">
        <is>
          <t>Bergvik skog väst AB</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62848-2025</t>
        </is>
      </c>
      <c r="B202" t="inlineStr">
        <is>
          <t>avverkningsanmälan</t>
        </is>
      </c>
      <c r="C202" t="inlineStr">
        <is>
          <t>Föryngringsavverkning</t>
        </is>
      </c>
      <c r="D202" s="1" t="n">
        <v>46008</v>
      </c>
      <c r="E202" s="1" t="n">
        <v>46223</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s="2" t="inlineStr"/>
    </row>
    <row r="203" ht="15" customHeight="1">
      <c r="A203" t="inlineStr">
        <is>
          <t>A 62846-2025</t>
        </is>
      </c>
      <c r="B203" t="inlineStr">
        <is>
          <t>avverkningsanmälan</t>
        </is>
      </c>
      <c r="C203" t="inlineStr">
        <is>
          <t>Föryngringsavverkning</t>
        </is>
      </c>
      <c r="D203" s="1" t="n">
        <v>46008</v>
      </c>
      <c r="E203" s="1" t="n">
        <v>46223</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s="2" t="inlineStr"/>
    </row>
    <row r="204" ht="15" customHeight="1">
      <c r="A204" t="inlineStr">
        <is>
          <t>A 17661-2025</t>
        </is>
      </c>
      <c r="B204" t="inlineStr">
        <is>
          <t>avverkningsanmälan</t>
        </is>
      </c>
      <c r="C204" t="inlineStr">
        <is>
          <t>Föryngringsavverkning</t>
        </is>
      </c>
      <c r="D204" s="1" t="n">
        <v>45758</v>
      </c>
      <c r="E204" s="1" t="n">
        <v>46223</v>
      </c>
      <c r="F204" t="inlineStr">
        <is>
          <t>ÖREBRO LÄN</t>
        </is>
      </c>
      <c r="G204" t="inlineStr">
        <is>
          <t>HÄLLEFORS</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71766-2021</t>
        </is>
      </c>
      <c r="B205" t="inlineStr">
        <is>
          <t>avverkningsanmälan</t>
        </is>
      </c>
      <c r="C205" t="inlineStr">
        <is>
          <t>Föryngringsavverkning</t>
        </is>
      </c>
      <c r="D205" s="1" t="n">
        <v>44543</v>
      </c>
      <c r="E205" s="1" t="n">
        <v>46223</v>
      </c>
      <c r="F205" t="inlineStr">
        <is>
          <t>ÖREBRO LÄN</t>
        </is>
      </c>
      <c r="G205" t="inlineStr">
        <is>
          <t>HÄLLEFORS</t>
        </is>
      </c>
      <c r="H205" t="inlineStr">
        <is>
          <t>Bergvik skog väst AB</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23037-2024</t>
        </is>
      </c>
      <c r="B206" t="inlineStr">
        <is>
          <t>avverkningsanmälan</t>
        </is>
      </c>
      <c r="C206" t="inlineStr">
        <is>
          <t>Föryngringsavverkning</t>
        </is>
      </c>
      <c r="D206" s="1" t="n">
        <v>45450</v>
      </c>
      <c r="E206" s="1" t="n">
        <v>46223</v>
      </c>
      <c r="F206" t="inlineStr">
        <is>
          <t>ÖREBRO LÄN</t>
        </is>
      </c>
      <c r="G206" t="inlineStr">
        <is>
          <t>HÄLLEFORS</t>
        </is>
      </c>
      <c r="I206" t="n">
        <v>2.4</v>
      </c>
      <c r="J206" t="n">
        <v>0</v>
      </c>
      <c r="K206" t="n">
        <v>0</v>
      </c>
      <c r="L206" t="n">
        <v>0</v>
      </c>
      <c r="M206" t="n">
        <v>0</v>
      </c>
      <c r="N206" t="n">
        <v>0</v>
      </c>
      <c r="O206" t="n">
        <v>0</v>
      </c>
      <c r="P206" t="n">
        <v>0</v>
      </c>
      <c r="Q206" t="n">
        <v>0</v>
      </c>
      <c r="R206" t="n">
        <v>0</v>
      </c>
      <c r="S206" t="n">
        <v>0</v>
      </c>
      <c r="T206" t="n">
        <v>0</v>
      </c>
      <c r="U206" s="2" t="inlineStr"/>
    </row>
    <row r="207" ht="15" customHeight="1">
      <c r="A207" t="inlineStr">
        <is>
          <t>A 59485-2022</t>
        </is>
      </c>
      <c r="B207" t="inlineStr">
        <is>
          <t>avverkningsanmälan</t>
        </is>
      </c>
      <c r="C207" t="inlineStr">
        <is>
          <t>Föryngringsavverkning</t>
        </is>
      </c>
      <c r="D207" s="1" t="n">
        <v>44907</v>
      </c>
      <c r="E207" s="1" t="n">
        <v>46223</v>
      </c>
      <c r="F207" t="inlineStr">
        <is>
          <t>ÖREBRO LÄN</t>
        </is>
      </c>
      <c r="G207" t="inlineStr">
        <is>
          <t>HÄLLEFORS</t>
        </is>
      </c>
      <c r="H207" t="inlineStr">
        <is>
          <t>Bergvik skog väst AB</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55300-2023</t>
        </is>
      </c>
      <c r="B208" t="inlineStr">
        <is>
          <t>avverkningsanmälan</t>
        </is>
      </c>
      <c r="C208" t="inlineStr">
        <is>
          <t>Föryngringsavverkning</t>
        </is>
      </c>
      <c r="D208" s="1" t="n">
        <v>45237</v>
      </c>
      <c r="E208" s="1" t="n">
        <v>46223</v>
      </c>
      <c r="F208" t="inlineStr">
        <is>
          <t>ÖREBRO LÄN</t>
        </is>
      </c>
      <c r="G208" t="inlineStr">
        <is>
          <t>HÄLLEFORS</t>
        </is>
      </c>
      <c r="H208" t="inlineStr">
        <is>
          <t>Bergvik skog väst AB</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15073-2022</t>
        </is>
      </c>
      <c r="B209" t="inlineStr">
        <is>
          <t>avverkningsanmälan</t>
        </is>
      </c>
      <c r="C209" t="inlineStr">
        <is>
          <t>Föryngringsavverkning</t>
        </is>
      </c>
      <c r="D209" s="1" t="n">
        <v>44657</v>
      </c>
      <c r="E209" s="1" t="n">
        <v>46223</v>
      </c>
      <c r="F209" t="inlineStr">
        <is>
          <t>ÖREBRO LÄN</t>
        </is>
      </c>
      <c r="G209" t="inlineStr">
        <is>
          <t>HÄLLEFORS</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38010-2024</t>
        </is>
      </c>
      <c r="B210" t="inlineStr">
        <is>
          <t>avverkningsanmälan</t>
        </is>
      </c>
      <c r="C210" t="inlineStr">
        <is>
          <t>Föryngringsavverkning</t>
        </is>
      </c>
      <c r="D210" s="1" t="n">
        <v>45544</v>
      </c>
      <c r="E210" s="1" t="n">
        <v>46223</v>
      </c>
      <c r="F210" t="inlineStr">
        <is>
          <t>ÖREBRO LÄN</t>
        </is>
      </c>
      <c r="G210" t="inlineStr">
        <is>
          <t>HÄLLEFORS</t>
        </is>
      </c>
      <c r="I210" t="n">
        <v>22.7</v>
      </c>
      <c r="J210" t="n">
        <v>0</v>
      </c>
      <c r="K210" t="n">
        <v>0</v>
      </c>
      <c r="L210" t="n">
        <v>0</v>
      </c>
      <c r="M210" t="n">
        <v>0</v>
      </c>
      <c r="N210" t="n">
        <v>0</v>
      </c>
      <c r="O210" t="n">
        <v>0</v>
      </c>
      <c r="P210" t="n">
        <v>0</v>
      </c>
      <c r="Q210" t="n">
        <v>0</v>
      </c>
      <c r="R210" t="n">
        <v>0</v>
      </c>
      <c r="S210" t="n">
        <v>0</v>
      </c>
      <c r="T210" t="n">
        <v>0</v>
      </c>
      <c r="U210" s="2" t="inlineStr"/>
    </row>
    <row r="211" ht="15" customHeight="1">
      <c r="A211" t="inlineStr">
        <is>
          <t>A 30592-2024</t>
        </is>
      </c>
      <c r="B211" t="inlineStr">
        <is>
          <t>avverkningsanmälan</t>
        </is>
      </c>
      <c r="C211" t="inlineStr">
        <is>
          <t>Föryngringsavverkning</t>
        </is>
      </c>
      <c r="D211" s="1" t="n">
        <v>45493</v>
      </c>
      <c r="E211" s="1" t="n">
        <v>46223</v>
      </c>
      <c r="F211" t="inlineStr">
        <is>
          <t>ÖREBRO LÄN</t>
        </is>
      </c>
      <c r="G211" t="inlineStr">
        <is>
          <t>HÄLLEFORS</t>
        </is>
      </c>
      <c r="I211" t="n">
        <v>7.1</v>
      </c>
      <c r="J211" t="n">
        <v>0</v>
      </c>
      <c r="K211" t="n">
        <v>0</v>
      </c>
      <c r="L211" t="n">
        <v>0</v>
      </c>
      <c r="M211" t="n">
        <v>0</v>
      </c>
      <c r="N211" t="n">
        <v>0</v>
      </c>
      <c r="O211" t="n">
        <v>0</v>
      </c>
      <c r="P211" t="n">
        <v>0</v>
      </c>
      <c r="Q211" t="n">
        <v>0</v>
      </c>
      <c r="R211" t="n">
        <v>0</v>
      </c>
      <c r="S211" t="n">
        <v>0</v>
      </c>
      <c r="T211" t="n">
        <v>0</v>
      </c>
      <c r="U211" s="2" t="inlineStr"/>
    </row>
    <row r="212" ht="15" customHeight="1">
      <c r="A212" t="inlineStr">
        <is>
          <t>A 7774-2022</t>
        </is>
      </c>
      <c r="B212" t="inlineStr">
        <is>
          <t>avverkningsanmälan</t>
        </is>
      </c>
      <c r="C212" t="inlineStr">
        <is>
          <t>Föryngringsavverkning</t>
        </is>
      </c>
      <c r="D212" s="1" t="n">
        <v>44608</v>
      </c>
      <c r="E212" s="1" t="n">
        <v>46223</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39513-2024</t>
        </is>
      </c>
      <c r="B213" t="inlineStr">
        <is>
          <t>avverkningsanmälan</t>
        </is>
      </c>
      <c r="C213" t="inlineStr">
        <is>
          <t>Avverkning för annat ändamål</t>
        </is>
      </c>
      <c r="D213" s="1" t="n">
        <v>45551</v>
      </c>
      <c r="E213" s="1" t="n">
        <v>46223</v>
      </c>
      <c r="F213" t="inlineStr">
        <is>
          <t>ÖREBRO LÄN</t>
        </is>
      </c>
      <c r="G213" t="inlineStr">
        <is>
          <t>HÄLLEFORS</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27935-2023</t>
        </is>
      </c>
      <c r="B214" t="inlineStr">
        <is>
          <t>avverkningsanmälan</t>
        </is>
      </c>
      <c r="C214" t="inlineStr">
        <is>
          <t>Föryngringsavverkning</t>
        </is>
      </c>
      <c r="D214" s="1" t="n">
        <v>45098</v>
      </c>
      <c r="E214" s="1" t="n">
        <v>46223</v>
      </c>
      <c r="F214" t="inlineStr">
        <is>
          <t>ÖREBRO LÄN</t>
        </is>
      </c>
      <c r="G214" t="inlineStr">
        <is>
          <t>HÄLLEFORS</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17721-2026</t>
        </is>
      </c>
      <c r="B215" t="inlineStr">
        <is>
          <t>avverkningsanmälan</t>
        </is>
      </c>
      <c r="C215" t="inlineStr">
        <is>
          <t>Föryngringsavverkning</t>
        </is>
      </c>
      <c r="D215" s="1" t="n">
        <v>46121</v>
      </c>
      <c r="E215" s="1" t="n">
        <v>46223</v>
      </c>
      <c r="F215" t="inlineStr">
        <is>
          <t>ÖREBRO LÄN</t>
        </is>
      </c>
      <c r="G215" t="inlineStr">
        <is>
          <t>HÄLLEFORS</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38429-2023</t>
        </is>
      </c>
      <c r="B216" t="inlineStr">
        <is>
          <t>avverkningsanmälan</t>
        </is>
      </c>
      <c r="C216" t="inlineStr">
        <is>
          <t>Föryngringsavverkning</t>
        </is>
      </c>
      <c r="D216" s="1" t="n">
        <v>45162</v>
      </c>
      <c r="E216" s="1" t="n">
        <v>46223</v>
      </c>
      <c r="F216" t="inlineStr">
        <is>
          <t>ÖREBRO LÄN</t>
        </is>
      </c>
      <c r="G216" t="inlineStr">
        <is>
          <t>HÄLLEFORS</t>
        </is>
      </c>
      <c r="H216" t="inlineStr">
        <is>
          <t>Bergvik skog väst AB</t>
        </is>
      </c>
      <c r="I216" t="n">
        <v>6</v>
      </c>
      <c r="J216" t="n">
        <v>0</v>
      </c>
      <c r="K216" t="n">
        <v>0</v>
      </c>
      <c r="L216" t="n">
        <v>0</v>
      </c>
      <c r="M216" t="n">
        <v>0</v>
      </c>
      <c r="N216" t="n">
        <v>0</v>
      </c>
      <c r="O216" t="n">
        <v>0</v>
      </c>
      <c r="P216" t="n">
        <v>0</v>
      </c>
      <c r="Q216" t="n">
        <v>0</v>
      </c>
      <c r="R216" t="n">
        <v>0</v>
      </c>
      <c r="S216" t="n">
        <v>0</v>
      </c>
      <c r="T216" t="n">
        <v>0</v>
      </c>
      <c r="U216" s="2" t="inlineStr"/>
    </row>
    <row r="217" ht="15" customHeight="1">
      <c r="A217" t="inlineStr">
        <is>
          <t>A 8513-2022</t>
        </is>
      </c>
      <c r="B217" t="inlineStr">
        <is>
          <t>avverkningsanmälan</t>
        </is>
      </c>
      <c r="C217" t="inlineStr">
        <is>
          <t>Föryngringsavverkning</t>
        </is>
      </c>
      <c r="D217" s="1" t="n">
        <v>44613</v>
      </c>
      <c r="E217" s="1" t="n">
        <v>46223</v>
      </c>
      <c r="F217" t="inlineStr">
        <is>
          <t>ÖREBRO LÄN</t>
        </is>
      </c>
      <c r="G217" t="inlineStr">
        <is>
          <t>HÄLLEFORS</t>
        </is>
      </c>
      <c r="H217" t="inlineStr">
        <is>
          <t>Bergvik skog väst AB</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21315-2024</t>
        </is>
      </c>
      <c r="B218" t="inlineStr">
        <is>
          <t>avverkningsanmälan</t>
        </is>
      </c>
      <c r="C218" t="inlineStr">
        <is>
          <t>Föryngringsavverkning</t>
        </is>
      </c>
      <c r="D218" s="1" t="n">
        <v>45440</v>
      </c>
      <c r="E218" s="1" t="n">
        <v>46223</v>
      </c>
      <c r="F218" t="inlineStr">
        <is>
          <t>ÖREBRO LÄN</t>
        </is>
      </c>
      <c r="G218" t="inlineStr">
        <is>
          <t>HÄLLEFORS</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60312-2024</t>
        </is>
      </c>
      <c r="B219" t="inlineStr">
        <is>
          <t>avverkningsanmälan</t>
        </is>
      </c>
      <c r="C219" t="inlineStr">
        <is>
          <t>Föryngringsavverkning</t>
        </is>
      </c>
      <c r="D219" s="1" t="n">
        <v>45643</v>
      </c>
      <c r="E219" s="1" t="n">
        <v>46223</v>
      </c>
      <c r="F219" t="inlineStr">
        <is>
          <t>ÖREBRO LÄN</t>
        </is>
      </c>
      <c r="G219" t="inlineStr">
        <is>
          <t>HÄLLEFORS</t>
        </is>
      </c>
      <c r="H219" t="inlineStr">
        <is>
          <t>Bergvik skog väst AB</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19944-2026</t>
        </is>
      </c>
      <c r="B220" t="inlineStr">
        <is>
          <t>avverkningsanmälan</t>
        </is>
      </c>
      <c r="C220" t="inlineStr">
        <is>
          <t>Föryngringsavverkning</t>
        </is>
      </c>
      <c r="D220" s="1" t="n">
        <v>46136</v>
      </c>
      <c r="E220" s="1" t="n">
        <v>46223</v>
      </c>
      <c r="F220" t="inlineStr">
        <is>
          <t>ÖREBRO LÄN</t>
        </is>
      </c>
      <c r="G220" t="inlineStr">
        <is>
          <t>HÄLLEFORS</t>
        </is>
      </c>
      <c r="H220" t="inlineStr">
        <is>
          <t>Bergvik skog väst AB</t>
        </is>
      </c>
      <c r="I220" t="n">
        <v>3.8</v>
      </c>
      <c r="J220" t="n">
        <v>0</v>
      </c>
      <c r="K220" t="n">
        <v>0</v>
      </c>
      <c r="L220" t="n">
        <v>0</v>
      </c>
      <c r="M220" t="n">
        <v>0</v>
      </c>
      <c r="N220" t="n">
        <v>0</v>
      </c>
      <c r="O220" t="n">
        <v>0</v>
      </c>
      <c r="P220" t="n">
        <v>0</v>
      </c>
      <c r="Q220" t="n">
        <v>0</v>
      </c>
      <c r="R220" t="n">
        <v>0</v>
      </c>
      <c r="S220" t="n">
        <v>0</v>
      </c>
      <c r="T220" t="n">
        <v>0</v>
      </c>
      <c r="U220" s="2" t="inlineStr"/>
    </row>
    <row r="221" ht="15" customHeight="1">
      <c r="A221" t="inlineStr">
        <is>
          <t>A 42918-2024</t>
        </is>
      </c>
      <c r="B221" t="inlineStr">
        <is>
          <t>avverkningsanmälan</t>
        </is>
      </c>
      <c r="C221" t="inlineStr">
        <is>
          <t>Föryngringsavverkning</t>
        </is>
      </c>
      <c r="D221" s="1" t="n">
        <v>45567</v>
      </c>
      <c r="E221" s="1" t="n">
        <v>46223</v>
      </c>
      <c r="F221" t="inlineStr">
        <is>
          <t>ÖREBRO LÄN</t>
        </is>
      </c>
      <c r="G221" t="inlineStr">
        <is>
          <t>HÄLLEFORS</t>
        </is>
      </c>
      <c r="H221" t="inlineStr">
        <is>
          <t>Bergvik skog väst AB</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38402-2023</t>
        </is>
      </c>
      <c r="B222" t="inlineStr">
        <is>
          <t>avverkningsanmälan</t>
        </is>
      </c>
      <c r="C222" t="inlineStr">
        <is>
          <t>Föryngringsavverkning</t>
        </is>
      </c>
      <c r="D222" s="1" t="n">
        <v>45162</v>
      </c>
      <c r="E222" s="1" t="n">
        <v>46223</v>
      </c>
      <c r="F222" t="inlineStr">
        <is>
          <t>ÖREBRO LÄN</t>
        </is>
      </c>
      <c r="G222" t="inlineStr">
        <is>
          <t>HÄLLEFORS</t>
        </is>
      </c>
      <c r="H222" t="inlineStr">
        <is>
          <t>Bergvik skog väst AB</t>
        </is>
      </c>
      <c r="I222" t="n">
        <v>8.5</v>
      </c>
      <c r="J222" t="n">
        <v>0</v>
      </c>
      <c r="K222" t="n">
        <v>0</v>
      </c>
      <c r="L222" t="n">
        <v>0</v>
      </c>
      <c r="M222" t="n">
        <v>0</v>
      </c>
      <c r="N222" t="n">
        <v>0</v>
      </c>
      <c r="O222" t="n">
        <v>0</v>
      </c>
      <c r="P222" t="n">
        <v>0</v>
      </c>
      <c r="Q222" t="n">
        <v>0</v>
      </c>
      <c r="R222" t="n">
        <v>0</v>
      </c>
      <c r="S222" t="n">
        <v>0</v>
      </c>
      <c r="T222" t="n">
        <v>0</v>
      </c>
      <c r="U222" s="2" t="inlineStr"/>
    </row>
    <row r="223" ht="15" customHeight="1">
      <c r="A223" t="inlineStr">
        <is>
          <t>A 47847-2025</t>
        </is>
      </c>
      <c r="B223" t="inlineStr">
        <is>
          <t>avverkningsanmälan</t>
        </is>
      </c>
      <c r="C223" t="inlineStr">
        <is>
          <t>Föryngringsavverkning</t>
        </is>
      </c>
      <c r="D223" s="1" t="n">
        <v>45932</v>
      </c>
      <c r="E223" s="1" t="n">
        <v>46223</v>
      </c>
      <c r="F223" t="inlineStr">
        <is>
          <t>ÖREBRO LÄN</t>
        </is>
      </c>
      <c r="G223" t="inlineStr">
        <is>
          <t>HÄLLEFORS</t>
        </is>
      </c>
      <c r="H223" t="inlineStr">
        <is>
          <t>Bergvik skog väst AB</t>
        </is>
      </c>
      <c r="I223" t="n">
        <v>11.5</v>
      </c>
      <c r="J223" t="n">
        <v>0</v>
      </c>
      <c r="K223" t="n">
        <v>0</v>
      </c>
      <c r="L223" t="n">
        <v>0</v>
      </c>
      <c r="M223" t="n">
        <v>0</v>
      </c>
      <c r="N223" t="n">
        <v>0</v>
      </c>
      <c r="O223" t="n">
        <v>0</v>
      </c>
      <c r="P223" t="n">
        <v>0</v>
      </c>
      <c r="Q223" t="n">
        <v>0</v>
      </c>
      <c r="R223" t="n">
        <v>0</v>
      </c>
      <c r="S223" t="n">
        <v>0</v>
      </c>
      <c r="T223" t="n">
        <v>0</v>
      </c>
      <c r="U223" s="2" t="inlineStr"/>
    </row>
    <row r="224" ht="15" customHeight="1">
      <c r="A224" t="inlineStr">
        <is>
          <t>A 8615-2025</t>
        </is>
      </c>
      <c r="B224" t="inlineStr">
        <is>
          <t>avverkningsanmälan</t>
        </is>
      </c>
      <c r="C224" t="inlineStr">
        <is>
          <t>Föryngringsavverkning</t>
        </is>
      </c>
      <c r="D224" s="1" t="n">
        <v>45710</v>
      </c>
      <c r="E224" s="1" t="n">
        <v>46223</v>
      </c>
      <c r="F224" t="inlineStr">
        <is>
          <t>ÖREBRO LÄN</t>
        </is>
      </c>
      <c r="G224" t="inlineStr">
        <is>
          <t>HÄLLEFORS</t>
        </is>
      </c>
      <c r="I224" t="n">
        <v>6.2</v>
      </c>
      <c r="J224" t="n">
        <v>0</v>
      </c>
      <c r="K224" t="n">
        <v>0</v>
      </c>
      <c r="L224" t="n">
        <v>0</v>
      </c>
      <c r="M224" t="n">
        <v>0</v>
      </c>
      <c r="N224" t="n">
        <v>0</v>
      </c>
      <c r="O224" t="n">
        <v>0</v>
      </c>
      <c r="P224" t="n">
        <v>0</v>
      </c>
      <c r="Q224" t="n">
        <v>0</v>
      </c>
      <c r="R224" t="n">
        <v>0</v>
      </c>
      <c r="S224" t="n">
        <v>0</v>
      </c>
      <c r="T224" t="n">
        <v>0</v>
      </c>
      <c r="U224" s="2" t="inlineStr"/>
    </row>
    <row r="225" ht="15" customHeight="1">
      <c r="A225" t="inlineStr">
        <is>
          <t>A 18664-2025</t>
        </is>
      </c>
      <c r="B225" t="inlineStr">
        <is>
          <t>avverkningsanmälan</t>
        </is>
      </c>
      <c r="C225" t="inlineStr">
        <is>
          <t>Föryngringsavverkning</t>
        </is>
      </c>
      <c r="D225" s="1" t="n">
        <v>45763</v>
      </c>
      <c r="E225" s="1" t="n">
        <v>46223</v>
      </c>
      <c r="F225" t="inlineStr">
        <is>
          <t>ÖREBRO LÄN</t>
        </is>
      </c>
      <c r="G225" t="inlineStr">
        <is>
          <t>HÄLLEFORS</t>
        </is>
      </c>
      <c r="H225" t="inlineStr">
        <is>
          <t>Bergvik skog väst AB</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32813-2025</t>
        </is>
      </c>
      <c r="B226" t="inlineStr">
        <is>
          <t>avverkningsanmälan</t>
        </is>
      </c>
      <c r="C226" t="inlineStr">
        <is>
          <t>Föryngringsavverkning</t>
        </is>
      </c>
      <c r="D226" s="1" t="n">
        <v>45839</v>
      </c>
      <c r="E226" s="1" t="n">
        <v>46223</v>
      </c>
      <c r="F226" t="inlineStr">
        <is>
          <t>ÖREBRO LÄN</t>
        </is>
      </c>
      <c r="G226" t="inlineStr">
        <is>
          <t>HÄLLEFORS</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47852-2025</t>
        </is>
      </c>
      <c r="B227" t="inlineStr">
        <is>
          <t>avverkningsanmälan</t>
        </is>
      </c>
      <c r="C227" t="inlineStr">
        <is>
          <t>Föryngringsavverkning</t>
        </is>
      </c>
      <c r="D227" s="1" t="n">
        <v>45932</v>
      </c>
      <c r="E227" s="1" t="n">
        <v>46223</v>
      </c>
      <c r="F227" t="inlineStr">
        <is>
          <t>ÖREBRO LÄN</t>
        </is>
      </c>
      <c r="G227" t="inlineStr">
        <is>
          <t>HÄLLEFORS</t>
        </is>
      </c>
      <c r="H227" t="inlineStr">
        <is>
          <t>Bergvik skog väst AB</t>
        </is>
      </c>
      <c r="I227" t="n">
        <v>12.9</v>
      </c>
      <c r="J227" t="n">
        <v>0</v>
      </c>
      <c r="K227" t="n">
        <v>0</v>
      </c>
      <c r="L227" t="n">
        <v>0</v>
      </c>
      <c r="M227" t="n">
        <v>0</v>
      </c>
      <c r="N227" t="n">
        <v>0</v>
      </c>
      <c r="O227" t="n">
        <v>0</v>
      </c>
      <c r="P227" t="n">
        <v>0</v>
      </c>
      <c r="Q227" t="n">
        <v>0</v>
      </c>
      <c r="R227" t="n">
        <v>0</v>
      </c>
      <c r="S227" t="n">
        <v>0</v>
      </c>
      <c r="T227" t="n">
        <v>0</v>
      </c>
      <c r="U227" s="2" t="inlineStr"/>
    </row>
    <row r="228" ht="15" customHeight="1">
      <c r="A228" t="inlineStr">
        <is>
          <t>A 59957-2024</t>
        </is>
      </c>
      <c r="B228" t="inlineStr">
        <is>
          <t>avverkningsanmälan</t>
        </is>
      </c>
      <c r="C228" t="inlineStr">
        <is>
          <t>Föryngringsavverkning</t>
        </is>
      </c>
      <c r="D228" s="1" t="n">
        <v>45642</v>
      </c>
      <c r="E228" s="1" t="n">
        <v>46223</v>
      </c>
      <c r="F228" t="inlineStr">
        <is>
          <t>ÖREBRO LÄN</t>
        </is>
      </c>
      <c r="G228" t="inlineStr">
        <is>
          <t>HÄLLEFORS</t>
        </is>
      </c>
      <c r="H228" t="inlineStr">
        <is>
          <t>Bergvik skog väst AB</t>
        </is>
      </c>
      <c r="I228" t="n">
        <v>4.3</v>
      </c>
      <c r="J228" t="n">
        <v>0</v>
      </c>
      <c r="K228" t="n">
        <v>0</v>
      </c>
      <c r="L228" t="n">
        <v>0</v>
      </c>
      <c r="M228" t="n">
        <v>0</v>
      </c>
      <c r="N228" t="n">
        <v>0</v>
      </c>
      <c r="O228" t="n">
        <v>0</v>
      </c>
      <c r="P228" t="n">
        <v>0</v>
      </c>
      <c r="Q228" t="n">
        <v>0</v>
      </c>
      <c r="R228" t="n">
        <v>0</v>
      </c>
      <c r="S228" t="n">
        <v>0</v>
      </c>
      <c r="T228" t="n">
        <v>0</v>
      </c>
      <c r="U228" s="2" t="inlineStr"/>
    </row>
    <row r="229" ht="15" customHeight="1">
      <c r="A229" t="inlineStr">
        <is>
          <t>A 59959-2024</t>
        </is>
      </c>
      <c r="B229" t="inlineStr">
        <is>
          <t>avverkningsanmälan</t>
        </is>
      </c>
      <c r="C229" t="inlineStr">
        <is>
          <t>Föryngringsavverkning</t>
        </is>
      </c>
      <c r="D229" s="1" t="n">
        <v>45642</v>
      </c>
      <c r="E229" s="1" t="n">
        <v>46223</v>
      </c>
      <c r="F229" t="inlineStr">
        <is>
          <t>ÖREBRO LÄN</t>
        </is>
      </c>
      <c r="G229" t="inlineStr">
        <is>
          <t>HÄLLEFORS</t>
        </is>
      </c>
      <c r="H229" t="inlineStr">
        <is>
          <t>Bergvik skog väst AB</t>
        </is>
      </c>
      <c r="I229" t="n">
        <v>4.9</v>
      </c>
      <c r="J229" t="n">
        <v>0</v>
      </c>
      <c r="K229" t="n">
        <v>0</v>
      </c>
      <c r="L229" t="n">
        <v>0</v>
      </c>
      <c r="M229" t="n">
        <v>0</v>
      </c>
      <c r="N229" t="n">
        <v>0</v>
      </c>
      <c r="O229" t="n">
        <v>0</v>
      </c>
      <c r="P229" t="n">
        <v>0</v>
      </c>
      <c r="Q229" t="n">
        <v>0</v>
      </c>
      <c r="R229" t="n">
        <v>0</v>
      </c>
      <c r="S229" t="n">
        <v>0</v>
      </c>
      <c r="T229" t="n">
        <v>0</v>
      </c>
      <c r="U229" s="2" t="inlineStr"/>
    </row>
    <row r="230" ht="15" customHeight="1">
      <c r="A230" t="inlineStr">
        <is>
          <t>A 8503-2022</t>
        </is>
      </c>
      <c r="B230" t="inlineStr">
        <is>
          <t>avverkningsanmälan</t>
        </is>
      </c>
      <c r="C230" t="inlineStr">
        <is>
          <t>Föryngringsavverkning</t>
        </is>
      </c>
      <c r="D230" s="1" t="n">
        <v>44613</v>
      </c>
      <c r="E230" s="1" t="n">
        <v>46223</v>
      </c>
      <c r="F230" t="inlineStr">
        <is>
          <t>ÖREBRO LÄN</t>
        </is>
      </c>
      <c r="G230" t="inlineStr">
        <is>
          <t>HÄLLEFORS</t>
        </is>
      </c>
      <c r="H230" t="inlineStr">
        <is>
          <t>Bergvik skog väst AB</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18927-2025</t>
        </is>
      </c>
      <c r="B231" t="inlineStr">
        <is>
          <t>avverkningsanmälan</t>
        </is>
      </c>
      <c r="C231" t="inlineStr">
        <is>
          <t>Föryngringsavverkning</t>
        </is>
      </c>
      <c r="D231" s="1" t="n">
        <v>45764</v>
      </c>
      <c r="E231" s="1" t="n">
        <v>46223</v>
      </c>
      <c r="F231" t="inlineStr">
        <is>
          <t>ÖREBRO LÄN</t>
        </is>
      </c>
      <c r="G231" t="inlineStr">
        <is>
          <t>HÄLLEFORS</t>
        </is>
      </c>
      <c r="H231" t="inlineStr">
        <is>
          <t>Bergvik skog väst AB</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55745-2024</t>
        </is>
      </c>
      <c r="B232" t="inlineStr">
        <is>
          <t>avverkningsanmälan</t>
        </is>
      </c>
      <c r="C232" t="inlineStr">
        <is>
          <t>Föryngringsavverkning</t>
        </is>
      </c>
      <c r="D232" s="1" t="n">
        <v>45623</v>
      </c>
      <c r="E232" s="1" t="n">
        <v>46223</v>
      </c>
      <c r="F232" t="inlineStr">
        <is>
          <t>ÖREBRO LÄN</t>
        </is>
      </c>
      <c r="G232" t="inlineStr">
        <is>
          <t>HÄLLEFORS</t>
        </is>
      </c>
      <c r="H232" t="inlineStr">
        <is>
          <t>Bergvik skog väst AB</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26240-2026</t>
        </is>
      </c>
      <c r="B233" t="inlineStr">
        <is>
          <t>avverkningsanmälan</t>
        </is>
      </c>
      <c r="C233" t="inlineStr">
        <is>
          <t>Föryngringsavverkning</t>
        </is>
      </c>
      <c r="D233" s="1" t="n">
        <v>46182</v>
      </c>
      <c r="E233" s="1" t="n">
        <v>46223</v>
      </c>
      <c r="F233" t="inlineStr">
        <is>
          <t>ÖREBRO LÄN</t>
        </is>
      </c>
      <c r="G233" t="inlineStr">
        <is>
          <t>HÄLLEFORS</t>
        </is>
      </c>
      <c r="H233" t="inlineStr">
        <is>
          <t>Kyrkan</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1019-2025</t>
        </is>
      </c>
      <c r="B234" t="inlineStr">
        <is>
          <t>avverkningsanmälan</t>
        </is>
      </c>
      <c r="C234" t="inlineStr">
        <is>
          <t>Föryngringsavverkning</t>
        </is>
      </c>
      <c r="D234" s="1" t="n">
        <v>45666</v>
      </c>
      <c r="E234" s="1" t="n">
        <v>46223</v>
      </c>
      <c r="F234" t="inlineStr">
        <is>
          <t>ÖREBRO LÄN</t>
        </is>
      </c>
      <c r="G234" t="inlineStr">
        <is>
          <t>HÄLLEFORS</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34042-2025</t>
        </is>
      </c>
      <c r="B235" t="inlineStr">
        <is>
          <t>avverkningsanmälan</t>
        </is>
      </c>
      <c r="C235" t="inlineStr">
        <is>
          <t>Föryngringsavverkning</t>
        </is>
      </c>
      <c r="D235" s="1" t="n">
        <v>45845</v>
      </c>
      <c r="E235" s="1" t="n">
        <v>46223</v>
      </c>
      <c r="F235" t="inlineStr">
        <is>
          <t>ÖREBRO LÄN</t>
        </is>
      </c>
      <c r="G235" t="inlineStr">
        <is>
          <t>HÄLLEFORS</t>
        </is>
      </c>
      <c r="H235" t="inlineStr">
        <is>
          <t>Bergvik skog väst AB</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50571-2024</t>
        </is>
      </c>
      <c r="B236" t="inlineStr">
        <is>
          <t>avverkningsanmälan</t>
        </is>
      </c>
      <c r="C236" t="inlineStr">
        <is>
          <t>Föryngringsavverkning</t>
        </is>
      </c>
      <c r="D236" s="1" t="n">
        <v>45601</v>
      </c>
      <c r="E236" s="1" t="n">
        <v>46223</v>
      </c>
      <c r="F236" t="inlineStr">
        <is>
          <t>ÖREBRO LÄN</t>
        </is>
      </c>
      <c r="G236" t="inlineStr">
        <is>
          <t>HÄLLEFORS</t>
        </is>
      </c>
      <c r="H236" t="inlineStr">
        <is>
          <t>Bergvik skog väst AB</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58940-2025</t>
        </is>
      </c>
      <c r="B237" t="inlineStr">
        <is>
          <t>avverkningsanmälan</t>
        </is>
      </c>
      <c r="C237" t="inlineStr">
        <is>
          <t>Föryngringsavverkning</t>
        </is>
      </c>
      <c r="D237" s="1" t="n">
        <v>45987</v>
      </c>
      <c r="E237" s="1" t="n">
        <v>46223</v>
      </c>
      <c r="F237" t="inlineStr">
        <is>
          <t>ÖREBRO LÄN</t>
        </is>
      </c>
      <c r="G237" t="inlineStr">
        <is>
          <t>HÄLLEFORS</t>
        </is>
      </c>
      <c r="H237" t="inlineStr">
        <is>
          <t>Bergvik skog väst AB</t>
        </is>
      </c>
      <c r="I237" t="n">
        <v>3.4</v>
      </c>
      <c r="J237" t="n">
        <v>0</v>
      </c>
      <c r="K237" t="n">
        <v>0</v>
      </c>
      <c r="L237" t="n">
        <v>0</v>
      </c>
      <c r="M237" t="n">
        <v>0</v>
      </c>
      <c r="N237" t="n">
        <v>0</v>
      </c>
      <c r="O237" t="n">
        <v>0</v>
      </c>
      <c r="P237" t="n">
        <v>0</v>
      </c>
      <c r="Q237" t="n">
        <v>0</v>
      </c>
      <c r="R237" t="n">
        <v>0</v>
      </c>
      <c r="S237" t="n">
        <v>0</v>
      </c>
      <c r="T237" t="n">
        <v>0</v>
      </c>
      <c r="U237" s="2" t="inlineStr"/>
    </row>
    <row r="238" ht="15" customHeight="1">
      <c r="A238" t="inlineStr">
        <is>
          <t>A 58949-2025</t>
        </is>
      </c>
      <c r="B238" t="inlineStr">
        <is>
          <t>avverkningsanmälan</t>
        </is>
      </c>
      <c r="C238" t="inlineStr">
        <is>
          <t>Föryngringsavverkning</t>
        </is>
      </c>
      <c r="D238" s="1" t="n">
        <v>45987</v>
      </c>
      <c r="E238" s="1" t="n">
        <v>46223</v>
      </c>
      <c r="F238" t="inlineStr">
        <is>
          <t>ÖREBRO LÄN</t>
        </is>
      </c>
      <c r="G238" t="inlineStr">
        <is>
          <t>HÄLLEFORS</t>
        </is>
      </c>
      <c r="H238" t="inlineStr">
        <is>
          <t>Bergvik skog väst AB</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34045-2025</t>
        </is>
      </c>
      <c r="B239" t="inlineStr">
        <is>
          <t>avverkningsanmälan</t>
        </is>
      </c>
      <c r="C239" t="inlineStr">
        <is>
          <t>Föryngringsavverkning</t>
        </is>
      </c>
      <c r="D239" s="1" t="n">
        <v>45845</v>
      </c>
      <c r="E239" s="1" t="n">
        <v>46223</v>
      </c>
      <c r="F239" t="inlineStr">
        <is>
          <t>ÖREBRO LÄN</t>
        </is>
      </c>
      <c r="G239" t="inlineStr">
        <is>
          <t>HÄLLEFORS</t>
        </is>
      </c>
      <c r="H239" t="inlineStr">
        <is>
          <t>Bergvik skog väst AB</t>
        </is>
      </c>
      <c r="I239" t="n">
        <v>4</v>
      </c>
      <c r="J239" t="n">
        <v>0</v>
      </c>
      <c r="K239" t="n">
        <v>0</v>
      </c>
      <c r="L239" t="n">
        <v>0</v>
      </c>
      <c r="M239" t="n">
        <v>0</v>
      </c>
      <c r="N239" t="n">
        <v>0</v>
      </c>
      <c r="O239" t="n">
        <v>0</v>
      </c>
      <c r="P239" t="n">
        <v>0</v>
      </c>
      <c r="Q239" t="n">
        <v>0</v>
      </c>
      <c r="R239" t="n">
        <v>0</v>
      </c>
      <c r="S239" t="n">
        <v>0</v>
      </c>
      <c r="T239" t="n">
        <v>0</v>
      </c>
      <c r="U239" s="2" t="inlineStr"/>
    </row>
    <row r="240" ht="15" customHeight="1">
      <c r="A240" t="inlineStr">
        <is>
          <t>A 20128-2024</t>
        </is>
      </c>
      <c r="B240" t="inlineStr">
        <is>
          <t>avverkningsanmälan</t>
        </is>
      </c>
      <c r="C240" t="inlineStr">
        <is>
          <t>Föryngringsavverkning</t>
        </is>
      </c>
      <c r="D240" s="1" t="n">
        <v>45434</v>
      </c>
      <c r="E240" s="1" t="n">
        <v>46223</v>
      </c>
      <c r="F240" t="inlineStr">
        <is>
          <t>ÖREBRO LÄN</t>
        </is>
      </c>
      <c r="G240" t="inlineStr">
        <is>
          <t>HÄLLEFORS</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19245-2025</t>
        </is>
      </c>
      <c r="B241" t="inlineStr">
        <is>
          <t>avverkningsanmälan</t>
        </is>
      </c>
      <c r="C241" t="inlineStr">
        <is>
          <t>Föryngringsavverkning</t>
        </is>
      </c>
      <c r="D241" s="1" t="n">
        <v>45769</v>
      </c>
      <c r="E241" s="1" t="n">
        <v>46223</v>
      </c>
      <c r="F241" t="inlineStr">
        <is>
          <t>ÖREBRO LÄN</t>
        </is>
      </c>
      <c r="G241" t="inlineStr">
        <is>
          <t>HÄLLEFORS</t>
        </is>
      </c>
      <c r="H241" t="inlineStr">
        <is>
          <t>Kyrkan</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45710-2023</t>
        </is>
      </c>
      <c r="B242" t="inlineStr">
        <is>
          <t>avverkningsanmälan</t>
        </is>
      </c>
      <c r="C242" t="inlineStr">
        <is>
          <t>Föryngringsavverkning</t>
        </is>
      </c>
      <c r="D242" s="1" t="n">
        <v>45195</v>
      </c>
      <c r="E242" s="1" t="n">
        <v>46223</v>
      </c>
      <c r="F242" t="inlineStr">
        <is>
          <t>ÖREBRO LÄN</t>
        </is>
      </c>
      <c r="G242" t="inlineStr">
        <is>
          <t>HÄLLEFORS</t>
        </is>
      </c>
      <c r="I242" t="n">
        <v>5.4</v>
      </c>
      <c r="J242" t="n">
        <v>0</v>
      </c>
      <c r="K242" t="n">
        <v>0</v>
      </c>
      <c r="L242" t="n">
        <v>0</v>
      </c>
      <c r="M242" t="n">
        <v>0</v>
      </c>
      <c r="N242" t="n">
        <v>0</v>
      </c>
      <c r="O242" t="n">
        <v>0</v>
      </c>
      <c r="P242" t="n">
        <v>0</v>
      </c>
      <c r="Q242" t="n">
        <v>0</v>
      </c>
      <c r="R242" t="n">
        <v>0</v>
      </c>
      <c r="S242" t="n">
        <v>0</v>
      </c>
      <c r="T242" t="n">
        <v>0</v>
      </c>
      <c r="U242" s="2" t="inlineStr"/>
    </row>
    <row r="243" ht="15" customHeight="1">
      <c r="A243" t="inlineStr">
        <is>
          <t>A 59955-2024</t>
        </is>
      </c>
      <c r="B243" t="inlineStr">
        <is>
          <t>avverkningsanmälan</t>
        </is>
      </c>
      <c r="C243" t="inlineStr">
        <is>
          <t>Föryngringsavverkning</t>
        </is>
      </c>
      <c r="D243" s="1" t="n">
        <v>45642</v>
      </c>
      <c r="E243" s="1" t="n">
        <v>46223</v>
      </c>
      <c r="F243" t="inlineStr">
        <is>
          <t>ÖREBRO LÄN</t>
        </is>
      </c>
      <c r="G243" t="inlineStr">
        <is>
          <t>HÄLLEFORS</t>
        </is>
      </c>
      <c r="H243" t="inlineStr">
        <is>
          <t>Bergvik skog väst AB</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34029-2025</t>
        </is>
      </c>
      <c r="B244" t="inlineStr">
        <is>
          <t>avverkningsanmälan</t>
        </is>
      </c>
      <c r="C244" t="inlineStr">
        <is>
          <t>Föryngringsavverkning</t>
        </is>
      </c>
      <c r="D244" s="1" t="n">
        <v>45845</v>
      </c>
      <c r="E244" s="1" t="n">
        <v>46223</v>
      </c>
      <c r="F244" t="inlineStr">
        <is>
          <t>ÖREBRO LÄN</t>
        </is>
      </c>
      <c r="G244" t="inlineStr">
        <is>
          <t>HÄLLEFORS</t>
        </is>
      </c>
      <c r="H244" t="inlineStr">
        <is>
          <t>Bergvik skog väst AB</t>
        </is>
      </c>
      <c r="I244" t="n">
        <v>4</v>
      </c>
      <c r="J244" t="n">
        <v>0</v>
      </c>
      <c r="K244" t="n">
        <v>0</v>
      </c>
      <c r="L244" t="n">
        <v>0</v>
      </c>
      <c r="M244" t="n">
        <v>0</v>
      </c>
      <c r="N244" t="n">
        <v>0</v>
      </c>
      <c r="O244" t="n">
        <v>0</v>
      </c>
      <c r="P244" t="n">
        <v>0</v>
      </c>
      <c r="Q244" t="n">
        <v>0</v>
      </c>
      <c r="R244" t="n">
        <v>0</v>
      </c>
      <c r="S244" t="n">
        <v>0</v>
      </c>
      <c r="T244" t="n">
        <v>0</v>
      </c>
      <c r="U244" s="2" t="inlineStr"/>
    </row>
    <row r="245" ht="15" customHeight="1">
      <c r="A245" t="inlineStr">
        <is>
          <t>A 44088-2024</t>
        </is>
      </c>
      <c r="B245" t="inlineStr">
        <is>
          <t>avverkningsanmälan</t>
        </is>
      </c>
      <c r="C245" t="inlineStr">
        <is>
          <t>Föryngringsavverkning</t>
        </is>
      </c>
      <c r="D245" s="1" t="n">
        <v>45572</v>
      </c>
      <c r="E245" s="1" t="n">
        <v>46223</v>
      </c>
      <c r="F245" t="inlineStr">
        <is>
          <t>ÖREBRO LÄN</t>
        </is>
      </c>
      <c r="G245" t="inlineStr">
        <is>
          <t>HÄLLEFORS</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28788-2022</t>
        </is>
      </c>
      <c r="B246" t="inlineStr">
        <is>
          <t>avverkningsanmälan</t>
        </is>
      </c>
      <c r="C246" t="inlineStr">
        <is>
          <t>Föryngringsavverkning</t>
        </is>
      </c>
      <c r="D246" s="1" t="n">
        <v>44749</v>
      </c>
      <c r="E246" s="1" t="n">
        <v>46223</v>
      </c>
      <c r="F246" t="inlineStr">
        <is>
          <t>ÖREBRO LÄN</t>
        </is>
      </c>
      <c r="G246" t="inlineStr">
        <is>
          <t>HÄLLEFORS</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60303-2024</t>
        </is>
      </c>
      <c r="B247" t="inlineStr">
        <is>
          <t>avverkningsanmälan</t>
        </is>
      </c>
      <c r="C247" t="inlineStr">
        <is>
          <t>Föryngringsavverkning</t>
        </is>
      </c>
      <c r="D247" s="1" t="n">
        <v>45643</v>
      </c>
      <c r="E247" s="1" t="n">
        <v>46223</v>
      </c>
      <c r="F247" t="inlineStr">
        <is>
          <t>ÖREBRO LÄN</t>
        </is>
      </c>
      <c r="G247" t="inlineStr">
        <is>
          <t>HÄLLEFORS</t>
        </is>
      </c>
      <c r="H247" t="inlineStr">
        <is>
          <t>Bergvik skog väst AB</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26560-2026</t>
        </is>
      </c>
      <c r="B248" t="inlineStr">
        <is>
          <t>avverkningsanmälan</t>
        </is>
      </c>
      <c r="C248" t="inlineStr">
        <is>
          <t>Föryngringsavverkning</t>
        </is>
      </c>
      <c r="D248" s="1" t="n">
        <v>46183</v>
      </c>
      <c r="E248" s="1" t="n">
        <v>46223</v>
      </c>
      <c r="F248" t="inlineStr">
        <is>
          <t>ÖREBRO LÄN</t>
        </is>
      </c>
      <c r="G248" t="inlineStr">
        <is>
          <t>HÄLLEFORS</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55756-2023</t>
        </is>
      </c>
      <c r="B249" t="inlineStr">
        <is>
          <t>avverkningsanmälan</t>
        </is>
      </c>
      <c r="C249" t="inlineStr">
        <is>
          <t>Föryngringsavverkning</t>
        </is>
      </c>
      <c r="D249" s="1" t="n">
        <v>45239</v>
      </c>
      <c r="E249" s="1" t="n">
        <v>46223</v>
      </c>
      <c r="F249" t="inlineStr">
        <is>
          <t>ÖREBRO LÄN</t>
        </is>
      </c>
      <c r="G249" t="inlineStr">
        <is>
          <t>HÄLLEFORS</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18945-2025</t>
        </is>
      </c>
      <c r="B250" t="inlineStr">
        <is>
          <t>avverkningsanmälan</t>
        </is>
      </c>
      <c r="C250" t="inlineStr">
        <is>
          <t>Föryngringsavverkning</t>
        </is>
      </c>
      <c r="D250" s="1" t="n">
        <v>45764</v>
      </c>
      <c r="E250" s="1" t="n">
        <v>46223</v>
      </c>
      <c r="F250" t="inlineStr">
        <is>
          <t>ÖREBRO LÄN</t>
        </is>
      </c>
      <c r="G250" t="inlineStr">
        <is>
          <t>HÄLLEFORS</t>
        </is>
      </c>
      <c r="H250" t="inlineStr">
        <is>
          <t>Bergvik skog väst AB</t>
        </is>
      </c>
      <c r="I250" t="n">
        <v>5.1</v>
      </c>
      <c r="J250" t="n">
        <v>0</v>
      </c>
      <c r="K250" t="n">
        <v>0</v>
      </c>
      <c r="L250" t="n">
        <v>0</v>
      </c>
      <c r="M250" t="n">
        <v>0</v>
      </c>
      <c r="N250" t="n">
        <v>0</v>
      </c>
      <c r="O250" t="n">
        <v>0</v>
      </c>
      <c r="P250" t="n">
        <v>0</v>
      </c>
      <c r="Q250" t="n">
        <v>0</v>
      </c>
      <c r="R250" t="n">
        <v>0</v>
      </c>
      <c r="S250" t="n">
        <v>0</v>
      </c>
      <c r="T250" t="n">
        <v>0</v>
      </c>
      <c r="U250" s="2" t="inlineStr"/>
    </row>
    <row r="251" ht="15" customHeight="1">
      <c r="A251" t="inlineStr">
        <is>
          <t>A 20699-2026</t>
        </is>
      </c>
      <c r="B251" t="inlineStr">
        <is>
          <t>avverkningsanmälan</t>
        </is>
      </c>
      <c r="C251" t="inlineStr">
        <is>
          <t>Föryngringsavverkning</t>
        </is>
      </c>
      <c r="D251" s="1" t="n">
        <v>46141</v>
      </c>
      <c r="E251" s="1" t="n">
        <v>46223</v>
      </c>
      <c r="F251" t="inlineStr">
        <is>
          <t>ÖREBRO LÄN</t>
        </is>
      </c>
      <c r="G251" t="inlineStr">
        <is>
          <t>HÄLLEFORS</t>
        </is>
      </c>
      <c r="H251" t="inlineStr">
        <is>
          <t>Sveaskog</t>
        </is>
      </c>
      <c r="I251" t="n">
        <v>8.1</v>
      </c>
      <c r="J251" t="n">
        <v>0</v>
      </c>
      <c r="K251" t="n">
        <v>0</v>
      </c>
      <c r="L251" t="n">
        <v>0</v>
      </c>
      <c r="M251" t="n">
        <v>0</v>
      </c>
      <c r="N251" t="n">
        <v>0</v>
      </c>
      <c r="O251" t="n">
        <v>0</v>
      </c>
      <c r="P251" t="n">
        <v>0</v>
      </c>
      <c r="Q251" t="n">
        <v>0</v>
      </c>
      <c r="R251" t="n">
        <v>0</v>
      </c>
      <c r="S251" t="n">
        <v>0</v>
      </c>
      <c r="T251" t="n">
        <v>0</v>
      </c>
      <c r="U251" s="2" t="inlineStr"/>
    </row>
    <row r="252" ht="15" customHeight="1">
      <c r="A252" t="inlineStr">
        <is>
          <t>A 49215-2022</t>
        </is>
      </c>
      <c r="B252" t="inlineStr">
        <is>
          <t>avverkningsanmälan</t>
        </is>
      </c>
      <c r="C252" t="inlineStr">
        <is>
          <t>Föryngringsavverkning</t>
        </is>
      </c>
      <c r="D252" s="1" t="n">
        <v>44861</v>
      </c>
      <c r="E252" s="1" t="n">
        <v>46223</v>
      </c>
      <c r="F252" t="inlineStr">
        <is>
          <t>ÖREBRO LÄN</t>
        </is>
      </c>
      <c r="G252" t="inlineStr">
        <is>
          <t>HÄLLEFORS</t>
        </is>
      </c>
      <c r="H252" t="inlineStr">
        <is>
          <t>Bergvik skog väst AB</t>
        </is>
      </c>
      <c r="I252" t="n">
        <v>9</v>
      </c>
      <c r="J252" t="n">
        <v>0</v>
      </c>
      <c r="K252" t="n">
        <v>0</v>
      </c>
      <c r="L252" t="n">
        <v>0</v>
      </c>
      <c r="M252" t="n">
        <v>0</v>
      </c>
      <c r="N252" t="n">
        <v>0</v>
      </c>
      <c r="O252" t="n">
        <v>0</v>
      </c>
      <c r="P252" t="n">
        <v>0</v>
      </c>
      <c r="Q252" t="n">
        <v>0</v>
      </c>
      <c r="R252" t="n">
        <v>0</v>
      </c>
      <c r="S252" t="n">
        <v>0</v>
      </c>
      <c r="T252" t="n">
        <v>0</v>
      </c>
      <c r="U252" s="2" t="inlineStr"/>
    </row>
    <row r="253" ht="15" customHeight="1">
      <c r="A253" t="inlineStr">
        <is>
          <t>A 20995-2026</t>
        </is>
      </c>
      <c r="B253" t="inlineStr">
        <is>
          <t>avverkningsanmälan</t>
        </is>
      </c>
      <c r="C253" t="inlineStr">
        <is>
          <t>Föryngringsavverkning</t>
        </is>
      </c>
      <c r="D253" s="1" t="n">
        <v>46142</v>
      </c>
      <c r="E253" s="1" t="n">
        <v>46223</v>
      </c>
      <c r="F253" t="inlineStr">
        <is>
          <t>ÖREBRO LÄN</t>
        </is>
      </c>
      <c r="G253" t="inlineStr">
        <is>
          <t>HÄLLEFORS</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54843-2023</t>
        </is>
      </c>
      <c r="B254" t="inlineStr">
        <is>
          <t>avverkningsanmälan</t>
        </is>
      </c>
      <c r="C254" t="inlineStr">
        <is>
          <t>Föryngringsavverkning</t>
        </is>
      </c>
      <c r="D254" s="1" t="n">
        <v>45236</v>
      </c>
      <c r="E254" s="1" t="n">
        <v>46223</v>
      </c>
      <c r="F254" t="inlineStr">
        <is>
          <t>ÖREBRO LÄN</t>
        </is>
      </c>
      <c r="G254" t="inlineStr">
        <is>
          <t>HÄLLEFORS</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29662-2022</t>
        </is>
      </c>
      <c r="B255" t="inlineStr">
        <is>
          <t>avverkningsanmälan</t>
        </is>
      </c>
      <c r="C255" t="inlineStr">
        <is>
          <t>Föryngringsavverkning</t>
        </is>
      </c>
      <c r="D255" s="1" t="n">
        <v>44754</v>
      </c>
      <c r="E255" s="1" t="n">
        <v>46223</v>
      </c>
      <c r="F255" t="inlineStr">
        <is>
          <t>ÖREBRO LÄN</t>
        </is>
      </c>
      <c r="G255" t="inlineStr">
        <is>
          <t>HÄLLEFORS</t>
        </is>
      </c>
      <c r="H255" t="inlineStr">
        <is>
          <t>Bergvik skog väst AB</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26793-2026</t>
        </is>
      </c>
      <c r="B256" t="inlineStr">
        <is>
          <t>avverkningsanmälan</t>
        </is>
      </c>
      <c r="C256" t="inlineStr">
        <is>
          <t>Föryngringsavverkning</t>
        </is>
      </c>
      <c r="D256" s="1" t="n">
        <v>46185</v>
      </c>
      <c r="E256" s="1" t="n">
        <v>46223</v>
      </c>
      <c r="F256" t="inlineStr">
        <is>
          <t>ÖREBRO LÄN</t>
        </is>
      </c>
      <c r="G256" t="inlineStr">
        <is>
          <t>HÄLLEFORS</t>
        </is>
      </c>
      <c r="H256" t="inlineStr">
        <is>
          <t>Bergvik skog väst AB</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18979-2025</t>
        </is>
      </c>
      <c r="B257" t="inlineStr">
        <is>
          <t>avverkningsanmälan</t>
        </is>
      </c>
      <c r="C257" t="inlineStr">
        <is>
          <t>Föryngringsavverkning</t>
        </is>
      </c>
      <c r="D257" s="1" t="n">
        <v>45764</v>
      </c>
      <c r="E257" s="1" t="n">
        <v>46223</v>
      </c>
      <c r="F257" t="inlineStr">
        <is>
          <t>ÖREBRO LÄN</t>
        </is>
      </c>
      <c r="G257" t="inlineStr">
        <is>
          <t>HÄLLEFORS</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26911-2026</t>
        </is>
      </c>
      <c r="B258" t="inlineStr">
        <is>
          <t>avverkningsanmälan</t>
        </is>
      </c>
      <c r="C258" t="inlineStr">
        <is>
          <t>Föryngringsavverkning</t>
        </is>
      </c>
      <c r="D258" s="1" t="n">
        <v>46185</v>
      </c>
      <c r="E258" s="1" t="n">
        <v>46223</v>
      </c>
      <c r="F258" t="inlineStr">
        <is>
          <t>ÖREBRO LÄN</t>
        </is>
      </c>
      <c r="G258" t="inlineStr">
        <is>
          <t>HÄLLEFORS</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50754-2023</t>
        </is>
      </c>
      <c r="B259" t="inlineStr">
        <is>
          <t>avverkningsanmälan</t>
        </is>
      </c>
      <c r="C259" t="inlineStr">
        <is>
          <t>Föryngringsavverkning</t>
        </is>
      </c>
      <c r="D259" s="1" t="n">
        <v>45217</v>
      </c>
      <c r="E259" s="1" t="n">
        <v>46223</v>
      </c>
      <c r="F259" t="inlineStr">
        <is>
          <t>ÖREBRO LÄN</t>
        </is>
      </c>
      <c r="G259" t="inlineStr">
        <is>
          <t>HÄLLEFORS</t>
        </is>
      </c>
      <c r="H259" t="inlineStr">
        <is>
          <t>Bergvik skog väst AB</t>
        </is>
      </c>
      <c r="I259" t="n">
        <v>5.8</v>
      </c>
      <c r="J259" t="n">
        <v>0</v>
      </c>
      <c r="K259" t="n">
        <v>0</v>
      </c>
      <c r="L259" t="n">
        <v>0</v>
      </c>
      <c r="M259" t="n">
        <v>0</v>
      </c>
      <c r="N259" t="n">
        <v>0</v>
      </c>
      <c r="O259" t="n">
        <v>0</v>
      </c>
      <c r="P259" t="n">
        <v>0</v>
      </c>
      <c r="Q259" t="n">
        <v>0</v>
      </c>
      <c r="R259" t="n">
        <v>0</v>
      </c>
      <c r="S259" t="n">
        <v>0</v>
      </c>
      <c r="T259" t="n">
        <v>0</v>
      </c>
      <c r="U259" s="2" t="inlineStr"/>
    </row>
    <row r="260" ht="15" customHeight="1">
      <c r="A260" t="inlineStr">
        <is>
          <t>A 67843-2021</t>
        </is>
      </c>
      <c r="B260" t="inlineStr">
        <is>
          <t>avverkningsanmälan</t>
        </is>
      </c>
      <c r="C260" t="inlineStr">
        <is>
          <t>Föryngringsavverkning</t>
        </is>
      </c>
      <c r="D260" s="1" t="n">
        <v>44525</v>
      </c>
      <c r="E260" s="1" t="n">
        <v>46223</v>
      </c>
      <c r="F260" t="inlineStr">
        <is>
          <t>ÖREBRO LÄN</t>
        </is>
      </c>
      <c r="G260" t="inlineStr">
        <is>
          <t>HÄLLEFORS</t>
        </is>
      </c>
      <c r="H260" t="inlineStr">
        <is>
          <t>Bergvik skog väst AB</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21760-2026</t>
        </is>
      </c>
      <c r="B261" t="inlineStr">
        <is>
          <t>avverkningsanmälan</t>
        </is>
      </c>
      <c r="C261" t="inlineStr">
        <is>
          <t>Föryngringsavverkning</t>
        </is>
      </c>
      <c r="D261" s="1" t="n">
        <v>46149</v>
      </c>
      <c r="E261" s="1" t="n">
        <v>46223</v>
      </c>
      <c r="F261" t="inlineStr">
        <is>
          <t>ÖREBRO LÄN</t>
        </is>
      </c>
      <c r="G261" t="inlineStr">
        <is>
          <t>HÄLLEFORS</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2079-2024</t>
        </is>
      </c>
      <c r="B262" t="inlineStr">
        <is>
          <t>avverkningsanmälan</t>
        </is>
      </c>
      <c r="C262" t="inlineStr">
        <is>
          <t>Föryngringsavverkning</t>
        </is>
      </c>
      <c r="D262" s="1" t="n">
        <v>45309</v>
      </c>
      <c r="E262" s="1" t="n">
        <v>46223</v>
      </c>
      <c r="F262" t="inlineStr">
        <is>
          <t>ÖREBRO LÄN</t>
        </is>
      </c>
      <c r="G262" t="inlineStr">
        <is>
          <t>HÄLLEFORS</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74464-2021</t>
        </is>
      </c>
      <c r="B263" t="inlineStr">
        <is>
          <t>avverkningsanmälan</t>
        </is>
      </c>
      <c r="C263" t="inlineStr">
        <is>
          <t>Föryngringsavverkning</t>
        </is>
      </c>
      <c r="D263" s="1" t="n">
        <v>44560</v>
      </c>
      <c r="E263" s="1" t="n">
        <v>46223</v>
      </c>
      <c r="F263" t="inlineStr">
        <is>
          <t>ÖREBRO LÄN</t>
        </is>
      </c>
      <c r="G263" t="inlineStr">
        <is>
          <t>HÄLLEFORS</t>
        </is>
      </c>
      <c r="H263" t="inlineStr">
        <is>
          <t>Bergvik skog väst AB</t>
        </is>
      </c>
      <c r="I263" t="n">
        <v>3.2</v>
      </c>
      <c r="J263" t="n">
        <v>0</v>
      </c>
      <c r="K263" t="n">
        <v>0</v>
      </c>
      <c r="L263" t="n">
        <v>0</v>
      </c>
      <c r="M263" t="n">
        <v>0</v>
      </c>
      <c r="N263" t="n">
        <v>0</v>
      </c>
      <c r="O263" t="n">
        <v>0</v>
      </c>
      <c r="P263" t="n">
        <v>0</v>
      </c>
      <c r="Q263" t="n">
        <v>0</v>
      </c>
      <c r="R263" t="n">
        <v>0</v>
      </c>
      <c r="S263" t="n">
        <v>0</v>
      </c>
      <c r="T263" t="n">
        <v>0</v>
      </c>
      <c r="U263" s="2" t="inlineStr"/>
    </row>
    <row r="264" ht="15" customHeight="1">
      <c r="A264" t="inlineStr">
        <is>
          <t>A 21726-2026</t>
        </is>
      </c>
      <c r="B264" t="inlineStr">
        <is>
          <t>avverkningsanmälan</t>
        </is>
      </c>
      <c r="C264" t="inlineStr">
        <is>
          <t>Föryngringsavverkning</t>
        </is>
      </c>
      <c r="D264" s="1" t="n">
        <v>46149</v>
      </c>
      <c r="E264" s="1" t="n">
        <v>46223</v>
      </c>
      <c r="F264" t="inlineStr">
        <is>
          <t>ÖREBRO LÄN</t>
        </is>
      </c>
      <c r="G264" t="inlineStr">
        <is>
          <t>HÄLLEFORS</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46987-2023</t>
        </is>
      </c>
      <c r="B265" t="inlineStr">
        <is>
          <t>avverkningsanmälan</t>
        </is>
      </c>
      <c r="C265" t="inlineStr">
        <is>
          <t>Föryngringsavverkning</t>
        </is>
      </c>
      <c r="D265" s="1" t="n">
        <v>45201</v>
      </c>
      <c r="E265" s="1" t="n">
        <v>46223</v>
      </c>
      <c r="F265" t="inlineStr">
        <is>
          <t>ÖREBRO LÄN</t>
        </is>
      </c>
      <c r="G265" t="inlineStr">
        <is>
          <t>HÄLLEFORS</t>
        </is>
      </c>
      <c r="H265" t="inlineStr">
        <is>
          <t>Bergvik skog väst AB</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13758-2023</t>
        </is>
      </c>
      <c r="B266" t="inlineStr">
        <is>
          <t>avverkningsanmälan</t>
        </is>
      </c>
      <c r="C266" t="inlineStr">
        <is>
          <t>Föryngringsavverkning</t>
        </is>
      </c>
      <c r="D266" s="1" t="n">
        <v>45007</v>
      </c>
      <c r="E266" s="1" t="n">
        <v>46223</v>
      </c>
      <c r="F266" t="inlineStr">
        <is>
          <t>ÖREBRO LÄN</t>
        </is>
      </c>
      <c r="G266" t="inlineStr">
        <is>
          <t>HÄLLEFORS</t>
        </is>
      </c>
      <c r="H266" t="inlineStr">
        <is>
          <t>Bergvik skog väst AB</t>
        </is>
      </c>
      <c r="I266" t="n">
        <v>3.6</v>
      </c>
      <c r="J266" t="n">
        <v>0</v>
      </c>
      <c r="K266" t="n">
        <v>0</v>
      </c>
      <c r="L266" t="n">
        <v>0</v>
      </c>
      <c r="M266" t="n">
        <v>0</v>
      </c>
      <c r="N266" t="n">
        <v>0</v>
      </c>
      <c r="O266" t="n">
        <v>0</v>
      </c>
      <c r="P266" t="n">
        <v>0</v>
      </c>
      <c r="Q266" t="n">
        <v>0</v>
      </c>
      <c r="R266" t="n">
        <v>0</v>
      </c>
      <c r="S266" t="n">
        <v>0</v>
      </c>
      <c r="T266" t="n">
        <v>0</v>
      </c>
      <c r="U266" s="2" t="inlineStr"/>
    </row>
    <row r="267" ht="15" customHeight="1">
      <c r="A267" t="inlineStr">
        <is>
          <t>A 22004-2026</t>
        </is>
      </c>
      <c r="B267" t="inlineStr">
        <is>
          <t>avverkningsanmälan</t>
        </is>
      </c>
      <c r="C267" t="inlineStr">
        <is>
          <t>Föryngringsavverkning</t>
        </is>
      </c>
      <c r="D267" s="1" t="n">
        <v>46153</v>
      </c>
      <c r="E267" s="1" t="n">
        <v>46223</v>
      </c>
      <c r="F267" t="inlineStr">
        <is>
          <t>ÖREBRO LÄN</t>
        </is>
      </c>
      <c r="G267" t="inlineStr">
        <is>
          <t>HÄLLEFORS</t>
        </is>
      </c>
      <c r="H267" t="inlineStr">
        <is>
          <t>Bergvik skog väst AB</t>
        </is>
      </c>
      <c r="I267" t="n">
        <v>3.9</v>
      </c>
      <c r="J267" t="n">
        <v>0</v>
      </c>
      <c r="K267" t="n">
        <v>0</v>
      </c>
      <c r="L267" t="n">
        <v>0</v>
      </c>
      <c r="M267" t="n">
        <v>0</v>
      </c>
      <c r="N267" t="n">
        <v>0</v>
      </c>
      <c r="O267" t="n">
        <v>0</v>
      </c>
      <c r="P267" t="n">
        <v>0</v>
      </c>
      <c r="Q267" t="n">
        <v>0</v>
      </c>
      <c r="R267" t="n">
        <v>0</v>
      </c>
      <c r="S267" t="n">
        <v>0</v>
      </c>
      <c r="T267" t="n">
        <v>0</v>
      </c>
      <c r="U267" s="2" t="inlineStr"/>
    </row>
    <row r="268" ht="15" customHeight="1">
      <c r="A268" t="inlineStr">
        <is>
          <t>A 28215-2026</t>
        </is>
      </c>
      <c r="B268" t="inlineStr">
        <is>
          <t>avverkningsanmälan</t>
        </is>
      </c>
      <c r="C268" t="inlineStr">
        <is>
          <t>Föryngringsavverkning</t>
        </is>
      </c>
      <c r="D268" s="1" t="n">
        <v>46196</v>
      </c>
      <c r="E268" s="1" t="n">
        <v>46223</v>
      </c>
      <c r="F268" t="inlineStr">
        <is>
          <t>ÖREBRO LÄN</t>
        </is>
      </c>
      <c r="G268" t="inlineStr">
        <is>
          <t>HÄLLEFORS</t>
        </is>
      </c>
      <c r="H268" t="inlineStr">
        <is>
          <t>Bergvik skog väst AB</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47854-2025</t>
        </is>
      </c>
      <c r="B269" t="inlineStr">
        <is>
          <t>avverkningsanmälan</t>
        </is>
      </c>
      <c r="C269" t="inlineStr">
        <is>
          <t>Föryngringsavverkning</t>
        </is>
      </c>
      <c r="D269" s="1" t="n">
        <v>45932</v>
      </c>
      <c r="E269" s="1" t="n">
        <v>46223</v>
      </c>
      <c r="F269" t="inlineStr">
        <is>
          <t>ÖREBRO LÄN</t>
        </is>
      </c>
      <c r="G269" t="inlineStr">
        <is>
          <t>HÄLLEFORS</t>
        </is>
      </c>
      <c r="H269" t="inlineStr">
        <is>
          <t>Bergvik skog väst AB</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21541-2026</t>
        </is>
      </c>
      <c r="B270" t="inlineStr">
        <is>
          <t>avverkningsanmälan</t>
        </is>
      </c>
      <c r="C270" t="inlineStr">
        <is>
          <t>Föryngringsavverkning</t>
        </is>
      </c>
      <c r="D270" s="1" t="n">
        <v>46148</v>
      </c>
      <c r="E270" s="1" t="n">
        <v>46223</v>
      </c>
      <c r="F270" t="inlineStr">
        <is>
          <t>ÖREBRO LÄN</t>
        </is>
      </c>
      <c r="G270" t="inlineStr">
        <is>
          <t>HÄLLEFORS</t>
        </is>
      </c>
      <c r="H270" t="inlineStr">
        <is>
          <t>Bergvik skog väst AB</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4353-2023</t>
        </is>
      </c>
      <c r="B271" t="inlineStr">
        <is>
          <t>avverkningsanmälan</t>
        </is>
      </c>
      <c r="C271" t="inlineStr">
        <is>
          <t>Föryngringsavverkning</t>
        </is>
      </c>
      <c r="D271" s="1" t="n">
        <v>44954</v>
      </c>
      <c r="E271" s="1" t="n">
        <v>46223</v>
      </c>
      <c r="F271" t="inlineStr">
        <is>
          <t>ÖREBRO LÄN</t>
        </is>
      </c>
      <c r="G271" t="inlineStr">
        <is>
          <t>HÄLLEFORS</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51488-2021</t>
        </is>
      </c>
      <c r="B272" t="inlineStr">
        <is>
          <t>avverkningsanmälan</t>
        </is>
      </c>
      <c r="C272" t="inlineStr">
        <is>
          <t>Föryngringsavverkning</t>
        </is>
      </c>
      <c r="D272" s="1" t="n">
        <v>44460</v>
      </c>
      <c r="E272" s="1" t="n">
        <v>46223</v>
      </c>
      <c r="F272" t="inlineStr">
        <is>
          <t>ÖREBRO LÄN</t>
        </is>
      </c>
      <c r="G272" t="inlineStr">
        <is>
          <t>HÄLLEFORS</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67027-2021</t>
        </is>
      </c>
      <c r="B273" t="inlineStr">
        <is>
          <t>avverkningsanmälan</t>
        </is>
      </c>
      <c r="C273" t="inlineStr">
        <is>
          <t>Föryngringsavverkning</t>
        </is>
      </c>
      <c r="D273" s="1" t="n">
        <v>44522</v>
      </c>
      <c r="E273" s="1" t="n">
        <v>46223</v>
      </c>
      <c r="F273" t="inlineStr">
        <is>
          <t>ÖREBRO LÄN</t>
        </is>
      </c>
      <c r="G273" t="inlineStr">
        <is>
          <t>HÄLLEFORS</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9009-2023</t>
        </is>
      </c>
      <c r="B274" t="inlineStr">
        <is>
          <t>avverkningsanmälan</t>
        </is>
      </c>
      <c r="C274" t="inlineStr">
        <is>
          <t>Föryngringsavverkning</t>
        </is>
      </c>
      <c r="D274" s="1" t="n">
        <v>44979</v>
      </c>
      <c r="E274" s="1" t="n">
        <v>46223</v>
      </c>
      <c r="F274" t="inlineStr">
        <is>
          <t>ÖREBRO LÄN</t>
        </is>
      </c>
      <c r="G274" t="inlineStr">
        <is>
          <t>HÄLLEFORS</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60518-2021</t>
        </is>
      </c>
      <c r="B275" t="inlineStr">
        <is>
          <t>avverkningsanmälan</t>
        </is>
      </c>
      <c r="C275" t="inlineStr">
        <is>
          <t>Föryngringsavverkning</t>
        </is>
      </c>
      <c r="D275" s="1" t="n">
        <v>44496</v>
      </c>
      <c r="E275" s="1" t="n">
        <v>46223</v>
      </c>
      <c r="F275" t="inlineStr">
        <is>
          <t>ÖREBRO LÄN</t>
        </is>
      </c>
      <c r="G275" t="inlineStr">
        <is>
          <t>HÄLLEFORS</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23263-2026</t>
        </is>
      </c>
      <c r="B276" t="inlineStr">
        <is>
          <t>avverkningsanmälan</t>
        </is>
      </c>
      <c r="C276" t="inlineStr">
        <is>
          <t>Föryngringsavverkning</t>
        </is>
      </c>
      <c r="D276" s="1" t="n">
        <v>46162</v>
      </c>
      <c r="E276" s="1" t="n">
        <v>46223</v>
      </c>
      <c r="F276" t="inlineStr">
        <is>
          <t>ÖREBRO LÄN</t>
        </is>
      </c>
      <c r="G276" t="inlineStr">
        <is>
          <t>HÄLLEFORS</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23253-2026</t>
        </is>
      </c>
      <c r="B277" t="inlineStr">
        <is>
          <t>avverkningsanmälan</t>
        </is>
      </c>
      <c r="C277" t="inlineStr">
        <is>
          <t>Föryngringsavverkning</t>
        </is>
      </c>
      <c r="D277" s="1" t="n">
        <v>46162</v>
      </c>
      <c r="E277" s="1" t="n">
        <v>46223</v>
      </c>
      <c r="F277" t="inlineStr">
        <is>
          <t>ÖREBRO LÄN</t>
        </is>
      </c>
      <c r="G277" t="inlineStr">
        <is>
          <t>HÄLLEFORS</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43886-2024</t>
        </is>
      </c>
      <c r="B278" t="inlineStr">
        <is>
          <t>avverkningsanmälan</t>
        </is>
      </c>
      <c r="C278" t="inlineStr">
        <is>
          <t>Föryngringsavverkning</t>
        </is>
      </c>
      <c r="D278" s="1" t="n">
        <v>45572</v>
      </c>
      <c r="E278" s="1" t="n">
        <v>46223</v>
      </c>
      <c r="F278" t="inlineStr">
        <is>
          <t>ÖREBRO LÄN</t>
        </is>
      </c>
      <c r="G278" t="inlineStr">
        <is>
          <t>HÄLLEFORS</t>
        </is>
      </c>
      <c r="H278" t="inlineStr">
        <is>
          <t>Bergvik skog väst AB</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30591-2024</t>
        </is>
      </c>
      <c r="B279" t="inlineStr">
        <is>
          <t>avverkningsanmälan</t>
        </is>
      </c>
      <c r="C279" t="inlineStr">
        <is>
          <t>Föryngringsavverkning</t>
        </is>
      </c>
      <c r="D279" s="1" t="n">
        <v>45493</v>
      </c>
      <c r="E279" s="1" t="n">
        <v>46223</v>
      </c>
      <c r="F279" t="inlineStr">
        <is>
          <t>ÖREBRO LÄN</t>
        </is>
      </c>
      <c r="G279" t="inlineStr">
        <is>
          <t>HÄLLEFORS</t>
        </is>
      </c>
      <c r="I279" t="n">
        <v>12.5</v>
      </c>
      <c r="J279" t="n">
        <v>0</v>
      </c>
      <c r="K279" t="n">
        <v>0</v>
      </c>
      <c r="L279" t="n">
        <v>0</v>
      </c>
      <c r="M279" t="n">
        <v>0</v>
      </c>
      <c r="N279" t="n">
        <v>0</v>
      </c>
      <c r="O279" t="n">
        <v>0</v>
      </c>
      <c r="P279" t="n">
        <v>0</v>
      </c>
      <c r="Q279" t="n">
        <v>0</v>
      </c>
      <c r="R279" t="n">
        <v>0</v>
      </c>
      <c r="S279" t="n">
        <v>0</v>
      </c>
      <c r="T279" t="n">
        <v>0</v>
      </c>
      <c r="U279" s="2" t="inlineStr"/>
    </row>
    <row r="280" ht="15" customHeight="1">
      <c r="A280" t="inlineStr">
        <is>
          <t>A 11467-2024</t>
        </is>
      </c>
      <c r="B280" t="inlineStr">
        <is>
          <t>avverkningsanmälan</t>
        </is>
      </c>
      <c r="C280" t="inlineStr">
        <is>
          <t>Föryngringsavverkning</t>
        </is>
      </c>
      <c r="D280" s="1" t="n">
        <v>45372</v>
      </c>
      <c r="E280" s="1" t="n">
        <v>46223</v>
      </c>
      <c r="F280" t="inlineStr">
        <is>
          <t>ÖREBRO LÄN</t>
        </is>
      </c>
      <c r="G280" t="inlineStr">
        <is>
          <t>HÄLLEFORS</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23427-2026</t>
        </is>
      </c>
      <c r="B281" t="inlineStr">
        <is>
          <t>avverkningsanmälan</t>
        </is>
      </c>
      <c r="C281" t="inlineStr">
        <is>
          <t>Föryngringsavverkning</t>
        </is>
      </c>
      <c r="D281" s="1" t="n">
        <v>46163</v>
      </c>
      <c r="E281" s="1" t="n">
        <v>46223</v>
      </c>
      <c r="F281" t="inlineStr">
        <is>
          <t>ÖREBRO LÄN</t>
        </is>
      </c>
      <c r="G281" t="inlineStr">
        <is>
          <t>HÄLLEFORS</t>
        </is>
      </c>
      <c r="H281" t="inlineStr">
        <is>
          <t>Sveaskog</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23425-2026</t>
        </is>
      </c>
      <c r="B282" t="inlineStr">
        <is>
          <t>avverkningsanmälan</t>
        </is>
      </c>
      <c r="C282" t="inlineStr">
        <is>
          <t>Föryngringsavverkning</t>
        </is>
      </c>
      <c r="D282" s="1" t="n">
        <v>46163</v>
      </c>
      <c r="E282" s="1" t="n">
        <v>46223</v>
      </c>
      <c r="F282" t="inlineStr">
        <is>
          <t>ÖREBRO LÄN</t>
        </is>
      </c>
      <c r="G282" t="inlineStr">
        <is>
          <t>HÄLLEFORS</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44091-2024</t>
        </is>
      </c>
      <c r="B283" t="inlineStr">
        <is>
          <t>avverkningsanmälan</t>
        </is>
      </c>
      <c r="C283" t="inlineStr">
        <is>
          <t>Föryngringsavverkning</t>
        </is>
      </c>
      <c r="D283" s="1" t="n">
        <v>45572</v>
      </c>
      <c r="E283" s="1" t="n">
        <v>46223</v>
      </c>
      <c r="F283" t="inlineStr">
        <is>
          <t>ÖREBRO LÄN</t>
        </is>
      </c>
      <c r="G283" t="inlineStr">
        <is>
          <t>HÄLLEFORS</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44052-2024</t>
        </is>
      </c>
      <c r="B284" t="inlineStr">
        <is>
          <t>avverkningsanmälan</t>
        </is>
      </c>
      <c r="C284" t="inlineStr">
        <is>
          <t>Föryngringsavverkning</t>
        </is>
      </c>
      <c r="D284" s="1" t="n">
        <v>45572</v>
      </c>
      <c r="E284" s="1" t="n">
        <v>46223</v>
      </c>
      <c r="F284" t="inlineStr">
        <is>
          <t>ÖREBRO LÄN</t>
        </is>
      </c>
      <c r="G284" t="inlineStr">
        <is>
          <t>HÄLLEFORS</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46912-2023</t>
        </is>
      </c>
      <c r="B285" t="inlineStr">
        <is>
          <t>avverkningsanmälan</t>
        </is>
      </c>
      <c r="C285" t="inlineStr">
        <is>
          <t>Föryngringsavverkning</t>
        </is>
      </c>
      <c r="D285" s="1" t="n">
        <v>45201</v>
      </c>
      <c r="E285" s="1" t="n">
        <v>46223</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23424-2026</t>
        </is>
      </c>
      <c r="B286" t="inlineStr">
        <is>
          <t>avverkningsanmälan</t>
        </is>
      </c>
      <c r="C286" t="inlineStr">
        <is>
          <t>Föryngringsavverkning</t>
        </is>
      </c>
      <c r="D286" s="1" t="n">
        <v>46163</v>
      </c>
      <c r="E286" s="1" t="n">
        <v>46223</v>
      </c>
      <c r="F286" t="inlineStr">
        <is>
          <t>ÖREBRO LÄN</t>
        </is>
      </c>
      <c r="G286" t="inlineStr">
        <is>
          <t>HÄLLEFORS</t>
        </is>
      </c>
      <c r="H286" t="inlineStr">
        <is>
          <t>Sveaskog</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23428-2026</t>
        </is>
      </c>
      <c r="B287" t="inlineStr">
        <is>
          <t>avverkningsanmälan</t>
        </is>
      </c>
      <c r="C287" t="inlineStr">
        <is>
          <t>Föryngringsavverkning</t>
        </is>
      </c>
      <c r="D287" s="1" t="n">
        <v>46163</v>
      </c>
      <c r="E287" s="1" t="n">
        <v>46223</v>
      </c>
      <c r="F287" t="inlineStr">
        <is>
          <t>ÖREBRO LÄN</t>
        </is>
      </c>
      <c r="G287" t="inlineStr">
        <is>
          <t>HÄLLEFORS</t>
        </is>
      </c>
      <c r="H287" t="inlineStr">
        <is>
          <t>Sveaskog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2283-2023</t>
        </is>
      </c>
      <c r="B288" t="inlineStr">
        <is>
          <t>avverkningsanmälan</t>
        </is>
      </c>
      <c r="C288" t="inlineStr">
        <is>
          <t>Föryngringsavverkning</t>
        </is>
      </c>
      <c r="D288" s="1" t="n">
        <v>44942</v>
      </c>
      <c r="E288" s="1" t="n">
        <v>46223</v>
      </c>
      <c r="F288" t="inlineStr">
        <is>
          <t>ÖREBRO LÄN</t>
        </is>
      </c>
      <c r="G288" t="inlineStr">
        <is>
          <t>HÄLLEFORS</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47190-2022</t>
        </is>
      </c>
      <c r="B289" t="inlineStr">
        <is>
          <t>avverkningsanmälan</t>
        </is>
      </c>
      <c r="C289" t="inlineStr">
        <is>
          <t>Föryngringsavverkning</t>
        </is>
      </c>
      <c r="D289" s="1" t="n">
        <v>44852</v>
      </c>
      <c r="E289" s="1" t="n">
        <v>46223</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24247-2026</t>
        </is>
      </c>
      <c r="B290" t="inlineStr">
        <is>
          <t>avverkningsanmälan</t>
        </is>
      </c>
      <c r="C290" t="inlineStr">
        <is>
          <t>Föryngringsavverkning</t>
        </is>
      </c>
      <c r="D290" s="1" t="n">
        <v>46168</v>
      </c>
      <c r="E290" s="1" t="n">
        <v>46223</v>
      </c>
      <c r="F290" t="inlineStr">
        <is>
          <t>ÖREBRO LÄN</t>
        </is>
      </c>
      <c r="G290" t="inlineStr">
        <is>
          <t>HÄLLEFORS</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24246-2026</t>
        </is>
      </c>
      <c r="B291" t="inlineStr">
        <is>
          <t>avverkningsanmälan</t>
        </is>
      </c>
      <c r="C291" t="inlineStr">
        <is>
          <t>Föryngringsavverkning</t>
        </is>
      </c>
      <c r="D291" s="1" t="n">
        <v>46168</v>
      </c>
      <c r="E291" s="1" t="n">
        <v>46223</v>
      </c>
      <c r="F291" t="inlineStr">
        <is>
          <t>ÖREBRO LÄN</t>
        </is>
      </c>
      <c r="G291" t="inlineStr">
        <is>
          <t>HÄLLEFORS</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48765-2025</t>
        </is>
      </c>
      <c r="B292" t="inlineStr">
        <is>
          <t>avverkningsanmälan</t>
        </is>
      </c>
      <c r="C292" t="inlineStr">
        <is>
          <t>Föryngringsavverkning</t>
        </is>
      </c>
      <c r="D292" s="1" t="n">
        <v>45936</v>
      </c>
      <c r="E292" s="1" t="n">
        <v>46223</v>
      </c>
      <c r="F292" t="inlineStr">
        <is>
          <t>ÖREBRO LÄN</t>
        </is>
      </c>
      <c r="G292" t="inlineStr">
        <is>
          <t>HÄLLEFORS</t>
        </is>
      </c>
      <c r="H292" t="inlineStr">
        <is>
          <t>Bergvik skog väst AB</t>
        </is>
      </c>
      <c r="I292" t="n">
        <v>17.6</v>
      </c>
      <c r="J292" t="n">
        <v>0</v>
      </c>
      <c r="K292" t="n">
        <v>0</v>
      </c>
      <c r="L292" t="n">
        <v>0</v>
      </c>
      <c r="M292" t="n">
        <v>0</v>
      </c>
      <c r="N292" t="n">
        <v>0</v>
      </c>
      <c r="O292" t="n">
        <v>0</v>
      </c>
      <c r="P292" t="n">
        <v>0</v>
      </c>
      <c r="Q292" t="n">
        <v>0</v>
      </c>
      <c r="R292" t="n">
        <v>0</v>
      </c>
      <c r="S292" t="n">
        <v>0</v>
      </c>
      <c r="T292" t="n">
        <v>0</v>
      </c>
      <c r="U292" s="2" t="inlineStr"/>
    </row>
    <row r="293" ht="15" customHeight="1">
      <c r="A293" t="inlineStr">
        <is>
          <t>A 58499-2022</t>
        </is>
      </c>
      <c r="B293" t="inlineStr">
        <is>
          <t>avverkningsanmälan</t>
        </is>
      </c>
      <c r="C293" t="inlineStr">
        <is>
          <t>Föryngringsavverkning</t>
        </is>
      </c>
      <c r="D293" s="1" t="n">
        <v>44902</v>
      </c>
      <c r="E293" s="1" t="n">
        <v>46223</v>
      </c>
      <c r="F293" t="inlineStr">
        <is>
          <t>ÖREBRO LÄN</t>
        </is>
      </c>
      <c r="G293" t="inlineStr">
        <is>
          <t>HÄLLEFORS</t>
        </is>
      </c>
      <c r="H293" t="inlineStr">
        <is>
          <t>Bergvik skog väst AB</t>
        </is>
      </c>
      <c r="I293" t="n">
        <v>4.2</v>
      </c>
      <c r="J293" t="n">
        <v>0</v>
      </c>
      <c r="K293" t="n">
        <v>0</v>
      </c>
      <c r="L293" t="n">
        <v>0</v>
      </c>
      <c r="M293" t="n">
        <v>0</v>
      </c>
      <c r="N293" t="n">
        <v>0</v>
      </c>
      <c r="O293" t="n">
        <v>0</v>
      </c>
      <c r="P293" t="n">
        <v>0</v>
      </c>
      <c r="Q293" t="n">
        <v>0</v>
      </c>
      <c r="R293" t="n">
        <v>0</v>
      </c>
      <c r="S293" t="n">
        <v>0</v>
      </c>
      <c r="T293" t="n">
        <v>0</v>
      </c>
      <c r="U293" s="2" t="inlineStr"/>
    </row>
    <row r="294" ht="15" customHeight="1">
      <c r="A294" t="inlineStr">
        <is>
          <t>A 57494-2025</t>
        </is>
      </c>
      <c r="B294" t="inlineStr">
        <is>
          <t>avverkningsanmälan</t>
        </is>
      </c>
      <c r="C294" t="inlineStr">
        <is>
          <t>Föryngringsavverkning</t>
        </is>
      </c>
      <c r="D294" s="1" t="n">
        <v>45980</v>
      </c>
      <c r="E294" s="1" t="n">
        <v>46223</v>
      </c>
      <c r="F294" t="inlineStr">
        <is>
          <t>ÖREBRO LÄN</t>
        </is>
      </c>
      <c r="G294" t="inlineStr">
        <is>
          <t>HÄLLEFORS</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21852-2025</t>
        </is>
      </c>
      <c r="B295" t="inlineStr">
        <is>
          <t>avverkningsanmälan</t>
        </is>
      </c>
      <c r="C295" t="inlineStr">
        <is>
          <t>Föryngringsavverkning</t>
        </is>
      </c>
      <c r="D295" s="1" t="n">
        <v>45784</v>
      </c>
      <c r="E295" s="1" t="n">
        <v>46223</v>
      </c>
      <c r="F295" t="inlineStr">
        <is>
          <t>ÖREBRO LÄN</t>
        </is>
      </c>
      <c r="G295" t="inlineStr">
        <is>
          <t>HÄLLEFORS</t>
        </is>
      </c>
      <c r="I295" t="n">
        <v>4.2</v>
      </c>
      <c r="J295" t="n">
        <v>0</v>
      </c>
      <c r="K295" t="n">
        <v>0</v>
      </c>
      <c r="L295" t="n">
        <v>0</v>
      </c>
      <c r="M295" t="n">
        <v>0</v>
      </c>
      <c r="N295" t="n">
        <v>0</v>
      </c>
      <c r="O295" t="n">
        <v>0</v>
      </c>
      <c r="P295" t="n">
        <v>0</v>
      </c>
      <c r="Q295" t="n">
        <v>0</v>
      </c>
      <c r="R295" t="n">
        <v>0</v>
      </c>
      <c r="S295" t="n">
        <v>0</v>
      </c>
      <c r="T295" t="n">
        <v>0</v>
      </c>
      <c r="U295" s="2" t="inlineStr"/>
    </row>
    <row r="296" ht="15" customHeight="1">
      <c r="A296" t="inlineStr">
        <is>
          <t>A 31032-2026</t>
        </is>
      </c>
      <c r="B296" t="inlineStr">
        <is>
          <t>avverkningsanmälan</t>
        </is>
      </c>
      <c r="C296" t="inlineStr">
        <is>
          <t>Föryngringsavverkning</t>
        </is>
      </c>
      <c r="D296" s="1" t="n">
        <v>46214</v>
      </c>
      <c r="E296" s="1" t="n">
        <v>46223</v>
      </c>
      <c r="F296" t="inlineStr">
        <is>
          <t>ÖREBRO LÄN</t>
        </is>
      </c>
      <c r="G296" t="inlineStr">
        <is>
          <t>HÄLLEFORS</t>
        </is>
      </c>
      <c r="H296" t="inlineStr">
        <is>
          <t>Bergvik skog väst AB</t>
        </is>
      </c>
      <c r="I296" t="n">
        <v>13.6</v>
      </c>
      <c r="J296" t="n">
        <v>0</v>
      </c>
      <c r="K296" t="n">
        <v>0</v>
      </c>
      <c r="L296" t="n">
        <v>0</v>
      </c>
      <c r="M296" t="n">
        <v>0</v>
      </c>
      <c r="N296" t="n">
        <v>0</v>
      </c>
      <c r="O296" t="n">
        <v>0</v>
      </c>
      <c r="P296" t="n">
        <v>0</v>
      </c>
      <c r="Q296" t="n">
        <v>0</v>
      </c>
      <c r="R296" t="n">
        <v>0</v>
      </c>
      <c r="S296" t="n">
        <v>0</v>
      </c>
      <c r="T296" t="n">
        <v>0</v>
      </c>
      <c r="U296" s="2" t="inlineStr"/>
    </row>
    <row r="297" ht="15" customHeight="1">
      <c r="A297" t="inlineStr">
        <is>
          <t>A 31033-2026</t>
        </is>
      </c>
      <c r="B297" t="inlineStr">
        <is>
          <t>avverkningsanmälan</t>
        </is>
      </c>
      <c r="C297" t="inlineStr">
        <is>
          <t>Föryngringsavverkning</t>
        </is>
      </c>
      <c r="D297" s="1" t="n">
        <v>46214</v>
      </c>
      <c r="E297" s="1" t="n">
        <v>46223</v>
      </c>
      <c r="F297" t="inlineStr">
        <is>
          <t>ÖREBRO LÄN</t>
        </is>
      </c>
      <c r="G297" t="inlineStr">
        <is>
          <t>HÄLLEFORS</t>
        </is>
      </c>
      <c r="H297" t="inlineStr">
        <is>
          <t>Bergvik skog väst AB</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46980-2023</t>
        </is>
      </c>
      <c r="B298" t="inlineStr">
        <is>
          <t>avverkningsanmälan</t>
        </is>
      </c>
      <c r="C298" t="inlineStr">
        <is>
          <t>Föryngringsavverkning</t>
        </is>
      </c>
      <c r="D298" s="1" t="n">
        <v>45201</v>
      </c>
      <c r="E298" s="1" t="n">
        <v>46223</v>
      </c>
      <c r="F298" t="inlineStr">
        <is>
          <t>ÖREBRO LÄN</t>
        </is>
      </c>
      <c r="G298" t="inlineStr">
        <is>
          <t>HÄLLEFORS</t>
        </is>
      </c>
      <c r="H298" t="inlineStr">
        <is>
          <t>Bergvik skog väst AB</t>
        </is>
      </c>
      <c r="I298" t="n">
        <v>7.5</v>
      </c>
      <c r="J298" t="n">
        <v>0</v>
      </c>
      <c r="K298" t="n">
        <v>0</v>
      </c>
      <c r="L298" t="n">
        <v>0</v>
      </c>
      <c r="M298" t="n">
        <v>0</v>
      </c>
      <c r="N298" t="n">
        <v>0</v>
      </c>
      <c r="O298" t="n">
        <v>0</v>
      </c>
      <c r="P298" t="n">
        <v>0</v>
      </c>
      <c r="Q298" t="n">
        <v>0</v>
      </c>
      <c r="R298" t="n">
        <v>0</v>
      </c>
      <c r="S298" t="n">
        <v>0</v>
      </c>
      <c r="T298" t="n">
        <v>0</v>
      </c>
      <c r="U298" s="2" t="inlineStr"/>
    </row>
    <row r="299" ht="15" customHeight="1">
      <c r="A299" t="inlineStr">
        <is>
          <t>A 17333-2025</t>
        </is>
      </c>
      <c r="B299" t="inlineStr">
        <is>
          <t>avverkningsanmälan</t>
        </is>
      </c>
      <c r="C299" t="inlineStr">
        <is>
          <t>Föryngringsavverkning</t>
        </is>
      </c>
      <c r="D299" s="1" t="n">
        <v>45756</v>
      </c>
      <c r="E299" s="1" t="n">
        <v>46223</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42920-2024</t>
        </is>
      </c>
      <c r="B300" t="inlineStr">
        <is>
          <t>avverkningsanmälan</t>
        </is>
      </c>
      <c r="C300" t="inlineStr">
        <is>
          <t>Föryngringsavverkning</t>
        </is>
      </c>
      <c r="D300" s="1" t="n">
        <v>45567</v>
      </c>
      <c r="E300" s="1" t="n">
        <v>46223</v>
      </c>
      <c r="F300" t="inlineStr">
        <is>
          <t>ÖREBRO LÄN</t>
        </is>
      </c>
      <c r="G300" t="inlineStr">
        <is>
          <t>HÄLLEFORS</t>
        </is>
      </c>
      <c r="H300" t="inlineStr">
        <is>
          <t>Bergvik skog väst AB</t>
        </is>
      </c>
      <c r="I300" t="n">
        <v>5.5</v>
      </c>
      <c r="J300" t="n">
        <v>0</v>
      </c>
      <c r="K300" t="n">
        <v>0</v>
      </c>
      <c r="L300" t="n">
        <v>0</v>
      </c>
      <c r="M300" t="n">
        <v>0</v>
      </c>
      <c r="N300" t="n">
        <v>0</v>
      </c>
      <c r="O300" t="n">
        <v>0</v>
      </c>
      <c r="P300" t="n">
        <v>0</v>
      </c>
      <c r="Q300" t="n">
        <v>0</v>
      </c>
      <c r="R300" t="n">
        <v>0</v>
      </c>
      <c r="S300" t="n">
        <v>0</v>
      </c>
      <c r="T300" t="n">
        <v>0</v>
      </c>
      <c r="U300" s="2" t="inlineStr"/>
    </row>
    <row r="301" ht="15" customHeight="1">
      <c r="A301" t="inlineStr">
        <is>
          <t>A 15771-2022</t>
        </is>
      </c>
      <c r="B301" t="inlineStr">
        <is>
          <t>avverkningsanmälan</t>
        </is>
      </c>
      <c r="C301" t="inlineStr">
        <is>
          <t>Föryngringsavverkning</t>
        </is>
      </c>
      <c r="D301" s="1" t="n">
        <v>44663</v>
      </c>
      <c r="E301" s="1" t="n">
        <v>46223</v>
      </c>
      <c r="F301" t="inlineStr">
        <is>
          <t>ÖREBRO LÄN</t>
        </is>
      </c>
      <c r="G301" t="inlineStr">
        <is>
          <t>HÄLLEFORS</t>
        </is>
      </c>
      <c r="H301" t="inlineStr">
        <is>
          <t>Bergvik skog väst AB</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60523-2024</t>
        </is>
      </c>
      <c r="B302" t="inlineStr">
        <is>
          <t>avverkningsanmälan</t>
        </is>
      </c>
      <c r="C302" t="inlineStr">
        <is>
          <t>Föryngringsavverkning</t>
        </is>
      </c>
      <c r="D302" s="1" t="n">
        <v>45643</v>
      </c>
      <c r="E302" s="1" t="n">
        <v>46223</v>
      </c>
      <c r="F302" t="inlineStr">
        <is>
          <t>ÖREBRO LÄN</t>
        </is>
      </c>
      <c r="G302" t="inlineStr">
        <is>
          <t>HÄLLEFORS</t>
        </is>
      </c>
      <c r="H302" t="inlineStr">
        <is>
          <t>Bergvik skog väst AB</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24635-2026</t>
        </is>
      </c>
      <c r="B303" t="inlineStr">
        <is>
          <t>avverkningsanmälan</t>
        </is>
      </c>
      <c r="C303" t="inlineStr">
        <is>
          <t>Föryngringsavverkning</t>
        </is>
      </c>
      <c r="D303" s="1" t="n">
        <v>46171</v>
      </c>
      <c r="E303" s="1" t="n">
        <v>46223</v>
      </c>
      <c r="F303" t="inlineStr">
        <is>
          <t>ÖREBRO LÄN</t>
        </is>
      </c>
      <c r="G303" t="inlineStr">
        <is>
          <t>HÄLLEFORS</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24633-2026</t>
        </is>
      </c>
      <c r="B304" t="inlineStr">
        <is>
          <t>avverkningsanmälan</t>
        </is>
      </c>
      <c r="C304" t="inlineStr">
        <is>
          <t>Föryngringsavverkning</t>
        </is>
      </c>
      <c r="D304" s="1" t="n">
        <v>46171</v>
      </c>
      <c r="E304" s="1" t="n">
        <v>46223</v>
      </c>
      <c r="F304" t="inlineStr">
        <is>
          <t>ÖREBRO LÄN</t>
        </is>
      </c>
      <c r="G304" t="inlineStr">
        <is>
          <t>HÄLLEFORS</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21901-2023</t>
        </is>
      </c>
      <c r="B305" t="inlineStr">
        <is>
          <t>avverkningsanmälan</t>
        </is>
      </c>
      <c r="C305" t="inlineStr">
        <is>
          <t>Föryngringsavverkning</t>
        </is>
      </c>
      <c r="D305" s="1" t="n">
        <v>45068</v>
      </c>
      <c r="E305" s="1" t="n">
        <v>46223</v>
      </c>
      <c r="F305" t="inlineStr">
        <is>
          <t>ÖREBRO LÄN</t>
        </is>
      </c>
      <c r="G305" t="inlineStr">
        <is>
          <t>HÄLLEFORS</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24631-2026</t>
        </is>
      </c>
      <c r="B306" t="inlineStr">
        <is>
          <t>avverkningsanmälan</t>
        </is>
      </c>
      <c r="C306" t="inlineStr">
        <is>
          <t>Föryngringsavverkning</t>
        </is>
      </c>
      <c r="D306" s="1" t="n">
        <v>46171</v>
      </c>
      <c r="E306" s="1" t="n">
        <v>46223</v>
      </c>
      <c r="F306" t="inlineStr">
        <is>
          <t>ÖREBRO LÄN</t>
        </is>
      </c>
      <c r="G306" t="inlineStr">
        <is>
          <t>HÄLLEFORS</t>
        </is>
      </c>
      <c r="I306" t="n">
        <v>4.5</v>
      </c>
      <c r="J306" t="n">
        <v>0</v>
      </c>
      <c r="K306" t="n">
        <v>0</v>
      </c>
      <c r="L306" t="n">
        <v>0</v>
      </c>
      <c r="M306" t="n">
        <v>0</v>
      </c>
      <c r="N306" t="n">
        <v>0</v>
      </c>
      <c r="O306" t="n">
        <v>0</v>
      </c>
      <c r="P306" t="n">
        <v>0</v>
      </c>
      <c r="Q306" t="n">
        <v>0</v>
      </c>
      <c r="R306" t="n">
        <v>0</v>
      </c>
      <c r="S306" t="n">
        <v>0</v>
      </c>
      <c r="T306" t="n">
        <v>0</v>
      </c>
      <c r="U306" s="2" t="inlineStr"/>
    </row>
    <row r="307" ht="15" customHeight="1">
      <c r="A307" t="inlineStr">
        <is>
          <t>A 55397-2023</t>
        </is>
      </c>
      <c r="B307" t="inlineStr">
        <is>
          <t>avverkningsanmälan</t>
        </is>
      </c>
      <c r="C307" t="inlineStr">
        <is>
          <t>Föryngringsavverkning</t>
        </is>
      </c>
      <c r="D307" s="1" t="n">
        <v>45238</v>
      </c>
      <c r="E307" s="1" t="n">
        <v>46223</v>
      </c>
      <c r="F307" t="inlineStr">
        <is>
          <t>ÖREBRO LÄN</t>
        </is>
      </c>
      <c r="G307" t="inlineStr">
        <is>
          <t>HÄLLEFORS</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25095-2026</t>
        </is>
      </c>
      <c r="B308" t="inlineStr">
        <is>
          <t>avverkningsanmälan</t>
        </is>
      </c>
      <c r="C308" t="inlineStr">
        <is>
          <t>Föryngringsavverkning</t>
        </is>
      </c>
      <c r="D308" s="1" t="n">
        <v>46175</v>
      </c>
      <c r="E308" s="1" t="n">
        <v>46223</v>
      </c>
      <c r="F308" t="inlineStr">
        <is>
          <t>ÖREBRO LÄN</t>
        </is>
      </c>
      <c r="G308" t="inlineStr">
        <is>
          <t>HÄLLEFORS</t>
        </is>
      </c>
      <c r="H308" t="inlineStr">
        <is>
          <t>Sveaskog</t>
        </is>
      </c>
      <c r="I308" t="n">
        <v>4</v>
      </c>
      <c r="J308" t="n">
        <v>0</v>
      </c>
      <c r="K308" t="n">
        <v>0</v>
      </c>
      <c r="L308" t="n">
        <v>0</v>
      </c>
      <c r="M308" t="n">
        <v>0</v>
      </c>
      <c r="N308" t="n">
        <v>0</v>
      </c>
      <c r="O308" t="n">
        <v>0</v>
      </c>
      <c r="P308" t="n">
        <v>0</v>
      </c>
      <c r="Q308" t="n">
        <v>0</v>
      </c>
      <c r="R308" t="n">
        <v>0</v>
      </c>
      <c r="S308" t="n">
        <v>0</v>
      </c>
      <c r="T308" t="n">
        <v>0</v>
      </c>
      <c r="U308" s="2" t="inlineStr"/>
    </row>
    <row r="309" ht="15" customHeight="1">
      <c r="A309" t="inlineStr">
        <is>
          <t>A 4716-2022</t>
        </is>
      </c>
      <c r="B309" t="inlineStr">
        <is>
          <t>avverkningsanmälan</t>
        </is>
      </c>
      <c r="C309" t="inlineStr">
        <is>
          <t>Föryngringsavverkning</t>
        </is>
      </c>
      <c r="D309" s="1" t="n">
        <v>44592</v>
      </c>
      <c r="E309" s="1" t="n">
        <v>46223</v>
      </c>
      <c r="F309" t="inlineStr">
        <is>
          <t>ÖREBRO LÄN</t>
        </is>
      </c>
      <c r="G309" t="inlineStr">
        <is>
          <t>HÄLLEFORS</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25172-2026</t>
        </is>
      </c>
      <c r="B310" t="inlineStr">
        <is>
          <t>avverkningsanmälan</t>
        </is>
      </c>
      <c r="C310" t="inlineStr">
        <is>
          <t>Föryngringsavverkning</t>
        </is>
      </c>
      <c r="D310" s="1" t="n">
        <v>46175</v>
      </c>
      <c r="E310" s="1" t="n">
        <v>46223</v>
      </c>
      <c r="F310" t="inlineStr">
        <is>
          <t>ÖREBRO LÄN</t>
        </is>
      </c>
      <c r="G310" t="inlineStr">
        <is>
          <t>HÄLLEFORS</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25094-2026</t>
        </is>
      </c>
      <c r="B311" t="inlineStr">
        <is>
          <t>avverkningsanmälan</t>
        </is>
      </c>
      <c r="C311" t="inlineStr">
        <is>
          <t>Föryngringsavverkning</t>
        </is>
      </c>
      <c r="D311" s="1" t="n">
        <v>46175</v>
      </c>
      <c r="E311" s="1" t="n">
        <v>46223</v>
      </c>
      <c r="F311" t="inlineStr">
        <is>
          <t>ÖREBRO LÄN</t>
        </is>
      </c>
      <c r="G311" t="inlineStr">
        <is>
          <t>HÄLLEFORS</t>
        </is>
      </c>
      <c r="H311" t="inlineStr">
        <is>
          <t>Sveaskog</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43941-2023</t>
        </is>
      </c>
      <c r="B312" t="inlineStr">
        <is>
          <t>avverkningsanmälan</t>
        </is>
      </c>
      <c r="C312" t="inlineStr">
        <is>
          <t>Föryngringsavverkning</t>
        </is>
      </c>
      <c r="D312" s="1" t="n">
        <v>45187</v>
      </c>
      <c r="E312" s="1" t="n">
        <v>46223</v>
      </c>
      <c r="F312" t="inlineStr">
        <is>
          <t>ÖREBRO LÄN</t>
        </is>
      </c>
      <c r="G312" t="inlineStr">
        <is>
          <t>HÄLLEFORS</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48429-2024</t>
        </is>
      </c>
      <c r="B313" t="inlineStr">
        <is>
          <t>avverkningsanmälan</t>
        </is>
      </c>
      <c r="C313" t="inlineStr">
        <is>
          <t>Föryngringsavverkning</t>
        </is>
      </c>
      <c r="D313" s="1" t="n">
        <v>45590</v>
      </c>
      <c r="E313" s="1" t="n">
        <v>46223</v>
      </c>
      <c r="F313" t="inlineStr">
        <is>
          <t>ÖREBRO LÄN</t>
        </is>
      </c>
      <c r="G313" t="inlineStr">
        <is>
          <t>HÄLLEFORS</t>
        </is>
      </c>
      <c r="H313" t="inlineStr">
        <is>
          <t>Bergvik skog väst AB</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16999-2024</t>
        </is>
      </c>
      <c r="B314" t="inlineStr">
        <is>
          <t>avverkningsanmälan</t>
        </is>
      </c>
      <c r="C314" t="inlineStr">
        <is>
          <t>Föryngringsavverkning</t>
        </is>
      </c>
      <c r="D314" s="1" t="n">
        <v>45412</v>
      </c>
      <c r="E314" s="1" t="n">
        <v>46223</v>
      </c>
      <c r="F314" t="inlineStr">
        <is>
          <t>ÖREBRO LÄN</t>
        </is>
      </c>
      <c r="G314" t="inlineStr">
        <is>
          <t>HÄLLEFORS</t>
        </is>
      </c>
      <c r="I314" t="n">
        <v>3.5</v>
      </c>
      <c r="J314" t="n">
        <v>0</v>
      </c>
      <c r="K314" t="n">
        <v>0</v>
      </c>
      <c r="L314" t="n">
        <v>0</v>
      </c>
      <c r="M314" t="n">
        <v>0</v>
      </c>
      <c r="N314" t="n">
        <v>0</v>
      </c>
      <c r="O314" t="n">
        <v>0</v>
      </c>
      <c r="P314" t="n">
        <v>0</v>
      </c>
      <c r="Q314" t="n">
        <v>0</v>
      </c>
      <c r="R314" t="n">
        <v>0</v>
      </c>
      <c r="S314" t="n">
        <v>0</v>
      </c>
      <c r="T314" t="n">
        <v>0</v>
      </c>
      <c r="U314" s="2" t="inlineStr"/>
    </row>
    <row r="315" ht="15" customHeight="1">
      <c r="A315" t="inlineStr">
        <is>
          <t>A 25870-2026</t>
        </is>
      </c>
      <c r="B315" t="inlineStr">
        <is>
          <t>avverkningsanmälan</t>
        </is>
      </c>
      <c r="C315" t="inlineStr">
        <is>
          <t>Föryngringsavverkning</t>
        </is>
      </c>
      <c r="D315" s="1" t="n">
        <v>46178</v>
      </c>
      <c r="E315" s="1" t="n">
        <v>46223</v>
      </c>
      <c r="F315" t="inlineStr">
        <is>
          <t>ÖREBRO LÄN</t>
        </is>
      </c>
      <c r="G315" t="inlineStr">
        <is>
          <t>HÄLLEFORS</t>
        </is>
      </c>
      <c r="H315" t="inlineStr">
        <is>
          <t>Bergvik skog väst AB</t>
        </is>
      </c>
      <c r="I315" t="n">
        <v>2.3</v>
      </c>
      <c r="J315" t="n">
        <v>0</v>
      </c>
      <c r="K315" t="n">
        <v>0</v>
      </c>
      <c r="L315" t="n">
        <v>0</v>
      </c>
      <c r="M315" t="n">
        <v>0</v>
      </c>
      <c r="N315" t="n">
        <v>0</v>
      </c>
      <c r="O315" t="n">
        <v>0</v>
      </c>
      <c r="P315" t="n">
        <v>0</v>
      </c>
      <c r="Q315" t="n">
        <v>0</v>
      </c>
      <c r="R315" t="n">
        <v>0</v>
      </c>
      <c r="S315" t="n">
        <v>0</v>
      </c>
      <c r="T315" t="n">
        <v>0</v>
      </c>
      <c r="U315" s="2" t="inlineStr"/>
    </row>
    <row r="316" ht="15" customHeight="1">
      <c r="A316" t="inlineStr">
        <is>
          <t>A 25871-2026</t>
        </is>
      </c>
      <c r="B316" t="inlineStr">
        <is>
          <t>avverkningsanmälan</t>
        </is>
      </c>
      <c r="C316" t="inlineStr">
        <is>
          <t>Föryngringsavverkning</t>
        </is>
      </c>
      <c r="D316" s="1" t="n">
        <v>46178</v>
      </c>
      <c r="E316" s="1" t="n">
        <v>46223</v>
      </c>
      <c r="F316" t="inlineStr">
        <is>
          <t>ÖREBRO LÄN</t>
        </is>
      </c>
      <c r="G316" t="inlineStr">
        <is>
          <t>HÄLLEFORS</t>
        </is>
      </c>
      <c r="H316" t="inlineStr">
        <is>
          <t>Bergvik skog väst AB</t>
        </is>
      </c>
      <c r="I316" t="n">
        <v>2.9</v>
      </c>
      <c r="J316" t="n">
        <v>0</v>
      </c>
      <c r="K316" t="n">
        <v>0</v>
      </c>
      <c r="L316" t="n">
        <v>0</v>
      </c>
      <c r="M316" t="n">
        <v>0</v>
      </c>
      <c r="N316" t="n">
        <v>0</v>
      </c>
      <c r="O316" t="n">
        <v>0</v>
      </c>
      <c r="P316" t="n">
        <v>0</v>
      </c>
      <c r="Q316" t="n">
        <v>0</v>
      </c>
      <c r="R316" t="n">
        <v>0</v>
      </c>
      <c r="S316" t="n">
        <v>0</v>
      </c>
      <c r="T316" t="n">
        <v>0</v>
      </c>
      <c r="U316" s="2" t="inlineStr"/>
    </row>
    <row r="317" ht="15" customHeight="1">
      <c r="A317" t="inlineStr">
        <is>
          <t>A 25872-2026</t>
        </is>
      </c>
      <c r="B317" t="inlineStr">
        <is>
          <t>avverkningsanmälan</t>
        </is>
      </c>
      <c r="C317" t="inlineStr">
        <is>
          <t>Föryngringsavverkning</t>
        </is>
      </c>
      <c r="D317" s="1" t="n">
        <v>46178</v>
      </c>
      <c r="E317" s="1" t="n">
        <v>46223</v>
      </c>
      <c r="F317" t="inlineStr">
        <is>
          <t>ÖREBRO LÄN</t>
        </is>
      </c>
      <c r="G317" t="inlineStr">
        <is>
          <t>HÄLLEFORS</t>
        </is>
      </c>
      <c r="H317" t="inlineStr">
        <is>
          <t>Bergvik skog väst AB</t>
        </is>
      </c>
      <c r="I317" t="n">
        <v>4.7</v>
      </c>
      <c r="J317" t="n">
        <v>0</v>
      </c>
      <c r="K317" t="n">
        <v>0</v>
      </c>
      <c r="L317" t="n">
        <v>0</v>
      </c>
      <c r="M317" t="n">
        <v>0</v>
      </c>
      <c r="N317" t="n">
        <v>0</v>
      </c>
      <c r="O317" t="n">
        <v>0</v>
      </c>
      <c r="P317" t="n">
        <v>0</v>
      </c>
      <c r="Q317" t="n">
        <v>0</v>
      </c>
      <c r="R317" t="n">
        <v>0</v>
      </c>
      <c r="S317" t="n">
        <v>0</v>
      </c>
      <c r="T317" t="n">
        <v>0</v>
      </c>
      <c r="U317" s="2" t="inlineStr"/>
    </row>
    <row r="318" ht="15" customHeight="1">
      <c r="A318" t="inlineStr">
        <is>
          <t>A 25868-2026</t>
        </is>
      </c>
      <c r="B318" t="inlineStr">
        <is>
          <t>avverkningsanmälan</t>
        </is>
      </c>
      <c r="C318" t="inlineStr">
        <is>
          <t>Föryngringsavverkning</t>
        </is>
      </c>
      <c r="D318" s="1" t="n">
        <v>46178</v>
      </c>
      <c r="E318" s="1" t="n">
        <v>46223</v>
      </c>
      <c r="F318" t="inlineStr">
        <is>
          <t>ÖREBRO LÄN</t>
        </is>
      </c>
      <c r="G318" t="inlineStr">
        <is>
          <t>HÄLLEFORS</t>
        </is>
      </c>
      <c r="H318" t="inlineStr">
        <is>
          <t>Bergvik skog väst AB</t>
        </is>
      </c>
      <c r="I318" t="n">
        <v>6.2</v>
      </c>
      <c r="J318" t="n">
        <v>0</v>
      </c>
      <c r="K318" t="n">
        <v>0</v>
      </c>
      <c r="L318" t="n">
        <v>0</v>
      </c>
      <c r="M318" t="n">
        <v>0</v>
      </c>
      <c r="N318" t="n">
        <v>0</v>
      </c>
      <c r="O318" t="n">
        <v>0</v>
      </c>
      <c r="P318" t="n">
        <v>0</v>
      </c>
      <c r="Q318" t="n">
        <v>0</v>
      </c>
      <c r="R318" t="n">
        <v>0</v>
      </c>
      <c r="S318" t="n">
        <v>0</v>
      </c>
      <c r="T318" t="n">
        <v>0</v>
      </c>
      <c r="U318" s="2" t="inlineStr"/>
    </row>
    <row r="319" ht="15" customHeight="1">
      <c r="A319" t="inlineStr">
        <is>
          <t>A 31370-2026</t>
        </is>
      </c>
      <c r="B319" t="inlineStr">
        <is>
          <t>avverkningsanmälan</t>
        </is>
      </c>
      <c r="C319" t="inlineStr">
        <is>
          <t>Föryngringsavverkning</t>
        </is>
      </c>
      <c r="D319" s="1" t="n">
        <v>46219</v>
      </c>
      <c r="E319" s="1" t="n">
        <v>46223</v>
      </c>
      <c r="F319" t="inlineStr">
        <is>
          <t>ÖREBRO LÄN</t>
        </is>
      </c>
      <c r="G319" t="inlineStr">
        <is>
          <t>HÄLLEFORS</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25873-2026</t>
        </is>
      </c>
      <c r="B320" t="inlineStr">
        <is>
          <t>avverkningsanmälan</t>
        </is>
      </c>
      <c r="C320" t="inlineStr">
        <is>
          <t>Föryngringsavverkning</t>
        </is>
      </c>
      <c r="D320" s="1" t="n">
        <v>46178</v>
      </c>
      <c r="E320" s="1" t="n">
        <v>46223</v>
      </c>
      <c r="F320" t="inlineStr">
        <is>
          <t>ÖREBRO LÄN</t>
        </is>
      </c>
      <c r="G320" t="inlineStr">
        <is>
          <t>HÄLLEFORS</t>
        </is>
      </c>
      <c r="H320" t="inlineStr">
        <is>
          <t>Bergvik skog väst AB</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5762-2024</t>
        </is>
      </c>
      <c r="B321" t="inlineStr">
        <is>
          <t>avverkningsanmälan</t>
        </is>
      </c>
      <c r="C321" t="inlineStr">
        <is>
          <t>Föryngringsavverkning</t>
        </is>
      </c>
      <c r="D321" s="1" t="n">
        <v>45335</v>
      </c>
      <c r="E321" s="1" t="n">
        <v>46223</v>
      </c>
      <c r="F321" t="inlineStr">
        <is>
          <t>ÖREBRO LÄN</t>
        </is>
      </c>
      <c r="G321" t="inlineStr">
        <is>
          <t>HÄLLEFORS</t>
        </is>
      </c>
      <c r="I321" t="n">
        <v>12.1</v>
      </c>
      <c r="J321" t="n">
        <v>0</v>
      </c>
      <c r="K321" t="n">
        <v>0</v>
      </c>
      <c r="L321" t="n">
        <v>0</v>
      </c>
      <c r="M321" t="n">
        <v>0</v>
      </c>
      <c r="N321" t="n">
        <v>0</v>
      </c>
      <c r="O321" t="n">
        <v>0</v>
      </c>
      <c r="P321" t="n">
        <v>0</v>
      </c>
      <c r="Q321" t="n">
        <v>0</v>
      </c>
      <c r="R321" t="n">
        <v>0</v>
      </c>
      <c r="S321" t="n">
        <v>0</v>
      </c>
      <c r="T321" t="n">
        <v>0</v>
      </c>
      <c r="U321" s="2" t="inlineStr"/>
    </row>
    <row r="322" ht="15" customHeight="1">
      <c r="A322" t="inlineStr">
        <is>
          <t>A 37542-2024</t>
        </is>
      </c>
      <c r="B322" t="inlineStr">
        <is>
          <t>avverkningsanmälan</t>
        </is>
      </c>
      <c r="C322" t="inlineStr">
        <is>
          <t>Föryngringsavverkning</t>
        </is>
      </c>
      <c r="D322" s="1" t="n">
        <v>45541</v>
      </c>
      <c r="E322" s="1" t="n">
        <v>46223</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9537-2025</t>
        </is>
      </c>
      <c r="B323" t="inlineStr">
        <is>
          <t>avverkningsanmälan</t>
        </is>
      </c>
      <c r="C323" t="inlineStr">
        <is>
          <t>Föryngringsavverkning</t>
        </is>
      </c>
      <c r="D323" s="1" t="n">
        <v>45715</v>
      </c>
      <c r="E323" s="1" t="n">
        <v>46223</v>
      </c>
      <c r="F323" t="inlineStr">
        <is>
          <t>ÖREBRO LÄN</t>
        </is>
      </c>
      <c r="G323" t="inlineStr">
        <is>
          <t>HÄLLEFORS</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18715-2025</t>
        </is>
      </c>
      <c r="B324" t="inlineStr">
        <is>
          <t>avverkningsanmälan</t>
        </is>
      </c>
      <c r="C324" t="inlineStr">
        <is>
          <t>Föryngringsavverkning</t>
        </is>
      </c>
      <c r="D324" s="1" t="n">
        <v>45763</v>
      </c>
      <c r="E324" s="1" t="n">
        <v>46223</v>
      </c>
      <c r="F324" t="inlineStr">
        <is>
          <t>ÖREBRO LÄN</t>
        </is>
      </c>
      <c r="G324" t="inlineStr">
        <is>
          <t>HÄLLEFORS</t>
        </is>
      </c>
      <c r="H324" t="inlineStr">
        <is>
          <t>Bergvik skog väst AB</t>
        </is>
      </c>
      <c r="I324" t="n">
        <v>4.1</v>
      </c>
      <c r="J324" t="n">
        <v>0</v>
      </c>
      <c r="K324" t="n">
        <v>0</v>
      </c>
      <c r="L324" t="n">
        <v>0</v>
      </c>
      <c r="M324" t="n">
        <v>0</v>
      </c>
      <c r="N324" t="n">
        <v>0</v>
      </c>
      <c r="O324" t="n">
        <v>0</v>
      </c>
      <c r="P324" t="n">
        <v>0</v>
      </c>
      <c r="Q324" t="n">
        <v>0</v>
      </c>
      <c r="R324" t="n">
        <v>0</v>
      </c>
      <c r="S324" t="n">
        <v>0</v>
      </c>
      <c r="T324" t="n">
        <v>0</v>
      </c>
      <c r="U324" s="2" t="inlineStr"/>
    </row>
    <row r="325" ht="15" customHeight="1">
      <c r="A325" t="inlineStr">
        <is>
          <t>A 14669-2025</t>
        </is>
      </c>
      <c r="B325" t="inlineStr">
        <is>
          <t>avverkningsanmälan</t>
        </is>
      </c>
      <c r="C325" t="inlineStr">
        <is>
          <t>Föryngringsavverkning</t>
        </is>
      </c>
      <c r="D325" s="1" t="n">
        <v>45742</v>
      </c>
      <c r="E325" s="1" t="n">
        <v>46223</v>
      </c>
      <c r="F325" t="inlineStr">
        <is>
          <t>ÖREBRO LÄN</t>
        </is>
      </c>
      <c r="G325" t="inlineStr">
        <is>
          <t>HÄLLEFORS</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46642-2024</t>
        </is>
      </c>
      <c r="B326" t="inlineStr">
        <is>
          <t>avverkningsanmälan</t>
        </is>
      </c>
      <c r="C326" t="inlineStr">
        <is>
          <t>Föryngringsavverkning</t>
        </is>
      </c>
      <c r="D326" s="1" t="n">
        <v>45583</v>
      </c>
      <c r="E326" s="1" t="n">
        <v>46223</v>
      </c>
      <c r="F326" t="inlineStr">
        <is>
          <t>ÖREBRO LÄN</t>
        </is>
      </c>
      <c r="G326" t="inlineStr">
        <is>
          <t>HÄLLEFORS</t>
        </is>
      </c>
      <c r="H326" t="inlineStr">
        <is>
          <t>Bergvik skog väst AB</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20670-2025</t>
        </is>
      </c>
      <c r="B327" t="inlineStr">
        <is>
          <t>avverkningsanmälan</t>
        </is>
      </c>
      <c r="C327" t="inlineStr">
        <is>
          <t>Föryngringsavverkning</t>
        </is>
      </c>
      <c r="D327" s="1" t="n">
        <v>45776</v>
      </c>
      <c r="E327" s="1" t="n">
        <v>46223</v>
      </c>
      <c r="F327" t="inlineStr">
        <is>
          <t>ÖREBRO LÄN</t>
        </is>
      </c>
      <c r="G327" t="inlineStr">
        <is>
          <t>HÄLLEFORS</t>
        </is>
      </c>
      <c r="H327" t="inlineStr">
        <is>
          <t>Bergvik skog väst AB</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18878-2025</t>
        </is>
      </c>
      <c r="B328" t="inlineStr">
        <is>
          <t>avverkningsanmälan</t>
        </is>
      </c>
      <c r="C328" t="inlineStr">
        <is>
          <t>Föryngringsavverkning</t>
        </is>
      </c>
      <c r="D328" s="1" t="n">
        <v>45764</v>
      </c>
      <c r="E328" s="1" t="n">
        <v>46223</v>
      </c>
      <c r="F328" t="inlineStr">
        <is>
          <t>ÖREBRO LÄN</t>
        </is>
      </c>
      <c r="G328" t="inlineStr">
        <is>
          <t>HÄLLEFORS</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18852-2025</t>
        </is>
      </c>
      <c r="B329" t="inlineStr">
        <is>
          <t>avverkningsanmälan</t>
        </is>
      </c>
      <c r="C329" t="inlineStr">
        <is>
          <t>Föryngringsavverkning</t>
        </is>
      </c>
      <c r="D329" s="1" t="n">
        <v>45764</v>
      </c>
      <c r="E329" s="1" t="n">
        <v>46223</v>
      </c>
      <c r="F329" t="inlineStr">
        <is>
          <t>ÖREBRO LÄN</t>
        </is>
      </c>
      <c r="G329" t="inlineStr">
        <is>
          <t>HÄLLEFORS</t>
        </is>
      </c>
      <c r="I329" t="n">
        <v>6.8</v>
      </c>
      <c r="J329" t="n">
        <v>0</v>
      </c>
      <c r="K329" t="n">
        <v>0</v>
      </c>
      <c r="L329" t="n">
        <v>0</v>
      </c>
      <c r="M329" t="n">
        <v>0</v>
      </c>
      <c r="N329" t="n">
        <v>0</v>
      </c>
      <c r="O329" t="n">
        <v>0</v>
      </c>
      <c r="P329" t="n">
        <v>0</v>
      </c>
      <c r="Q329" t="n">
        <v>0</v>
      </c>
      <c r="R329" t="n">
        <v>0</v>
      </c>
      <c r="S329" t="n">
        <v>0</v>
      </c>
      <c r="T329" t="n">
        <v>0</v>
      </c>
      <c r="U329" s="2" t="inlineStr"/>
    </row>
    <row r="330" ht="15" customHeight="1">
      <c r="A330" t="inlineStr">
        <is>
          <t>A 18869-2025</t>
        </is>
      </c>
      <c r="B330" t="inlineStr">
        <is>
          <t>avverkningsanmälan</t>
        </is>
      </c>
      <c r="C330" t="inlineStr">
        <is>
          <t>Föryngringsavverkning</t>
        </is>
      </c>
      <c r="D330" s="1" t="n">
        <v>45764</v>
      </c>
      <c r="E330" s="1" t="n">
        <v>46223</v>
      </c>
      <c r="F330" t="inlineStr">
        <is>
          <t>ÖREBRO LÄN</t>
        </is>
      </c>
      <c r="G330" t="inlineStr">
        <is>
          <t>HÄLLEFORS</t>
        </is>
      </c>
      <c r="I330" t="n">
        <v>3.7</v>
      </c>
      <c r="J330" t="n">
        <v>0</v>
      </c>
      <c r="K330" t="n">
        <v>0</v>
      </c>
      <c r="L330" t="n">
        <v>0</v>
      </c>
      <c r="M330" t="n">
        <v>0</v>
      </c>
      <c r="N330" t="n">
        <v>0</v>
      </c>
      <c r="O330" t="n">
        <v>0</v>
      </c>
      <c r="P330" t="n">
        <v>0</v>
      </c>
      <c r="Q330" t="n">
        <v>0</v>
      </c>
      <c r="R330" t="n">
        <v>0</v>
      </c>
      <c r="S330" t="n">
        <v>0</v>
      </c>
      <c r="T330" t="n">
        <v>0</v>
      </c>
      <c r="U330" s="2" t="inlineStr"/>
    </row>
    <row r="331" ht="15" customHeight="1">
      <c r="A331" t="inlineStr">
        <is>
          <t>A 18891-2025</t>
        </is>
      </c>
      <c r="B331" t="inlineStr">
        <is>
          <t>avverkningsanmälan</t>
        </is>
      </c>
      <c r="C331" t="inlineStr">
        <is>
          <t>Föryngringsavverkning</t>
        </is>
      </c>
      <c r="D331" s="1" t="n">
        <v>45764</v>
      </c>
      <c r="E331" s="1" t="n">
        <v>46223</v>
      </c>
      <c r="F331" t="inlineStr">
        <is>
          <t>ÖREBRO LÄN</t>
        </is>
      </c>
      <c r="G331" t="inlineStr">
        <is>
          <t>HÄLLEFORS</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30307-2024</t>
        </is>
      </c>
      <c r="B332" t="inlineStr">
        <is>
          <t>avverkningsanmälan</t>
        </is>
      </c>
      <c r="C332" t="inlineStr">
        <is>
          <t>Föryngringsavverkning</t>
        </is>
      </c>
      <c r="D332" s="1" t="n">
        <v>45490</v>
      </c>
      <c r="E332" s="1" t="n">
        <v>46223</v>
      </c>
      <c r="F332" t="inlineStr">
        <is>
          <t>ÖREBRO LÄN</t>
        </is>
      </c>
      <c r="G332" t="inlineStr">
        <is>
          <t>HÄLLEFORS</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18168-2024</t>
        </is>
      </c>
      <c r="B333" t="inlineStr">
        <is>
          <t>avverkningsanmälan</t>
        </is>
      </c>
      <c r="C333" t="inlineStr">
        <is>
          <t>Föryngringsavverkning</t>
        </is>
      </c>
      <c r="D333" s="1" t="n">
        <v>45420</v>
      </c>
      <c r="E333" s="1" t="n">
        <v>46223</v>
      </c>
      <c r="F333" t="inlineStr">
        <is>
          <t>ÖREBRO LÄN</t>
        </is>
      </c>
      <c r="G333" t="inlineStr">
        <is>
          <t>HÄLLEFORS</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53340-2024</t>
        </is>
      </c>
      <c r="B334" t="inlineStr">
        <is>
          <t>avverkningsanmälan</t>
        </is>
      </c>
      <c r="C334" t="inlineStr">
        <is>
          <t>Föryngringsavverkning</t>
        </is>
      </c>
      <c r="D334" s="1" t="n">
        <v>45614</v>
      </c>
      <c r="E334" s="1" t="n">
        <v>46223</v>
      </c>
      <c r="F334" t="inlineStr">
        <is>
          <t>ÖREBRO LÄN</t>
        </is>
      </c>
      <c r="G334" t="inlineStr">
        <is>
          <t>HÄLLEFORS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35106-2023</t>
        </is>
      </c>
      <c r="B335" t="inlineStr">
        <is>
          <t>avverkningsanmälan</t>
        </is>
      </c>
      <c r="C335" t="inlineStr">
        <is>
          <t>Föryngringsavverkning</t>
        </is>
      </c>
      <c r="D335" s="1" t="n">
        <v>45145</v>
      </c>
      <c r="E335" s="1" t="n">
        <v>46223</v>
      </c>
      <c r="F335" t="inlineStr">
        <is>
          <t>ÖREBRO LÄN</t>
        </is>
      </c>
      <c r="G335" t="inlineStr">
        <is>
          <t>HÄLLEFORS</t>
        </is>
      </c>
      <c r="H335" t="inlineStr">
        <is>
          <t>Bergvik skog väst AB</t>
        </is>
      </c>
      <c r="I335" t="n">
        <v>13.9</v>
      </c>
      <c r="J335" t="n">
        <v>0</v>
      </c>
      <c r="K335" t="n">
        <v>0</v>
      </c>
      <c r="L335" t="n">
        <v>0</v>
      </c>
      <c r="M335" t="n">
        <v>0</v>
      </c>
      <c r="N335" t="n">
        <v>0</v>
      </c>
      <c r="O335" t="n">
        <v>0</v>
      </c>
      <c r="P335" t="n">
        <v>0</v>
      </c>
      <c r="Q335" t="n">
        <v>0</v>
      </c>
      <c r="R335" t="n">
        <v>0</v>
      </c>
      <c r="S335" t="n">
        <v>0</v>
      </c>
      <c r="T335" t="n">
        <v>0</v>
      </c>
      <c r="U335" s="2" t="inlineStr"/>
    </row>
    <row r="336" ht="15" customHeight="1">
      <c r="A336" t="inlineStr">
        <is>
          <t>A 47907-2024</t>
        </is>
      </c>
      <c r="B336" t="inlineStr">
        <is>
          <t>avverkningsanmälan</t>
        </is>
      </c>
      <c r="C336" t="inlineStr">
        <is>
          <t>Föryngringsavverkning</t>
        </is>
      </c>
      <c r="D336" s="1" t="n">
        <v>45589</v>
      </c>
      <c r="E336" s="1" t="n">
        <v>46223</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s="2" t="inlineStr"/>
    </row>
    <row r="337" ht="15" customHeight="1">
      <c r="A337" t="inlineStr">
        <is>
          <t>A 59963-2024</t>
        </is>
      </c>
      <c r="B337" t="inlineStr">
        <is>
          <t>avverkningsanmälan</t>
        </is>
      </c>
      <c r="C337" t="inlineStr">
        <is>
          <t>Föryngringsavverkning</t>
        </is>
      </c>
      <c r="D337" s="1" t="n">
        <v>45642</v>
      </c>
      <c r="E337" s="1" t="n">
        <v>46223</v>
      </c>
      <c r="F337" t="inlineStr">
        <is>
          <t>ÖREBRO LÄN</t>
        </is>
      </c>
      <c r="G337" t="inlineStr">
        <is>
          <t>HÄLLEFORS</t>
        </is>
      </c>
      <c r="H337" t="inlineStr">
        <is>
          <t>Bergvik skog väst AB</t>
        </is>
      </c>
      <c r="I337" t="n">
        <v>8.4</v>
      </c>
      <c r="J337" t="n">
        <v>0</v>
      </c>
      <c r="K337" t="n">
        <v>0</v>
      </c>
      <c r="L337" t="n">
        <v>0</v>
      </c>
      <c r="M337" t="n">
        <v>0</v>
      </c>
      <c r="N337" t="n">
        <v>0</v>
      </c>
      <c r="O337" t="n">
        <v>0</v>
      </c>
      <c r="P337" t="n">
        <v>0</v>
      </c>
      <c r="Q337" t="n">
        <v>0</v>
      </c>
      <c r="R337" t="n">
        <v>0</v>
      </c>
      <c r="S337" t="n">
        <v>0</v>
      </c>
      <c r="T337" t="n">
        <v>0</v>
      </c>
      <c r="U337" s="2" t="inlineStr"/>
    </row>
    <row r="338" ht="15" customHeight="1">
      <c r="A338" t="inlineStr">
        <is>
          <t>A 36090-2024</t>
        </is>
      </c>
      <c r="B338" t="inlineStr">
        <is>
          <t>avverkningsanmälan</t>
        </is>
      </c>
      <c r="C338" t="inlineStr">
        <is>
          <t>Föryngringsavverkning</t>
        </is>
      </c>
      <c r="D338" s="1" t="n">
        <v>45533</v>
      </c>
      <c r="E338" s="1" t="n">
        <v>46223</v>
      </c>
      <c r="F338" t="inlineStr">
        <is>
          <t>ÖREBRO LÄN</t>
        </is>
      </c>
      <c r="G338" t="inlineStr">
        <is>
          <t>HÄLLEFORS</t>
        </is>
      </c>
      <c r="H338" t="inlineStr">
        <is>
          <t>Bergvik skog väst AB</t>
        </is>
      </c>
      <c r="I338" t="n">
        <v>5.2</v>
      </c>
      <c r="J338" t="n">
        <v>0</v>
      </c>
      <c r="K338" t="n">
        <v>0</v>
      </c>
      <c r="L338" t="n">
        <v>0</v>
      </c>
      <c r="M338" t="n">
        <v>0</v>
      </c>
      <c r="N338" t="n">
        <v>0</v>
      </c>
      <c r="O338" t="n">
        <v>0</v>
      </c>
      <c r="P338" t="n">
        <v>0</v>
      </c>
      <c r="Q338" t="n">
        <v>0</v>
      </c>
      <c r="R338" t="n">
        <v>0</v>
      </c>
      <c r="S338" t="n">
        <v>0</v>
      </c>
      <c r="T338" t="n">
        <v>0</v>
      </c>
      <c r="U338" s="2" t="inlineStr"/>
    </row>
    <row r="339" ht="15" customHeight="1">
      <c r="A339" t="inlineStr">
        <is>
          <t>A 47811-2024</t>
        </is>
      </c>
      <c r="B339" t="inlineStr">
        <is>
          <t>avverkningsanmälan</t>
        </is>
      </c>
      <c r="C339" t="inlineStr">
        <is>
          <t>Föryngringsavverkning</t>
        </is>
      </c>
      <c r="D339" s="1" t="n">
        <v>45588</v>
      </c>
      <c r="E339" s="1" t="n">
        <v>46223</v>
      </c>
      <c r="F339" t="inlineStr">
        <is>
          <t>ÖREBRO LÄN</t>
        </is>
      </c>
      <c r="G339" t="inlineStr">
        <is>
          <t>HÄLLEFORS</t>
        </is>
      </c>
      <c r="H339" t="inlineStr">
        <is>
          <t>Bergvik skog väst AB</t>
        </is>
      </c>
      <c r="I339" t="n">
        <v>5.9</v>
      </c>
      <c r="J339" t="n">
        <v>0</v>
      </c>
      <c r="K339" t="n">
        <v>0</v>
      </c>
      <c r="L339" t="n">
        <v>0</v>
      </c>
      <c r="M339" t="n">
        <v>0</v>
      </c>
      <c r="N339" t="n">
        <v>0</v>
      </c>
      <c r="O339" t="n">
        <v>0</v>
      </c>
      <c r="P339" t="n">
        <v>0</v>
      </c>
      <c r="Q339" t="n">
        <v>0</v>
      </c>
      <c r="R339" t="n">
        <v>0</v>
      </c>
      <c r="S339" t="n">
        <v>0</v>
      </c>
      <c r="T339" t="n">
        <v>0</v>
      </c>
      <c r="U339" s="2" t="inlineStr"/>
    </row>
    <row r="340" ht="15" customHeight="1">
      <c r="A340" t="inlineStr">
        <is>
          <t>A 25059-2024</t>
        </is>
      </c>
      <c r="B340" t="inlineStr">
        <is>
          <t>avverkningsanmälan</t>
        </is>
      </c>
      <c r="C340" t="inlineStr">
        <is>
          <t>Föryngringsavverkning</t>
        </is>
      </c>
      <c r="D340" s="1" t="n">
        <v>45462</v>
      </c>
      <c r="E340" s="1" t="n">
        <v>46223</v>
      </c>
      <c r="F340" t="inlineStr">
        <is>
          <t>ÖREBRO LÄN</t>
        </is>
      </c>
      <c r="G340" t="inlineStr">
        <is>
          <t>HÄLLEFORS</t>
        </is>
      </c>
      <c r="H340" t="inlineStr">
        <is>
          <t>Bergvik skog väst AB</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35860-2024</t>
        </is>
      </c>
      <c r="B341" t="inlineStr">
        <is>
          <t>avverkningsanmälan</t>
        </is>
      </c>
      <c r="C341" t="inlineStr">
        <is>
          <t>Föryngringsavverkning</t>
        </is>
      </c>
      <c r="D341" s="1" t="n">
        <v>45533</v>
      </c>
      <c r="E341" s="1" t="n">
        <v>46223</v>
      </c>
      <c r="F341" t="inlineStr">
        <is>
          <t>ÖREBRO LÄN</t>
        </is>
      </c>
      <c r="G341" t="inlineStr">
        <is>
          <t>HÄLLEFORS</t>
        </is>
      </c>
      <c r="H341" t="inlineStr">
        <is>
          <t>Bergvik skog väst AB</t>
        </is>
      </c>
      <c r="I341" t="n">
        <v>4.1</v>
      </c>
      <c r="J341" t="n">
        <v>0</v>
      </c>
      <c r="K341" t="n">
        <v>0</v>
      </c>
      <c r="L341" t="n">
        <v>0</v>
      </c>
      <c r="M341" t="n">
        <v>0</v>
      </c>
      <c r="N341" t="n">
        <v>0</v>
      </c>
      <c r="O341" t="n">
        <v>0</v>
      </c>
      <c r="P341" t="n">
        <v>0</v>
      </c>
      <c r="Q341" t="n">
        <v>0</v>
      </c>
      <c r="R341" t="n">
        <v>0</v>
      </c>
      <c r="S341" t="n">
        <v>0</v>
      </c>
      <c r="T341" t="n">
        <v>0</v>
      </c>
      <c r="U341" s="2" t="inlineStr"/>
    </row>
    <row r="342" ht="15" customHeight="1">
      <c r="A342" t="inlineStr">
        <is>
          <t>A 36114-2024</t>
        </is>
      </c>
      <c r="B342" t="inlineStr">
        <is>
          <t>avverkningsanmälan</t>
        </is>
      </c>
      <c r="C342" t="inlineStr">
        <is>
          <t>Föryngringsavverkning</t>
        </is>
      </c>
      <c r="D342" s="1" t="n">
        <v>45534</v>
      </c>
      <c r="E342" s="1" t="n">
        <v>46223</v>
      </c>
      <c r="F342" t="inlineStr">
        <is>
          <t>ÖREBRO LÄN</t>
        </is>
      </c>
      <c r="G342" t="inlineStr">
        <is>
          <t>HÄLLEFORS</t>
        </is>
      </c>
      <c r="H342" t="inlineStr">
        <is>
          <t>Bergvik skog väst AB</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53344-2024</t>
        </is>
      </c>
      <c r="B343" t="inlineStr">
        <is>
          <t>avverkningsanmälan</t>
        </is>
      </c>
      <c r="C343" t="inlineStr">
        <is>
          <t>Föryngringsavverkning</t>
        </is>
      </c>
      <c r="D343" s="1" t="n">
        <v>45614</v>
      </c>
      <c r="E343" s="1" t="n">
        <v>46223</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28564-2024</t>
        </is>
      </c>
      <c r="B344" t="inlineStr">
        <is>
          <t>avverkningsanmälan</t>
        </is>
      </c>
      <c r="C344" t="inlineStr">
        <is>
          <t>Föryngringsavverkning</t>
        </is>
      </c>
      <c r="D344" s="1" t="n">
        <v>45478</v>
      </c>
      <c r="E344" s="1" t="n">
        <v>46223</v>
      </c>
      <c r="F344" t="inlineStr">
        <is>
          <t>ÖREBRO LÄN</t>
        </is>
      </c>
      <c r="G344" t="inlineStr">
        <is>
          <t>HÄLLEFORS</t>
        </is>
      </c>
      <c r="H344" t="inlineStr">
        <is>
          <t>Bergvik skog väst AB</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32937-2024</t>
        </is>
      </c>
      <c r="B345" t="inlineStr">
        <is>
          <t>avverkningsanmälan</t>
        </is>
      </c>
      <c r="C345" t="inlineStr">
        <is>
          <t>Föryngringsavverkning</t>
        </is>
      </c>
      <c r="D345" s="1" t="n">
        <v>45517</v>
      </c>
      <c r="E345" s="1" t="n">
        <v>46223</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53035-2022</t>
        </is>
      </c>
      <c r="B346" t="inlineStr">
        <is>
          <t>avverkningsanmälan</t>
        </is>
      </c>
      <c r="C346" t="inlineStr">
        <is>
          <t>Föryngringsavverkning</t>
        </is>
      </c>
      <c r="D346" s="1" t="n">
        <v>44876</v>
      </c>
      <c r="E346" s="1" t="n">
        <v>46223</v>
      </c>
      <c r="F346" t="inlineStr">
        <is>
          <t>ÖREBRO LÄN</t>
        </is>
      </c>
      <c r="G346" t="inlineStr">
        <is>
          <t>HÄLLEFORS</t>
        </is>
      </c>
      <c r="H346" t="inlineStr">
        <is>
          <t>Bergvik skog väst AB</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60306-2024</t>
        </is>
      </c>
      <c r="B347" t="inlineStr">
        <is>
          <t>avverkningsanmälan</t>
        </is>
      </c>
      <c r="C347" t="inlineStr">
        <is>
          <t>Föryngringsavverkning</t>
        </is>
      </c>
      <c r="D347" s="1" t="n">
        <v>45643</v>
      </c>
      <c r="E347" s="1" t="n">
        <v>46223</v>
      </c>
      <c r="F347" t="inlineStr">
        <is>
          <t>ÖREBRO LÄN</t>
        </is>
      </c>
      <c r="G347" t="inlineStr">
        <is>
          <t>HÄLLEFORS</t>
        </is>
      </c>
      <c r="H347" t="inlineStr">
        <is>
          <t>Bergvik skog väst AB</t>
        </is>
      </c>
      <c r="I347" t="n">
        <v>4.5</v>
      </c>
      <c r="J347" t="n">
        <v>0</v>
      </c>
      <c r="K347" t="n">
        <v>0</v>
      </c>
      <c r="L347" t="n">
        <v>0</v>
      </c>
      <c r="M347" t="n">
        <v>0</v>
      </c>
      <c r="N347" t="n">
        <v>0</v>
      </c>
      <c r="O347" t="n">
        <v>0</v>
      </c>
      <c r="P347" t="n">
        <v>0</v>
      </c>
      <c r="Q347" t="n">
        <v>0</v>
      </c>
      <c r="R347" t="n">
        <v>0</v>
      </c>
      <c r="S347" t="n">
        <v>0</v>
      </c>
      <c r="T347" t="n">
        <v>0</v>
      </c>
      <c r="U347" s="2" t="inlineStr"/>
    </row>
    <row r="348" ht="15" customHeight="1">
      <c r="A348" t="inlineStr">
        <is>
          <t>A 5237-2025</t>
        </is>
      </c>
      <c r="B348" t="inlineStr">
        <is>
          <t>avverkningsanmälan</t>
        </is>
      </c>
      <c r="C348" t="inlineStr">
        <is>
          <t>Föryngringsavverkning</t>
        </is>
      </c>
      <c r="D348" s="1" t="n">
        <v>45692</v>
      </c>
      <c r="E348" s="1" t="n">
        <v>46223</v>
      </c>
      <c r="F348" t="inlineStr">
        <is>
          <t>ÖREBRO LÄN</t>
        </is>
      </c>
      <c r="G348" t="inlineStr">
        <is>
          <t>HÄLLEFORS</t>
        </is>
      </c>
      <c r="H348" t="inlineStr">
        <is>
          <t>Bergvik skog väst AB</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35861-2024</t>
        </is>
      </c>
      <c r="B349" t="inlineStr">
        <is>
          <t>avverkningsanmälan</t>
        </is>
      </c>
      <c r="C349" t="inlineStr">
        <is>
          <t>Föryngringsavverkning</t>
        </is>
      </c>
      <c r="D349" s="1" t="n">
        <v>45533</v>
      </c>
      <c r="E349" s="1" t="n">
        <v>46223</v>
      </c>
      <c r="F349" t="inlineStr">
        <is>
          <t>ÖREBRO LÄN</t>
        </is>
      </c>
      <c r="G349" t="inlineStr">
        <is>
          <t>HÄLLEFORS</t>
        </is>
      </c>
      <c r="H349" t="inlineStr">
        <is>
          <t>Bergvik skog väst AB</t>
        </is>
      </c>
      <c r="I349" t="n">
        <v>25.9</v>
      </c>
      <c r="J349" t="n">
        <v>0</v>
      </c>
      <c r="K349" t="n">
        <v>0</v>
      </c>
      <c r="L349" t="n">
        <v>0</v>
      </c>
      <c r="M349" t="n">
        <v>0</v>
      </c>
      <c r="N349" t="n">
        <v>0</v>
      </c>
      <c r="O349" t="n">
        <v>0</v>
      </c>
      <c r="P349" t="n">
        <v>0</v>
      </c>
      <c r="Q349" t="n">
        <v>0</v>
      </c>
      <c r="R349" t="n">
        <v>0</v>
      </c>
      <c r="S349" t="n">
        <v>0</v>
      </c>
      <c r="T349" t="n">
        <v>0</v>
      </c>
      <c r="U349" s="2" t="inlineStr"/>
    </row>
    <row r="350" ht="15" customHeight="1">
      <c r="A350" t="inlineStr">
        <is>
          <t>A 5042-2025</t>
        </is>
      </c>
      <c r="B350" t="inlineStr">
        <is>
          <t>avverkningsanmälan</t>
        </is>
      </c>
      <c r="C350" t="inlineStr">
        <is>
          <t>Föryngringsavverkning</t>
        </is>
      </c>
      <c r="D350" s="1" t="n">
        <v>45691</v>
      </c>
      <c r="E350" s="1" t="n">
        <v>46223</v>
      </c>
      <c r="F350" t="inlineStr">
        <is>
          <t>ÖREBRO LÄN</t>
        </is>
      </c>
      <c r="G350" t="inlineStr">
        <is>
          <t>HÄLLEFORS</t>
        </is>
      </c>
      <c r="H350" t="inlineStr">
        <is>
          <t>Bergvik skog väst AB</t>
        </is>
      </c>
      <c r="I350" t="n">
        <v>3.3</v>
      </c>
      <c r="J350" t="n">
        <v>0</v>
      </c>
      <c r="K350" t="n">
        <v>0</v>
      </c>
      <c r="L350" t="n">
        <v>0</v>
      </c>
      <c r="M350" t="n">
        <v>0</v>
      </c>
      <c r="N350" t="n">
        <v>0</v>
      </c>
      <c r="O350" t="n">
        <v>0</v>
      </c>
      <c r="P350" t="n">
        <v>0</v>
      </c>
      <c r="Q350" t="n">
        <v>0</v>
      </c>
      <c r="R350" t="n">
        <v>0</v>
      </c>
      <c r="S350" t="n">
        <v>0</v>
      </c>
      <c r="T350" t="n">
        <v>0</v>
      </c>
      <c r="U350" s="2" t="inlineStr"/>
    </row>
    <row r="351" ht="15" customHeight="1">
      <c r="A351" t="inlineStr">
        <is>
          <t>A 54995-2024</t>
        </is>
      </c>
      <c r="B351" t="inlineStr">
        <is>
          <t>avverkningsanmälan</t>
        </is>
      </c>
      <c r="C351" t="inlineStr">
        <is>
          <t>Föryngringsavverkning</t>
        </is>
      </c>
      <c r="D351" s="1" t="n">
        <v>45621</v>
      </c>
      <c r="E351" s="1" t="n">
        <v>46223</v>
      </c>
      <c r="F351" t="inlineStr">
        <is>
          <t>ÖREBRO LÄN</t>
        </is>
      </c>
      <c r="G351" t="inlineStr">
        <is>
          <t>HÄLLEFORS</t>
        </is>
      </c>
      <c r="H351" t="inlineStr">
        <is>
          <t>Bergvik skog väst AB</t>
        </is>
      </c>
      <c r="I351" t="n">
        <v>3.4</v>
      </c>
      <c r="J351" t="n">
        <v>0</v>
      </c>
      <c r="K351" t="n">
        <v>0</v>
      </c>
      <c r="L351" t="n">
        <v>0</v>
      </c>
      <c r="M351" t="n">
        <v>0</v>
      </c>
      <c r="N351" t="n">
        <v>0</v>
      </c>
      <c r="O351" t="n">
        <v>0</v>
      </c>
      <c r="P351" t="n">
        <v>0</v>
      </c>
      <c r="Q351" t="n">
        <v>0</v>
      </c>
      <c r="R351" t="n">
        <v>0</v>
      </c>
      <c r="S351" t="n">
        <v>0</v>
      </c>
      <c r="T351" t="n">
        <v>0</v>
      </c>
      <c r="U351" s="2" t="inlineStr"/>
    </row>
    <row r="352" ht="15" customHeight="1">
      <c r="A352" t="inlineStr">
        <is>
          <t>A 7066-2024</t>
        </is>
      </c>
      <c r="B352" t="inlineStr">
        <is>
          <t>avverkningsanmälan</t>
        </is>
      </c>
      <c r="C352" t="inlineStr">
        <is>
          <t>Avverkning för annat ändamål</t>
        </is>
      </c>
      <c r="D352" s="1" t="n">
        <v>45343</v>
      </c>
      <c r="E352" s="1" t="n">
        <v>46223</v>
      </c>
      <c r="F352" t="inlineStr">
        <is>
          <t>ÖREBRO LÄN</t>
        </is>
      </c>
      <c r="G352" t="inlineStr">
        <is>
          <t>HÄLLEFORS</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44122-2024</t>
        </is>
      </c>
      <c r="B353" t="inlineStr">
        <is>
          <t>avverkningsanmälan</t>
        </is>
      </c>
      <c r="C353" t="inlineStr">
        <is>
          <t>Föryngringsavverkning</t>
        </is>
      </c>
      <c r="D353" s="1" t="n">
        <v>45572</v>
      </c>
      <c r="E353" s="1" t="n">
        <v>46223</v>
      </c>
      <c r="F353" t="inlineStr">
        <is>
          <t>ÖREBRO LÄN</t>
        </is>
      </c>
      <c r="G353" t="inlineStr">
        <is>
          <t>HÄLLEFORS</t>
        </is>
      </c>
      <c r="H353" t="inlineStr">
        <is>
          <t>Bergvik skog väst AB</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16927-2025</t>
        </is>
      </c>
      <c r="B354" t="inlineStr">
        <is>
          <t>avverkningsanmälan</t>
        </is>
      </c>
      <c r="C354" t="inlineStr">
        <is>
          <t>Föryngringsavverkning</t>
        </is>
      </c>
      <c r="D354" s="1" t="n">
        <v>45755</v>
      </c>
      <c r="E354" s="1" t="n">
        <v>46223</v>
      </c>
      <c r="F354" t="inlineStr">
        <is>
          <t>ÖREBRO LÄN</t>
        </is>
      </c>
      <c r="G354" t="inlineStr">
        <is>
          <t>HÄLLEFORS</t>
        </is>
      </c>
      <c r="H354" t="inlineStr">
        <is>
          <t>Bergvik skog väst AB</t>
        </is>
      </c>
      <c r="I354" t="n">
        <v>4.1</v>
      </c>
      <c r="J354" t="n">
        <v>0</v>
      </c>
      <c r="K354" t="n">
        <v>0</v>
      </c>
      <c r="L354" t="n">
        <v>0</v>
      </c>
      <c r="M354" t="n">
        <v>0</v>
      </c>
      <c r="N354" t="n">
        <v>0</v>
      </c>
      <c r="O354" t="n">
        <v>0</v>
      </c>
      <c r="P354" t="n">
        <v>0</v>
      </c>
      <c r="Q354" t="n">
        <v>0</v>
      </c>
      <c r="R354" t="n">
        <v>0</v>
      </c>
      <c r="S354" t="n">
        <v>0</v>
      </c>
      <c r="T354" t="n">
        <v>0</v>
      </c>
      <c r="U354" s="2" t="inlineStr"/>
    </row>
    <row r="355" ht="15" customHeight="1">
      <c r="A355" t="inlineStr">
        <is>
          <t>A 12648-2025</t>
        </is>
      </c>
      <c r="B355" t="inlineStr">
        <is>
          <t>avverkningsanmälan</t>
        </is>
      </c>
      <c r="C355" t="inlineStr">
        <is>
          <t>Föryngringsavverkning</t>
        </is>
      </c>
      <c r="D355" s="1" t="n">
        <v>45733</v>
      </c>
      <c r="E355" s="1" t="n">
        <v>46223</v>
      </c>
      <c r="F355" t="inlineStr">
        <is>
          <t>ÖREBRO LÄN</t>
        </is>
      </c>
      <c r="G355" t="inlineStr">
        <is>
          <t>HÄLLEFORS</t>
        </is>
      </c>
      <c r="H355" t="inlineStr">
        <is>
          <t>Bergvik skog väst AB</t>
        </is>
      </c>
      <c r="I355" t="n">
        <v>5</v>
      </c>
      <c r="J355" t="n">
        <v>0</v>
      </c>
      <c r="K355" t="n">
        <v>0</v>
      </c>
      <c r="L355" t="n">
        <v>0</v>
      </c>
      <c r="M355" t="n">
        <v>0</v>
      </c>
      <c r="N355" t="n">
        <v>0</v>
      </c>
      <c r="O355" t="n">
        <v>0</v>
      </c>
      <c r="P355" t="n">
        <v>0</v>
      </c>
      <c r="Q355" t="n">
        <v>0</v>
      </c>
      <c r="R355" t="n">
        <v>0</v>
      </c>
      <c r="S355" t="n">
        <v>0</v>
      </c>
      <c r="T355" t="n">
        <v>0</v>
      </c>
      <c r="U355" s="2" t="inlineStr"/>
    </row>
    <row r="356" ht="15" customHeight="1">
      <c r="A356" t="inlineStr">
        <is>
          <t>S 1314-2023</t>
        </is>
      </c>
      <c r="B356" t="inlineStr">
        <is>
          <t>samrådsanmälan</t>
        </is>
      </c>
      <c r="C356" t="inlineStr">
        <is>
          <t>Annan skogsbruksåtgärd</t>
        </is>
      </c>
      <c r="D356" s="1" t="n">
        <v>45036</v>
      </c>
      <c r="E356" s="1" t="n">
        <v>46223</v>
      </c>
      <c r="F356" t="inlineStr">
        <is>
          <t>ÖREBRO LÄN</t>
        </is>
      </c>
      <c r="G356" t="inlineStr">
        <is>
          <t>HÄLLEFORS</t>
        </is>
      </c>
      <c r="H356" t="inlineStr">
        <is>
          <t>Bergvik skog väst AB</t>
        </is>
      </c>
      <c r="I356" t="n">
        <v>8.800000000000001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S 1185-2020</t>
        </is>
      </c>
      <c r="B357" t="inlineStr">
        <is>
          <t>samrådsanmälan</t>
        </is>
      </c>
      <c r="C357" t="inlineStr">
        <is>
          <t>Åtgärd i nyckelbiotop</t>
        </is>
      </c>
      <c r="D357" s="1" t="n">
        <v>43973</v>
      </c>
      <c r="E357" s="1" t="n">
        <v>46223</v>
      </c>
      <c r="F357" t="inlineStr">
        <is>
          <t>ÖREBRO LÄN</t>
        </is>
      </c>
      <c r="G357" t="inlineStr">
        <is>
          <t>HÄLLEFORS</t>
        </is>
      </c>
      <c r="H357" t="inlineStr">
        <is>
          <t>Bergvik skog väst AB</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S 1186-2020</t>
        </is>
      </c>
      <c r="B358" t="inlineStr">
        <is>
          <t>samrådsanmälan</t>
        </is>
      </c>
      <c r="C358" t="inlineStr">
        <is>
          <t>Åtgärd i nyckelbiotop</t>
        </is>
      </c>
      <c r="D358" s="1" t="n">
        <v>43973</v>
      </c>
      <c r="E358" s="1" t="n">
        <v>46223</v>
      </c>
      <c r="F358" t="inlineStr">
        <is>
          <t>ÖREBRO LÄN</t>
        </is>
      </c>
      <c r="G358" t="inlineStr">
        <is>
          <t>HÄLLEFORS</t>
        </is>
      </c>
      <c r="H358" t="inlineStr">
        <is>
          <t>Bergvik skog väst AB</t>
        </is>
      </c>
      <c r="I358" t="n">
        <v>7.2</v>
      </c>
      <c r="J358" t="n">
        <v>0</v>
      </c>
      <c r="K358" t="n">
        <v>0</v>
      </c>
      <c r="L358" t="n">
        <v>0</v>
      </c>
      <c r="M358" t="n">
        <v>0</v>
      </c>
      <c r="N358" t="n">
        <v>0</v>
      </c>
      <c r="O358" t="n">
        <v>0</v>
      </c>
      <c r="P358" t="n">
        <v>0</v>
      </c>
      <c r="Q358" t="n">
        <v>0</v>
      </c>
      <c r="R358" t="n">
        <v>0</v>
      </c>
      <c r="S358" t="n">
        <v>0</v>
      </c>
      <c r="T358" t="n">
        <v>0</v>
      </c>
      <c r="U358" s="2" t="inlineStr"/>
    </row>
    <row r="359" ht="15" customHeight="1">
      <c r="A359" t="inlineStr">
        <is>
          <t>S 956-2024</t>
        </is>
      </c>
      <c r="B359" t="inlineStr">
        <is>
          <t>samrådsanmälan</t>
        </is>
      </c>
      <c r="C359" t="inlineStr">
        <is>
          <t>Skogsgödsling</t>
        </is>
      </c>
      <c r="D359" s="1" t="n">
        <v>45383</v>
      </c>
      <c r="E359" s="1" t="n">
        <v>46223</v>
      </c>
      <c r="F359" t="inlineStr">
        <is>
          <t>ÖREBRO LÄN</t>
        </is>
      </c>
      <c r="G359" t="inlineStr">
        <is>
          <t>HÄLLEFORS</t>
        </is>
      </c>
      <c r="I359" t="n">
        <v>117.6</v>
      </c>
      <c r="J359" t="n">
        <v>0</v>
      </c>
      <c r="K359" t="n">
        <v>0</v>
      </c>
      <c r="L359" t="n">
        <v>0</v>
      </c>
      <c r="M359" t="n">
        <v>0</v>
      </c>
      <c r="N359" t="n">
        <v>0</v>
      </c>
      <c r="O359" t="n">
        <v>0</v>
      </c>
      <c r="P359" t="n">
        <v>0</v>
      </c>
      <c r="Q359" t="n">
        <v>0</v>
      </c>
      <c r="R359" t="n">
        <v>0</v>
      </c>
      <c r="S359" t="n">
        <v>0</v>
      </c>
      <c r="T359" t="n">
        <v>0</v>
      </c>
      <c r="U359" s="2" t="inlineStr"/>
    </row>
    <row r="360" ht="15" customHeight="1">
      <c r="A360" t="inlineStr">
        <is>
          <t>S 958-2024</t>
        </is>
      </c>
      <c r="B360" t="inlineStr">
        <is>
          <t>samrådsanmälan</t>
        </is>
      </c>
      <c r="C360" t="inlineStr">
        <is>
          <t>Skogsgödsling</t>
        </is>
      </c>
      <c r="D360" s="1" t="n">
        <v>45383</v>
      </c>
      <c r="E360" s="1" t="n">
        <v>46223</v>
      </c>
      <c r="F360" t="inlineStr">
        <is>
          <t>ÖREBRO LÄN</t>
        </is>
      </c>
      <c r="G360" t="inlineStr">
        <is>
          <t>HÄLLEFORS</t>
        </is>
      </c>
      <c r="I360" t="n">
        <v>14.1</v>
      </c>
      <c r="J360" t="n">
        <v>0</v>
      </c>
      <c r="K360" t="n">
        <v>0</v>
      </c>
      <c r="L360" t="n">
        <v>0</v>
      </c>
      <c r="M360" t="n">
        <v>0</v>
      </c>
      <c r="N360" t="n">
        <v>0</v>
      </c>
      <c r="O360" t="n">
        <v>0</v>
      </c>
      <c r="P360" t="n">
        <v>0</v>
      </c>
      <c r="Q360" t="n">
        <v>0</v>
      </c>
      <c r="R360" t="n">
        <v>0</v>
      </c>
      <c r="S360" t="n">
        <v>0</v>
      </c>
      <c r="T360" t="n">
        <v>0</v>
      </c>
      <c r="U360" s="2" t="inlineStr"/>
    </row>
    <row r="361" ht="15" customHeight="1">
      <c r="A361" t="inlineStr">
        <is>
          <t>S 1313-2023</t>
        </is>
      </c>
      <c r="B361" t="inlineStr">
        <is>
          <t>samrådsanmälan</t>
        </is>
      </c>
      <c r="C361" t="inlineStr">
        <is>
          <t>Skogsgödsling</t>
        </is>
      </c>
      <c r="D361" s="1" t="n">
        <v>45034</v>
      </c>
      <c r="E361" s="1" t="n">
        <v>46223</v>
      </c>
      <c r="F361" t="inlineStr">
        <is>
          <t>ÖREBRO LÄN</t>
        </is>
      </c>
      <c r="G361" t="inlineStr">
        <is>
          <t>HÄLLEFORS</t>
        </is>
      </c>
      <c r="H361" t="inlineStr">
        <is>
          <t>Bergvik skog väst AB</t>
        </is>
      </c>
      <c r="I361" t="n">
        <v>46.4</v>
      </c>
      <c r="J361" t="n">
        <v>0</v>
      </c>
      <c r="K361" t="n">
        <v>0</v>
      </c>
      <c r="L361" t="n">
        <v>0</v>
      </c>
      <c r="M361" t="n">
        <v>0</v>
      </c>
      <c r="N361" t="n">
        <v>0</v>
      </c>
      <c r="O361" t="n">
        <v>0</v>
      </c>
      <c r="P361" t="n">
        <v>0</v>
      </c>
      <c r="Q361" t="n">
        <v>0</v>
      </c>
      <c r="R361" t="n">
        <v>0</v>
      </c>
      <c r="S361" t="n">
        <v>0</v>
      </c>
      <c r="T361" t="n">
        <v>0</v>
      </c>
      <c r="U361" s="2" t="inlineStr"/>
    </row>
    <row r="362" ht="15" customHeight="1">
      <c r="A362" t="inlineStr">
        <is>
          <t>S 2835-2023</t>
        </is>
      </c>
      <c r="B362" t="inlineStr">
        <is>
          <t>samrådsanmälan</t>
        </is>
      </c>
      <c r="C362" t="inlineStr">
        <is>
          <t>Annan skogsbruksåtgärd</t>
        </is>
      </c>
      <c r="D362" s="1" t="n">
        <v>45209</v>
      </c>
      <c r="E362" s="1" t="n">
        <v>46223</v>
      </c>
      <c r="F362" t="inlineStr">
        <is>
          <t>ÖREBRO LÄN</t>
        </is>
      </c>
      <c r="G362" t="inlineStr">
        <is>
          <t>HÄLLEFORS</t>
        </is>
      </c>
      <c r="H362" t="inlineStr">
        <is>
          <t>Bergvik skog väst AB</t>
        </is>
      </c>
      <c r="I362" t="n">
        <v>38.9</v>
      </c>
      <c r="J362" t="n">
        <v>0</v>
      </c>
      <c r="K362" t="n">
        <v>0</v>
      </c>
      <c r="L362" t="n">
        <v>0</v>
      </c>
      <c r="M362" t="n">
        <v>0</v>
      </c>
      <c r="N362" t="n">
        <v>0</v>
      </c>
      <c r="O362" t="n">
        <v>0</v>
      </c>
      <c r="P362" t="n">
        <v>0</v>
      </c>
      <c r="Q362" t="n">
        <v>0</v>
      </c>
      <c r="R362" t="n">
        <v>0</v>
      </c>
      <c r="S362" t="n">
        <v>0</v>
      </c>
      <c r="T362" t="n">
        <v>0</v>
      </c>
      <c r="U362" s="2" t="inlineStr"/>
    </row>
    <row r="363" ht="15" customHeight="1">
      <c r="A363" t="inlineStr">
        <is>
          <t>S 957-2024</t>
        </is>
      </c>
      <c r="B363" t="inlineStr">
        <is>
          <t>samrådsanmälan</t>
        </is>
      </c>
      <c r="C363" t="inlineStr">
        <is>
          <t>Skogsgödsling</t>
        </is>
      </c>
      <c r="D363" s="1" t="n">
        <v>45383</v>
      </c>
      <c r="E363" s="1" t="n">
        <v>46223</v>
      </c>
      <c r="F363" t="inlineStr">
        <is>
          <t>ÖREBRO LÄN</t>
        </is>
      </c>
      <c r="G363" t="inlineStr">
        <is>
          <t>HÄLLEFORS</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S 663-2025</t>
        </is>
      </c>
      <c r="B364" t="inlineStr">
        <is>
          <t>samrådsanmälan</t>
        </is>
      </c>
      <c r="C364" t="inlineStr">
        <is>
          <t>Skogsgödsling</t>
        </is>
      </c>
      <c r="D364" s="1" t="n">
        <v>45716</v>
      </c>
      <c r="E364" s="1" t="n">
        <v>46223</v>
      </c>
      <c r="F364" t="inlineStr">
        <is>
          <t>ÖREBRO LÄN</t>
        </is>
      </c>
      <c r="G364" t="inlineStr">
        <is>
          <t>HÄLLEFORS</t>
        </is>
      </c>
      <c r="H364" t="inlineStr">
        <is>
          <t>Bergvik skog väst AB</t>
        </is>
      </c>
      <c r="I364" t="n">
        <v>94.90000000000001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S 847-2025</t>
        </is>
      </c>
      <c r="B365" t="inlineStr">
        <is>
          <t>samrådsanmälan</t>
        </is>
      </c>
      <c r="C365" t="inlineStr">
        <is>
          <t>Annan skogsbruksåtgärd</t>
        </is>
      </c>
      <c r="D365" s="1" t="n">
        <v>45733</v>
      </c>
      <c r="E365" s="1" t="n">
        <v>46223</v>
      </c>
      <c r="F365" t="inlineStr">
        <is>
          <t>ÖREBRO LÄN</t>
        </is>
      </c>
      <c r="G365" t="inlineStr">
        <is>
          <t>HÄLLEFORS</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S 101-2026</t>
        </is>
      </c>
      <c r="B366" t="inlineStr">
        <is>
          <t>samrådsanmälan</t>
        </is>
      </c>
      <c r="C366" t="inlineStr">
        <is>
          <t>Skogsgödsling</t>
        </is>
      </c>
      <c r="D366" s="1" t="n">
        <v>46036</v>
      </c>
      <c r="E366" s="1" t="n">
        <v>46223</v>
      </c>
      <c r="F366" t="inlineStr">
        <is>
          <t>ÖREBRO LÄN</t>
        </is>
      </c>
      <c r="G366" t="inlineStr">
        <is>
          <t>HÄLLEFORS</t>
        </is>
      </c>
      <c r="H366" t="inlineStr">
        <is>
          <t>Bergvik skog väst AB</t>
        </is>
      </c>
      <c r="I366" t="n">
        <v>23.7</v>
      </c>
      <c r="J366" t="n">
        <v>0</v>
      </c>
      <c r="K366" t="n">
        <v>0</v>
      </c>
      <c r="L366" t="n">
        <v>0</v>
      </c>
      <c r="M366" t="n">
        <v>0</v>
      </c>
      <c r="N366" t="n">
        <v>0</v>
      </c>
      <c r="O366" t="n">
        <v>0</v>
      </c>
      <c r="P366" t="n">
        <v>0</v>
      </c>
      <c r="Q366" t="n">
        <v>0</v>
      </c>
      <c r="R366" t="n">
        <v>0</v>
      </c>
      <c r="S366" t="n">
        <v>0</v>
      </c>
      <c r="T366" t="n">
        <v>0</v>
      </c>
      <c r="U366" s="2" t="inlineStr"/>
    </row>
    <row r="367" ht="15" customHeight="1">
      <c r="A367" t="inlineStr">
        <is>
          <t>S 542-2026</t>
        </is>
      </c>
      <c r="B367" t="inlineStr">
        <is>
          <t>samrådsanmälan</t>
        </is>
      </c>
      <c r="C367" t="inlineStr">
        <is>
          <t>Skogsgödsling</t>
        </is>
      </c>
      <c r="D367" s="1" t="n">
        <v>46079</v>
      </c>
      <c r="E367" s="1" t="n">
        <v>46223</v>
      </c>
      <c r="F367" t="inlineStr">
        <is>
          <t>ÖREBRO LÄN</t>
        </is>
      </c>
      <c r="G367" t="inlineStr">
        <is>
          <t>HÄLLEFORS</t>
        </is>
      </c>
      <c r="I367" t="n">
        <v>78.7</v>
      </c>
      <c r="J367" t="n">
        <v>0</v>
      </c>
      <c r="K367" t="n">
        <v>0</v>
      </c>
      <c r="L367" t="n">
        <v>0</v>
      </c>
      <c r="M367" t="n">
        <v>0</v>
      </c>
      <c r="N367" t="n">
        <v>0</v>
      </c>
      <c r="O367" t="n">
        <v>0</v>
      </c>
      <c r="P367" t="n">
        <v>0</v>
      </c>
      <c r="Q367" t="n">
        <v>0</v>
      </c>
      <c r="R367" t="n">
        <v>0</v>
      </c>
      <c r="S367" t="n">
        <v>0</v>
      </c>
      <c r="T367" t="n">
        <v>0</v>
      </c>
      <c r="U367" s="2" t="inlineStr"/>
    </row>
    <row r="368" ht="15" customHeight="1">
      <c r="A368" t="inlineStr">
        <is>
          <t>S 544-2026</t>
        </is>
      </c>
      <c r="B368" t="inlineStr">
        <is>
          <t>samrådsanmälan</t>
        </is>
      </c>
      <c r="C368" t="inlineStr">
        <is>
          <t>Skogsgödsling</t>
        </is>
      </c>
      <c r="D368" s="1" t="n">
        <v>46079</v>
      </c>
      <c r="E368" s="1" t="n">
        <v>46223</v>
      </c>
      <c r="F368" t="inlineStr">
        <is>
          <t>ÖREBRO LÄN</t>
        </is>
      </c>
      <c r="G368" t="inlineStr">
        <is>
          <t>HÄLLEFORS</t>
        </is>
      </c>
      <c r="I368" t="n">
        <v>16.2</v>
      </c>
      <c r="J368" t="n">
        <v>0</v>
      </c>
      <c r="K368" t="n">
        <v>0</v>
      </c>
      <c r="L368" t="n">
        <v>0</v>
      </c>
      <c r="M368" t="n">
        <v>0</v>
      </c>
      <c r="N368" t="n">
        <v>0</v>
      </c>
      <c r="O368" t="n">
        <v>0</v>
      </c>
      <c r="P368" t="n">
        <v>0</v>
      </c>
      <c r="Q368" t="n">
        <v>0</v>
      </c>
      <c r="R368" t="n">
        <v>0</v>
      </c>
      <c r="S368" t="n">
        <v>0</v>
      </c>
      <c r="T368" t="n">
        <v>0</v>
      </c>
      <c r="U368" s="2" t="inlineStr"/>
    </row>
    <row r="369" ht="15" customHeight="1">
      <c r="A369" t="inlineStr">
        <is>
          <t>S 543-2026</t>
        </is>
      </c>
      <c r="B369" t="inlineStr">
        <is>
          <t>samrådsanmälan</t>
        </is>
      </c>
      <c r="C369" t="inlineStr">
        <is>
          <t>Skogsgödsling</t>
        </is>
      </c>
      <c r="D369" s="1" t="n">
        <v>46079</v>
      </c>
      <c r="E369" s="1" t="n">
        <v>46223</v>
      </c>
      <c r="F369" t="inlineStr">
        <is>
          <t>ÖREBRO LÄN</t>
        </is>
      </c>
      <c r="G369" t="inlineStr">
        <is>
          <t>HÄLLEFORS</t>
        </is>
      </c>
      <c r="I369" t="n">
        <v>18.9</v>
      </c>
      <c r="J369" t="n">
        <v>0</v>
      </c>
      <c r="K369" t="n">
        <v>0</v>
      </c>
      <c r="L369" t="n">
        <v>0</v>
      </c>
      <c r="M369" t="n">
        <v>0</v>
      </c>
      <c r="N369" t="n">
        <v>0</v>
      </c>
      <c r="O369" t="n">
        <v>0</v>
      </c>
      <c r="P369" t="n">
        <v>0</v>
      </c>
      <c r="Q369" t="n">
        <v>0</v>
      </c>
      <c r="R369" t="n">
        <v>0</v>
      </c>
      <c r="S369" t="n">
        <v>0</v>
      </c>
      <c r="T369" t="n">
        <v>0</v>
      </c>
      <c r="U369" s="2" t="inlineStr"/>
    </row>
    <row r="370">
      <c r="A370" t="inlineStr">
        <is>
          <t>S 3577-2025</t>
        </is>
      </c>
      <c r="B370" t="inlineStr">
        <is>
          <t>samrådsanmälan</t>
        </is>
      </c>
      <c r="C370" t="inlineStr">
        <is>
          <t>Skogsgödsling</t>
        </is>
      </c>
      <c r="D370" s="1" t="n">
        <v>46014</v>
      </c>
      <c r="E370" s="1" t="n">
        <v>46223</v>
      </c>
      <c r="F370" t="inlineStr">
        <is>
          <t>ÖREBRO LÄN</t>
        </is>
      </c>
      <c r="G370" t="inlineStr">
        <is>
          <t>HÄLLEFORS</t>
        </is>
      </c>
      <c r="H370" t="inlineStr">
        <is>
          <t>Bergvik skog väst AB</t>
        </is>
      </c>
      <c r="I370" t="n">
        <v>68.7</v>
      </c>
      <c r="J370" t="n">
        <v>0</v>
      </c>
      <c r="K370" t="n">
        <v>0</v>
      </c>
      <c r="L370" t="n">
        <v>0</v>
      </c>
      <c r="M370" t="n">
        <v>0</v>
      </c>
      <c r="N370" t="n">
        <v>0</v>
      </c>
      <c r="O370" t="n">
        <v>0</v>
      </c>
      <c r="P370" t="n">
        <v>0</v>
      </c>
      <c r="Q370" t="n">
        <v>0</v>
      </c>
      <c r="R370" t="n">
        <v>0</v>
      </c>
      <c r="S370" t="n">
        <v>0</v>
      </c>
      <c r="T370" t="n">
        <v>0</v>
      </c>
      <c r="U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2026-07-20T01:50:51Z</dcterms:created>
  <dcterms:modified xmlns:dcterms="http://purl.org/dc/terms/" xmlns:xsi="http://www.w3.org/2001/XMLSchema-instance" xsi:type="dcterms:W3CDTF">2026-07-20T01:50:51Z</dcterms:modified>
</cp:coreProperties>
</file>