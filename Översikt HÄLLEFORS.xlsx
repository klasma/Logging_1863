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45731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45731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45731</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45731</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45731</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45731</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39826-2020</t>
        </is>
      </c>
      <c r="B8" s="1" t="n">
        <v>44067</v>
      </c>
      <c r="C8" s="1" t="n">
        <v>45731</v>
      </c>
      <c r="D8" t="inlineStr">
        <is>
          <t>ÖREBRO LÄN</t>
        </is>
      </c>
      <c r="E8" t="inlineStr">
        <is>
          <t>HÄLLEFORS</t>
        </is>
      </c>
      <c r="F8" t="inlineStr">
        <is>
          <t>Sveaskog</t>
        </is>
      </c>
      <c r="G8" t="n">
        <v>12.1</v>
      </c>
      <c r="H8" t="n">
        <v>1</v>
      </c>
      <c r="I8" t="n">
        <v>1</v>
      </c>
      <c r="J8" t="n">
        <v>2</v>
      </c>
      <c r="K8" t="n">
        <v>1</v>
      </c>
      <c r="L8" t="n">
        <v>0</v>
      </c>
      <c r="M8" t="n">
        <v>0</v>
      </c>
      <c r="N8" t="n">
        <v>0</v>
      </c>
      <c r="O8" t="n">
        <v>3</v>
      </c>
      <c r="P8" t="n">
        <v>1</v>
      </c>
      <c r="Q8" t="n">
        <v>5</v>
      </c>
      <c r="R8" s="2" t="inlineStr">
        <is>
          <t>Norsk näverlav
Dvärgbägarlav
Kolflarnlav
Skuggblåslav
Tjäder</t>
        </is>
      </c>
      <c r="S8">
        <f>HYPERLINK("https://klasma.github.io/Logging_1863/artfynd/A 39826-2020 artfynd.xlsx", "A 39826-2020")</f>
        <v/>
      </c>
      <c r="T8">
        <f>HYPERLINK("https://klasma.github.io/Logging_1863/kartor/A 39826-2020 karta.png", "A 39826-2020")</f>
        <v/>
      </c>
      <c r="V8">
        <f>HYPERLINK("https://klasma.github.io/Logging_1863/klagomål/A 39826-2020 FSC-klagomål.docx", "A 39826-2020")</f>
        <v/>
      </c>
      <c r="W8">
        <f>HYPERLINK("https://klasma.github.io/Logging_1863/klagomålsmail/A 39826-2020 FSC-klagomål mail.docx", "A 39826-2020")</f>
        <v/>
      </c>
      <c r="X8">
        <f>HYPERLINK("https://klasma.github.io/Logging_1863/tillsyn/A 39826-2020 tillsynsbegäran.docx", "A 39826-2020")</f>
        <v/>
      </c>
      <c r="Y8">
        <f>HYPERLINK("https://klasma.github.io/Logging_1863/tillsynsmail/A 39826-2020 tillsynsbegäran mail.docx", "A 39826-2020")</f>
        <v/>
      </c>
      <c r="Z8">
        <f>HYPERLINK("https://klasma.github.io/Logging_1863/fåglar/A 39826-2020 prioriterade fågelarter.docx", "A 39826-2020")</f>
        <v/>
      </c>
    </row>
    <row r="9" ht="15" customHeight="1">
      <c r="A9" t="inlineStr">
        <is>
          <t>A 41546-2019</t>
        </is>
      </c>
      <c r="B9" s="1" t="n">
        <v>43699</v>
      </c>
      <c r="C9" s="1" t="n">
        <v>45731</v>
      </c>
      <c r="D9" t="inlineStr">
        <is>
          <t>ÖREBRO LÄN</t>
        </is>
      </c>
      <c r="E9" t="inlineStr">
        <is>
          <t>HÄLLEFORS</t>
        </is>
      </c>
      <c r="F9" t="inlineStr">
        <is>
          <t>Sveaskog</t>
        </is>
      </c>
      <c r="G9" t="n">
        <v>6.1</v>
      </c>
      <c r="H9" t="n">
        <v>1</v>
      </c>
      <c r="I9" t="n">
        <v>1</v>
      </c>
      <c r="J9" t="n">
        <v>2</v>
      </c>
      <c r="K9" t="n">
        <v>0</v>
      </c>
      <c r="L9" t="n">
        <v>0</v>
      </c>
      <c r="M9" t="n">
        <v>0</v>
      </c>
      <c r="N9" t="n">
        <v>0</v>
      </c>
      <c r="O9" t="n">
        <v>2</v>
      </c>
      <c r="P9" t="n">
        <v>0</v>
      </c>
      <c r="Q9" t="n">
        <v>3</v>
      </c>
      <c r="R9" s="2" t="inlineStr">
        <is>
          <t>Motaggsvamp
Tretåig hackspett
Skuggblåslav</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52328-2019</t>
        </is>
      </c>
      <c r="B10" s="1" t="n">
        <v>43745</v>
      </c>
      <c r="C10" s="1" t="n">
        <v>45731</v>
      </c>
      <c r="D10" t="inlineStr">
        <is>
          <t>ÖREBRO LÄN</t>
        </is>
      </c>
      <c r="E10" t="inlineStr">
        <is>
          <t>HÄLLEFORS</t>
        </is>
      </c>
      <c r="F10" t="inlineStr">
        <is>
          <t>Sveaskog</t>
        </is>
      </c>
      <c r="G10" t="n">
        <v>4.6</v>
      </c>
      <c r="H10" t="n">
        <v>0</v>
      </c>
      <c r="I10" t="n">
        <v>1</v>
      </c>
      <c r="J10" t="n">
        <v>2</v>
      </c>
      <c r="K10" t="n">
        <v>0</v>
      </c>
      <c r="L10" t="n">
        <v>0</v>
      </c>
      <c r="M10" t="n">
        <v>0</v>
      </c>
      <c r="N10" t="n">
        <v>0</v>
      </c>
      <c r="O10" t="n">
        <v>2</v>
      </c>
      <c r="P10" t="n">
        <v>0</v>
      </c>
      <c r="Q10" t="n">
        <v>3</v>
      </c>
      <c r="R10" s="2" t="inlineStr">
        <is>
          <t>Garnlav
Vedskivlav
Stor revmossa</t>
        </is>
      </c>
      <c r="S10">
        <f>HYPERLINK("https://klasma.github.io/Logging_1863/artfynd/A 52328-2019 artfynd.xlsx", "A 52328-2019")</f>
        <v/>
      </c>
      <c r="T10">
        <f>HYPERLINK("https://klasma.github.io/Logging_1863/kartor/A 52328-2019 karta.png", "A 52328-2019")</f>
        <v/>
      </c>
      <c r="V10">
        <f>HYPERLINK("https://klasma.github.io/Logging_1863/klagomål/A 52328-2019 FSC-klagomål.docx", "A 52328-2019")</f>
        <v/>
      </c>
      <c r="W10">
        <f>HYPERLINK("https://klasma.github.io/Logging_1863/klagomålsmail/A 52328-2019 FSC-klagomål mail.docx", "A 52328-2019")</f>
        <v/>
      </c>
      <c r="X10">
        <f>HYPERLINK("https://klasma.github.io/Logging_1863/tillsyn/A 52328-2019 tillsynsbegäran.docx", "A 52328-2019")</f>
        <v/>
      </c>
      <c r="Y10">
        <f>HYPERLINK("https://klasma.github.io/Logging_1863/tillsynsmail/A 52328-2019 tillsynsbegäran mail.docx", "A 52328-2019")</f>
        <v/>
      </c>
    </row>
    <row r="11" ht="15" customHeight="1">
      <c r="A11" t="inlineStr">
        <is>
          <t>A 41839-2020</t>
        </is>
      </c>
      <c r="B11" s="1" t="n">
        <v>44074</v>
      </c>
      <c r="C11" s="1" t="n">
        <v>45731</v>
      </c>
      <c r="D11" t="inlineStr">
        <is>
          <t>ÖREBRO LÄN</t>
        </is>
      </c>
      <c r="E11" t="inlineStr">
        <is>
          <t>HÄLLEFORS</t>
        </is>
      </c>
      <c r="F11" t="inlineStr">
        <is>
          <t>Bergvik skog väst AB</t>
        </is>
      </c>
      <c r="G11" t="n">
        <v>0.9</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41839-2020 artfynd.xlsx", "A 41839-2020")</f>
        <v/>
      </c>
      <c r="T11">
        <f>HYPERLINK("https://klasma.github.io/Logging_1863/kartor/A 41839-2020 karta.png", "A 41839-2020")</f>
        <v/>
      </c>
      <c r="V11">
        <f>HYPERLINK("https://klasma.github.io/Logging_1863/klagomål/A 41839-2020 FSC-klagomål.docx", "A 41839-2020")</f>
        <v/>
      </c>
      <c r="W11">
        <f>HYPERLINK("https://klasma.github.io/Logging_1863/klagomålsmail/A 41839-2020 FSC-klagomål mail.docx", "A 41839-2020")</f>
        <v/>
      </c>
      <c r="X11">
        <f>HYPERLINK("https://klasma.github.io/Logging_1863/tillsyn/A 41839-2020 tillsynsbegäran.docx", "A 41839-2020")</f>
        <v/>
      </c>
      <c r="Y11">
        <f>HYPERLINK("https://klasma.github.io/Logging_1863/tillsynsmail/A 41839-2020 tillsynsbegäran mail.docx", "A 41839-2020")</f>
        <v/>
      </c>
    </row>
    <row r="12" ht="15" customHeight="1">
      <c r="A12" t="inlineStr">
        <is>
          <t>A 9464-2023</t>
        </is>
      </c>
      <c r="B12" s="1" t="n">
        <v>44981</v>
      </c>
      <c r="C12" s="1" t="n">
        <v>45731</v>
      </c>
      <c r="D12" t="inlineStr">
        <is>
          <t>ÖREBRO LÄN</t>
        </is>
      </c>
      <c r="E12" t="inlineStr">
        <is>
          <t>HÄLLEFORS</t>
        </is>
      </c>
      <c r="F12" t="inlineStr">
        <is>
          <t>Bergvik skog väst AB</t>
        </is>
      </c>
      <c r="G12" t="n">
        <v>29.1</v>
      </c>
      <c r="H12" t="n">
        <v>3</v>
      </c>
      <c r="I12" t="n">
        <v>0</v>
      </c>
      <c r="J12" t="n">
        <v>1</v>
      </c>
      <c r="K12" t="n">
        <v>1</v>
      </c>
      <c r="L12" t="n">
        <v>0</v>
      </c>
      <c r="M12" t="n">
        <v>0</v>
      </c>
      <c r="N12" t="n">
        <v>0</v>
      </c>
      <c r="O12" t="n">
        <v>2</v>
      </c>
      <c r="P12" t="n">
        <v>1</v>
      </c>
      <c r="Q12" t="n">
        <v>3</v>
      </c>
      <c r="R12" s="2" t="inlineStr">
        <is>
          <t>Vinterhämpling
Buskskvätta
Fiskgjuse</t>
        </is>
      </c>
      <c r="S12">
        <f>HYPERLINK("https://klasma.github.io/Logging_1863/artfynd/A 9464-2023 artfynd.xlsx", "A 9464-2023")</f>
        <v/>
      </c>
      <c r="T12">
        <f>HYPERLINK("https://klasma.github.io/Logging_1863/kartor/A 9464-2023 karta.png", "A 9464-2023")</f>
        <v/>
      </c>
      <c r="V12">
        <f>HYPERLINK("https://klasma.github.io/Logging_1863/klagomål/A 9464-2023 FSC-klagomål.docx", "A 9464-2023")</f>
        <v/>
      </c>
      <c r="W12">
        <f>HYPERLINK("https://klasma.github.io/Logging_1863/klagomålsmail/A 9464-2023 FSC-klagomål mail.docx", "A 9464-2023")</f>
        <v/>
      </c>
      <c r="X12">
        <f>HYPERLINK("https://klasma.github.io/Logging_1863/tillsyn/A 9464-2023 tillsynsbegäran.docx", "A 9464-2023")</f>
        <v/>
      </c>
      <c r="Y12">
        <f>HYPERLINK("https://klasma.github.io/Logging_1863/tillsynsmail/A 9464-2023 tillsynsbegäran mail.docx", "A 9464-2023")</f>
        <v/>
      </c>
      <c r="Z12">
        <f>HYPERLINK("https://klasma.github.io/Logging_1863/fåglar/A 9464-2023 prioriterade fågelarter.docx", "A 9464-2023")</f>
        <v/>
      </c>
    </row>
    <row r="13" ht="15" customHeight="1">
      <c r="A13" t="inlineStr">
        <is>
          <t>A 23892-2024</t>
        </is>
      </c>
      <c r="B13" s="1" t="n">
        <v>45455</v>
      </c>
      <c r="C13" s="1" t="n">
        <v>45731</v>
      </c>
      <c r="D13" t="inlineStr">
        <is>
          <t>ÖREBRO LÄN</t>
        </is>
      </c>
      <c r="E13" t="inlineStr">
        <is>
          <t>HÄLLEFORS</t>
        </is>
      </c>
      <c r="G13" t="n">
        <v>9.6</v>
      </c>
      <c r="H13" t="n">
        <v>1</v>
      </c>
      <c r="I13" t="n">
        <v>2</v>
      </c>
      <c r="J13" t="n">
        <v>0</v>
      </c>
      <c r="K13" t="n">
        <v>1</v>
      </c>
      <c r="L13" t="n">
        <v>0</v>
      </c>
      <c r="M13" t="n">
        <v>0</v>
      </c>
      <c r="N13" t="n">
        <v>0</v>
      </c>
      <c r="O13" t="n">
        <v>1</v>
      </c>
      <c r="P13" t="n">
        <v>1</v>
      </c>
      <c r="Q13" t="n">
        <v>3</v>
      </c>
      <c r="R13" s="2" t="inlineStr">
        <is>
          <t>Knärot
Blomkålssvamp
Nästlav</t>
        </is>
      </c>
      <c r="S13">
        <f>HYPERLINK("https://klasma.github.io/Logging_1863/artfynd/A 23892-2024 artfynd.xlsx", "A 23892-2024")</f>
        <v/>
      </c>
      <c r="T13">
        <f>HYPERLINK("https://klasma.github.io/Logging_1863/kartor/A 23892-2024 karta.png", "A 23892-2024")</f>
        <v/>
      </c>
      <c r="U13">
        <f>HYPERLINK("https://klasma.github.io/Logging_1863/knärot/A 23892-2024 karta knärot.png", "A 23892-2024")</f>
        <v/>
      </c>
      <c r="V13">
        <f>HYPERLINK("https://klasma.github.io/Logging_1863/klagomål/A 23892-2024 FSC-klagomål.docx", "A 23892-2024")</f>
        <v/>
      </c>
      <c r="W13">
        <f>HYPERLINK("https://klasma.github.io/Logging_1863/klagomålsmail/A 23892-2024 FSC-klagomål mail.docx", "A 23892-2024")</f>
        <v/>
      </c>
      <c r="X13">
        <f>HYPERLINK("https://klasma.github.io/Logging_1863/tillsyn/A 23892-2024 tillsynsbegäran.docx", "A 23892-2024")</f>
        <v/>
      </c>
      <c r="Y13">
        <f>HYPERLINK("https://klasma.github.io/Logging_1863/tillsynsmail/A 23892-2024 tillsynsbegäran mail.docx", "A 23892-2024")</f>
        <v/>
      </c>
    </row>
    <row r="14" ht="15" customHeight="1">
      <c r="A14" t="inlineStr">
        <is>
          <t>A 58760-2020</t>
        </is>
      </c>
      <c r="B14" s="1" t="n">
        <v>44146</v>
      </c>
      <c r="C14" s="1" t="n">
        <v>45731</v>
      </c>
      <c r="D14" t="inlineStr">
        <is>
          <t>ÖREBRO LÄN</t>
        </is>
      </c>
      <c r="E14" t="inlineStr">
        <is>
          <t>HÄLLEFORS</t>
        </is>
      </c>
      <c r="F14" t="inlineStr">
        <is>
          <t>Sveaskog</t>
        </is>
      </c>
      <c r="G14" t="n">
        <v>1.8</v>
      </c>
      <c r="H14" t="n">
        <v>0</v>
      </c>
      <c r="I14" t="n">
        <v>1</v>
      </c>
      <c r="J14" t="n">
        <v>1</v>
      </c>
      <c r="K14" t="n">
        <v>0</v>
      </c>
      <c r="L14" t="n">
        <v>0</v>
      </c>
      <c r="M14" t="n">
        <v>0</v>
      </c>
      <c r="N14" t="n">
        <v>0</v>
      </c>
      <c r="O14" t="n">
        <v>1</v>
      </c>
      <c r="P14" t="n">
        <v>0</v>
      </c>
      <c r="Q14" t="n">
        <v>2</v>
      </c>
      <c r="R14" s="2" t="inlineStr">
        <is>
          <t>Tallticka
Stor revmossa</t>
        </is>
      </c>
      <c r="S14">
        <f>HYPERLINK("https://klasma.github.io/Logging_1863/artfynd/A 58760-2020 artfynd.xlsx", "A 58760-2020")</f>
        <v/>
      </c>
      <c r="T14">
        <f>HYPERLINK("https://klasma.github.io/Logging_1863/kartor/A 58760-2020 karta.png", "A 58760-2020")</f>
        <v/>
      </c>
      <c r="V14">
        <f>HYPERLINK("https://klasma.github.io/Logging_1863/klagomål/A 58760-2020 FSC-klagomål.docx", "A 58760-2020")</f>
        <v/>
      </c>
      <c r="W14">
        <f>HYPERLINK("https://klasma.github.io/Logging_1863/klagomålsmail/A 58760-2020 FSC-klagomål mail.docx", "A 58760-2020")</f>
        <v/>
      </c>
      <c r="X14">
        <f>HYPERLINK("https://klasma.github.io/Logging_1863/tillsyn/A 58760-2020 tillsynsbegäran.docx", "A 58760-2020")</f>
        <v/>
      </c>
      <c r="Y14">
        <f>HYPERLINK("https://klasma.github.io/Logging_1863/tillsynsmail/A 58760-2020 tillsynsbegäran mail.docx", "A 58760-2020")</f>
        <v/>
      </c>
    </row>
    <row r="15" ht="15" customHeight="1">
      <c r="A15" t="inlineStr">
        <is>
          <t>A 5360-2022</t>
        </is>
      </c>
      <c r="B15" s="1" t="n">
        <v>44594</v>
      </c>
      <c r="C15" s="1" t="n">
        <v>45731</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37259-2024</t>
        </is>
      </c>
      <c r="B16" s="1" t="n">
        <v>45540</v>
      </c>
      <c r="C16" s="1" t="n">
        <v>45731</v>
      </c>
      <c r="D16" t="inlineStr">
        <is>
          <t>ÖREBRO LÄN</t>
        </is>
      </c>
      <c r="E16" t="inlineStr">
        <is>
          <t>HÄLLEFORS</t>
        </is>
      </c>
      <c r="F16" t="inlineStr">
        <is>
          <t>Bergvik skog väst AB</t>
        </is>
      </c>
      <c r="G16" t="n">
        <v>4.5</v>
      </c>
      <c r="H16" t="n">
        <v>2</v>
      </c>
      <c r="I16" t="n">
        <v>0</v>
      </c>
      <c r="J16" t="n">
        <v>1</v>
      </c>
      <c r="K16" t="n">
        <v>0</v>
      </c>
      <c r="L16" t="n">
        <v>0</v>
      </c>
      <c r="M16" t="n">
        <v>0</v>
      </c>
      <c r="N16" t="n">
        <v>0</v>
      </c>
      <c r="O16" t="n">
        <v>1</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60270-2019</t>
        </is>
      </c>
      <c r="B17" s="1" t="n">
        <v>43780</v>
      </c>
      <c r="C17" s="1" t="n">
        <v>45731</v>
      </c>
      <c r="D17" t="inlineStr">
        <is>
          <t>ÖREBRO LÄN</t>
        </is>
      </c>
      <c r="E17" t="inlineStr">
        <is>
          <t>HÄLLEFORS</t>
        </is>
      </c>
      <c r="F17" t="inlineStr">
        <is>
          <t>Bergvik skog väst AB</t>
        </is>
      </c>
      <c r="G17" t="n">
        <v>3.1</v>
      </c>
      <c r="H17" t="n">
        <v>0</v>
      </c>
      <c r="I17" t="n">
        <v>0</v>
      </c>
      <c r="J17" t="n">
        <v>1</v>
      </c>
      <c r="K17" t="n">
        <v>0</v>
      </c>
      <c r="L17" t="n">
        <v>0</v>
      </c>
      <c r="M17" t="n">
        <v>0</v>
      </c>
      <c r="N17" t="n">
        <v>0</v>
      </c>
      <c r="O17" t="n">
        <v>1</v>
      </c>
      <c r="P17" t="n">
        <v>0</v>
      </c>
      <c r="Q17" t="n">
        <v>1</v>
      </c>
      <c r="R17" s="2" t="inlineStr">
        <is>
          <t>Brunklöver</t>
        </is>
      </c>
      <c r="S17">
        <f>HYPERLINK("https://klasma.github.io/Logging_1863/artfynd/A 60270-2019 artfynd.xlsx", "A 60270-2019")</f>
        <v/>
      </c>
      <c r="T17">
        <f>HYPERLINK("https://klasma.github.io/Logging_1863/kartor/A 60270-2019 karta.png", "A 60270-2019")</f>
        <v/>
      </c>
      <c r="V17">
        <f>HYPERLINK("https://klasma.github.io/Logging_1863/klagomål/A 60270-2019 FSC-klagomål.docx", "A 60270-2019")</f>
        <v/>
      </c>
      <c r="W17">
        <f>HYPERLINK("https://klasma.github.io/Logging_1863/klagomålsmail/A 60270-2019 FSC-klagomål mail.docx", "A 60270-2019")</f>
        <v/>
      </c>
      <c r="X17">
        <f>HYPERLINK("https://klasma.github.io/Logging_1863/tillsyn/A 60270-2019 tillsynsbegäran.docx", "A 60270-2019")</f>
        <v/>
      </c>
      <c r="Y17">
        <f>HYPERLINK("https://klasma.github.io/Logging_1863/tillsynsmail/A 60270-2019 tillsynsbegäran mail.docx", "A 60270-2019")</f>
        <v/>
      </c>
    </row>
    <row r="18" ht="15" customHeight="1">
      <c r="A18" t="inlineStr">
        <is>
          <t>A 21860-2020</t>
        </is>
      </c>
      <c r="B18" s="1" t="n">
        <v>43958</v>
      </c>
      <c r="C18" s="1" t="n">
        <v>45731</v>
      </c>
      <c r="D18" t="inlineStr">
        <is>
          <t>ÖREBRO LÄN</t>
        </is>
      </c>
      <c r="E18" t="inlineStr">
        <is>
          <t>HÄLLEFORS</t>
        </is>
      </c>
      <c r="F18" t="inlineStr">
        <is>
          <t>Bergvik skog väst AB</t>
        </is>
      </c>
      <c r="G18" t="n">
        <v>2.6</v>
      </c>
      <c r="H18" t="n">
        <v>0</v>
      </c>
      <c r="I18" t="n">
        <v>0</v>
      </c>
      <c r="J18" t="n">
        <v>1</v>
      </c>
      <c r="K18" t="n">
        <v>0</v>
      </c>
      <c r="L18" t="n">
        <v>0</v>
      </c>
      <c r="M18" t="n">
        <v>0</v>
      </c>
      <c r="N18" t="n">
        <v>0</v>
      </c>
      <c r="O18" t="n">
        <v>1</v>
      </c>
      <c r="P18" t="n">
        <v>0</v>
      </c>
      <c r="Q18" t="n">
        <v>1</v>
      </c>
      <c r="R18" s="2" t="inlineStr">
        <is>
          <t>Vickerglasvinge</t>
        </is>
      </c>
      <c r="S18">
        <f>HYPERLINK("https://klasma.github.io/Logging_1863/artfynd/A 21860-2020 artfynd.xlsx", "A 21860-2020")</f>
        <v/>
      </c>
      <c r="T18">
        <f>HYPERLINK("https://klasma.github.io/Logging_1863/kartor/A 21860-2020 karta.png", "A 21860-2020")</f>
        <v/>
      </c>
      <c r="U18">
        <f>HYPERLINK("https://klasma.github.io/Logging_1863/knärot/A 21860-2020 karta knärot.png", "A 21860-2020")</f>
        <v/>
      </c>
      <c r="V18">
        <f>HYPERLINK("https://klasma.github.io/Logging_1863/klagomål/A 21860-2020 FSC-klagomål.docx", "A 21860-2020")</f>
        <v/>
      </c>
      <c r="W18">
        <f>HYPERLINK("https://klasma.github.io/Logging_1863/klagomålsmail/A 21860-2020 FSC-klagomål mail.docx", "A 21860-2020")</f>
        <v/>
      </c>
      <c r="X18">
        <f>HYPERLINK("https://klasma.github.io/Logging_1863/tillsyn/A 21860-2020 tillsynsbegäran.docx", "A 21860-2020")</f>
        <v/>
      </c>
      <c r="Y18">
        <f>HYPERLINK("https://klasma.github.io/Logging_1863/tillsynsmail/A 21860-2020 tillsynsbegäran mail.docx", "A 21860-2020")</f>
        <v/>
      </c>
    </row>
    <row r="19" ht="15" customHeight="1">
      <c r="A19" t="inlineStr">
        <is>
          <t>A 58764-2020</t>
        </is>
      </c>
      <c r="B19" s="1" t="n">
        <v>44146</v>
      </c>
      <c r="C19" s="1" t="n">
        <v>45731</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128-2021</t>
        </is>
      </c>
      <c r="B20" s="1" t="n">
        <v>44200</v>
      </c>
      <c r="C20" s="1" t="n">
        <v>45731</v>
      </c>
      <c r="D20" t="inlineStr">
        <is>
          <t>ÖREBRO LÄN</t>
        </is>
      </c>
      <c r="E20" t="inlineStr">
        <is>
          <t>HÄLLEFORS</t>
        </is>
      </c>
      <c r="G20" t="n">
        <v>4.3</v>
      </c>
      <c r="H20" t="n">
        <v>1</v>
      </c>
      <c r="I20" t="n">
        <v>1</v>
      </c>
      <c r="J20" t="n">
        <v>0</v>
      </c>
      <c r="K20" t="n">
        <v>0</v>
      </c>
      <c r="L20" t="n">
        <v>0</v>
      </c>
      <c r="M20" t="n">
        <v>0</v>
      </c>
      <c r="N20" t="n">
        <v>0</v>
      </c>
      <c r="O20" t="n">
        <v>0</v>
      </c>
      <c r="P20" t="n">
        <v>0</v>
      </c>
      <c r="Q20" t="n">
        <v>1</v>
      </c>
      <c r="R20" s="2" t="inlineStr">
        <is>
          <t>Purpurknipprot</t>
        </is>
      </c>
      <c r="S20">
        <f>HYPERLINK("https://klasma.github.io/Logging_1863/artfynd/A 128-2021 artfynd.xlsx", "A 128-2021")</f>
        <v/>
      </c>
      <c r="T20">
        <f>HYPERLINK("https://klasma.github.io/Logging_1863/kartor/A 128-2021 karta.png", "A 128-2021")</f>
        <v/>
      </c>
      <c r="V20">
        <f>HYPERLINK("https://klasma.github.io/Logging_1863/klagomål/A 128-2021 FSC-klagomål.docx", "A 128-2021")</f>
        <v/>
      </c>
      <c r="W20">
        <f>HYPERLINK("https://klasma.github.io/Logging_1863/klagomålsmail/A 128-2021 FSC-klagomål mail.docx", "A 128-2021")</f>
        <v/>
      </c>
      <c r="X20">
        <f>HYPERLINK("https://klasma.github.io/Logging_1863/tillsyn/A 128-2021 tillsynsbegäran.docx", "A 128-2021")</f>
        <v/>
      </c>
      <c r="Y20">
        <f>HYPERLINK("https://klasma.github.io/Logging_1863/tillsynsmail/A 128-2021 tillsynsbegäran mail.docx", "A 128-2021")</f>
        <v/>
      </c>
    </row>
    <row r="21" ht="15" customHeight="1">
      <c r="A21" t="inlineStr">
        <is>
          <t>A 52079-2021</t>
        </is>
      </c>
      <c r="B21" s="1" t="n">
        <v>44463</v>
      </c>
      <c r="C21" s="1" t="n">
        <v>45731</v>
      </c>
      <c r="D21" t="inlineStr">
        <is>
          <t>ÖREBRO LÄN</t>
        </is>
      </c>
      <c r="E21" t="inlineStr">
        <is>
          <t>HÄLLEFORS</t>
        </is>
      </c>
      <c r="F21" t="inlineStr">
        <is>
          <t>Bergvik skog väst AB</t>
        </is>
      </c>
      <c r="G21" t="n">
        <v>21.6</v>
      </c>
      <c r="H21" t="n">
        <v>0</v>
      </c>
      <c r="I21" t="n">
        <v>0</v>
      </c>
      <c r="J21" t="n">
        <v>1</v>
      </c>
      <c r="K21" t="n">
        <v>0</v>
      </c>
      <c r="L21" t="n">
        <v>0</v>
      </c>
      <c r="M21" t="n">
        <v>0</v>
      </c>
      <c r="N21" t="n">
        <v>0</v>
      </c>
      <c r="O21" t="n">
        <v>1</v>
      </c>
      <c r="P21" t="n">
        <v>0</v>
      </c>
      <c r="Q21" t="n">
        <v>1</v>
      </c>
      <c r="R21" s="2" t="inlineStr">
        <is>
          <t>Lunglav</t>
        </is>
      </c>
      <c r="S21">
        <f>HYPERLINK("https://klasma.github.io/Logging_1863/artfynd/A 52079-2021 artfynd.xlsx", "A 52079-2021")</f>
        <v/>
      </c>
      <c r="T21">
        <f>HYPERLINK("https://klasma.github.io/Logging_1863/kartor/A 52079-2021 karta.png", "A 52079-2021")</f>
        <v/>
      </c>
      <c r="V21">
        <f>HYPERLINK("https://klasma.github.io/Logging_1863/klagomål/A 52079-2021 FSC-klagomål.docx", "A 52079-2021")</f>
        <v/>
      </c>
      <c r="W21">
        <f>HYPERLINK("https://klasma.github.io/Logging_1863/klagomålsmail/A 52079-2021 FSC-klagomål mail.docx", "A 52079-2021")</f>
        <v/>
      </c>
      <c r="X21">
        <f>HYPERLINK("https://klasma.github.io/Logging_1863/tillsyn/A 52079-2021 tillsynsbegäran.docx", "A 52079-2021")</f>
        <v/>
      </c>
      <c r="Y21">
        <f>HYPERLINK("https://klasma.github.io/Logging_1863/tillsynsmail/A 52079-2021 tillsynsbegäran mail.docx", "A 52079-2021")</f>
        <v/>
      </c>
    </row>
    <row r="22" ht="15" customHeight="1">
      <c r="A22" t="inlineStr">
        <is>
          <t>A 27134-2022</t>
        </is>
      </c>
      <c r="B22" s="1" t="n">
        <v>44741</v>
      </c>
      <c r="C22" s="1" t="n">
        <v>45731</v>
      </c>
      <c r="D22" t="inlineStr">
        <is>
          <t>ÖREBRO LÄN</t>
        </is>
      </c>
      <c r="E22" t="inlineStr">
        <is>
          <t>HÄLLEFORS</t>
        </is>
      </c>
      <c r="F22" t="inlineStr">
        <is>
          <t>Bergvik skog väst AB</t>
        </is>
      </c>
      <c r="G22" t="n">
        <v>8.1</v>
      </c>
      <c r="H22" t="n">
        <v>1</v>
      </c>
      <c r="I22" t="n">
        <v>0</v>
      </c>
      <c r="J22" t="n">
        <v>0</v>
      </c>
      <c r="K22" t="n">
        <v>0</v>
      </c>
      <c r="L22" t="n">
        <v>0</v>
      </c>
      <c r="M22" t="n">
        <v>0</v>
      </c>
      <c r="N22" t="n">
        <v>0</v>
      </c>
      <c r="O22" t="n">
        <v>0</v>
      </c>
      <c r="P22" t="n">
        <v>0</v>
      </c>
      <c r="Q22" t="n">
        <v>1</v>
      </c>
      <c r="R22" s="2" t="inlineStr">
        <is>
          <t>Nattviol</t>
        </is>
      </c>
      <c r="S22">
        <f>HYPERLINK("https://klasma.github.io/Logging_1863/artfynd/A 27134-2022 artfynd.xlsx", "A 27134-2022")</f>
        <v/>
      </c>
      <c r="T22">
        <f>HYPERLINK("https://klasma.github.io/Logging_1863/kartor/A 27134-2022 karta.png", "A 27134-2022")</f>
        <v/>
      </c>
      <c r="V22">
        <f>HYPERLINK("https://klasma.github.io/Logging_1863/klagomål/A 27134-2022 FSC-klagomål.docx", "A 27134-2022")</f>
        <v/>
      </c>
      <c r="W22">
        <f>HYPERLINK("https://klasma.github.io/Logging_1863/klagomålsmail/A 27134-2022 FSC-klagomål mail.docx", "A 27134-2022")</f>
        <v/>
      </c>
      <c r="X22">
        <f>HYPERLINK("https://klasma.github.io/Logging_1863/tillsyn/A 27134-2022 tillsynsbegäran.docx", "A 27134-2022")</f>
        <v/>
      </c>
      <c r="Y22">
        <f>HYPERLINK("https://klasma.github.io/Logging_1863/tillsynsmail/A 27134-2022 tillsynsbegäran mail.docx", "A 27134-2022")</f>
        <v/>
      </c>
    </row>
    <row r="23" ht="15" customHeight="1">
      <c r="A23" t="inlineStr">
        <is>
          <t>A 39540-2022</t>
        </is>
      </c>
      <c r="B23" s="1" t="n">
        <v>44818</v>
      </c>
      <c r="C23" s="1" t="n">
        <v>45731</v>
      </c>
      <c r="D23" t="inlineStr">
        <is>
          <t>ÖREBRO LÄN</t>
        </is>
      </c>
      <c r="E23" t="inlineStr">
        <is>
          <t>HÄLLEFORS</t>
        </is>
      </c>
      <c r="G23" t="n">
        <v>0.5</v>
      </c>
      <c r="H23" t="n">
        <v>0</v>
      </c>
      <c r="I23" t="n">
        <v>1</v>
      </c>
      <c r="J23" t="n">
        <v>0</v>
      </c>
      <c r="K23" t="n">
        <v>0</v>
      </c>
      <c r="L23" t="n">
        <v>0</v>
      </c>
      <c r="M23" t="n">
        <v>0</v>
      </c>
      <c r="N23" t="n">
        <v>0</v>
      </c>
      <c r="O23" t="n">
        <v>0</v>
      </c>
      <c r="P23" t="n">
        <v>0</v>
      </c>
      <c r="Q23" t="n">
        <v>1</v>
      </c>
      <c r="R23" s="2" t="inlineStr">
        <is>
          <t>Norrlandslav</t>
        </is>
      </c>
      <c r="S23">
        <f>HYPERLINK("https://klasma.github.io/Logging_1863/artfynd/A 39540-2022 artfynd.xlsx", "A 39540-2022")</f>
        <v/>
      </c>
      <c r="T23">
        <f>HYPERLINK("https://klasma.github.io/Logging_1863/kartor/A 39540-2022 karta.png", "A 39540-2022")</f>
        <v/>
      </c>
      <c r="V23">
        <f>HYPERLINK("https://klasma.github.io/Logging_1863/klagomål/A 39540-2022 FSC-klagomål.docx", "A 39540-2022")</f>
        <v/>
      </c>
      <c r="W23">
        <f>HYPERLINK("https://klasma.github.io/Logging_1863/klagomålsmail/A 39540-2022 FSC-klagomål mail.docx", "A 39540-2022")</f>
        <v/>
      </c>
      <c r="X23">
        <f>HYPERLINK("https://klasma.github.io/Logging_1863/tillsyn/A 39540-2022 tillsynsbegäran.docx", "A 39540-2022")</f>
        <v/>
      </c>
      <c r="Y23">
        <f>HYPERLINK("https://klasma.github.io/Logging_1863/tillsynsmail/A 39540-2022 tillsynsbegäran mail.docx", "A 39540-2022")</f>
        <v/>
      </c>
    </row>
    <row r="24" ht="15" customHeight="1">
      <c r="A24" t="inlineStr">
        <is>
          <t>A 54267-2022</t>
        </is>
      </c>
      <c r="B24" s="1" t="n">
        <v>44882</v>
      </c>
      <c r="C24" s="1" t="n">
        <v>45731</v>
      </c>
      <c r="D24" t="inlineStr">
        <is>
          <t>ÖREBRO LÄN</t>
        </is>
      </c>
      <c r="E24" t="inlineStr">
        <is>
          <t>HÄLLEFORS</t>
        </is>
      </c>
      <c r="F24" t="inlineStr">
        <is>
          <t>Bergvik skog väst AB</t>
        </is>
      </c>
      <c r="G24" t="n">
        <v>1.3</v>
      </c>
      <c r="H24" t="n">
        <v>1</v>
      </c>
      <c r="I24" t="n">
        <v>0</v>
      </c>
      <c r="J24" t="n">
        <v>0</v>
      </c>
      <c r="K24" t="n">
        <v>1</v>
      </c>
      <c r="L24" t="n">
        <v>0</v>
      </c>
      <c r="M24" t="n">
        <v>0</v>
      </c>
      <c r="N24" t="n">
        <v>0</v>
      </c>
      <c r="O24" t="n">
        <v>1</v>
      </c>
      <c r="P24" t="n">
        <v>1</v>
      </c>
      <c r="Q24" t="n">
        <v>1</v>
      </c>
      <c r="R24" s="2" t="inlineStr">
        <is>
          <t>Knärot</t>
        </is>
      </c>
      <c r="S24">
        <f>HYPERLINK("https://klasma.github.io/Logging_1863/artfynd/A 54267-2022 artfynd.xlsx", "A 54267-2022")</f>
        <v/>
      </c>
      <c r="T24">
        <f>HYPERLINK("https://klasma.github.io/Logging_1863/kartor/A 54267-2022 karta.png", "A 54267-2022")</f>
        <v/>
      </c>
      <c r="U24">
        <f>HYPERLINK("https://klasma.github.io/Logging_1863/knärot/A 54267-2022 karta knärot.png", "A 54267-2022")</f>
        <v/>
      </c>
      <c r="V24">
        <f>HYPERLINK("https://klasma.github.io/Logging_1863/klagomål/A 54267-2022 FSC-klagomål.docx", "A 54267-2022")</f>
        <v/>
      </c>
      <c r="W24">
        <f>HYPERLINK("https://klasma.github.io/Logging_1863/klagomålsmail/A 54267-2022 FSC-klagomål mail.docx", "A 54267-2022")</f>
        <v/>
      </c>
      <c r="X24">
        <f>HYPERLINK("https://klasma.github.io/Logging_1863/tillsyn/A 54267-2022 tillsynsbegäran.docx", "A 54267-2022")</f>
        <v/>
      </c>
      <c r="Y24">
        <f>HYPERLINK("https://klasma.github.io/Logging_1863/tillsynsmail/A 54267-2022 tillsynsbegäran mail.docx", "A 54267-2022")</f>
        <v/>
      </c>
    </row>
    <row r="25" ht="15" customHeight="1">
      <c r="A25" t="inlineStr">
        <is>
          <t>A 60162-2022</t>
        </is>
      </c>
      <c r="B25" s="1" t="n">
        <v>44909</v>
      </c>
      <c r="C25" s="1" t="n">
        <v>45731</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4652-2023</t>
        </is>
      </c>
      <c r="B26" s="1" t="n">
        <v>44957</v>
      </c>
      <c r="C26" s="1" t="n">
        <v>45731</v>
      </c>
      <c r="D26" t="inlineStr">
        <is>
          <t>ÖREBRO LÄN</t>
        </is>
      </c>
      <c r="E26" t="inlineStr">
        <is>
          <t>HÄLLEFORS</t>
        </is>
      </c>
      <c r="G26" t="n">
        <v>2.5</v>
      </c>
      <c r="H26" t="n">
        <v>0</v>
      </c>
      <c r="I26" t="n">
        <v>0</v>
      </c>
      <c r="J26" t="n">
        <v>1</v>
      </c>
      <c r="K26" t="n">
        <v>0</v>
      </c>
      <c r="L26" t="n">
        <v>0</v>
      </c>
      <c r="M26" t="n">
        <v>0</v>
      </c>
      <c r="N26" t="n">
        <v>0</v>
      </c>
      <c r="O26" t="n">
        <v>1</v>
      </c>
      <c r="P26" t="n">
        <v>0</v>
      </c>
      <c r="Q26" t="n">
        <v>1</v>
      </c>
      <c r="R26" s="2" t="inlineStr">
        <is>
          <t>Vedtrappmossa</t>
        </is>
      </c>
      <c r="S26">
        <f>HYPERLINK("https://klasma.github.io/Logging_1863/artfynd/A 4652-2023 artfynd.xlsx", "A 4652-2023")</f>
        <v/>
      </c>
      <c r="T26">
        <f>HYPERLINK("https://klasma.github.io/Logging_1863/kartor/A 4652-2023 karta.png", "A 4652-2023")</f>
        <v/>
      </c>
      <c r="V26">
        <f>HYPERLINK("https://klasma.github.io/Logging_1863/klagomål/A 4652-2023 FSC-klagomål.docx", "A 4652-2023")</f>
        <v/>
      </c>
      <c r="W26">
        <f>HYPERLINK("https://klasma.github.io/Logging_1863/klagomålsmail/A 4652-2023 FSC-klagomål mail.docx", "A 4652-2023")</f>
        <v/>
      </c>
      <c r="X26">
        <f>HYPERLINK("https://klasma.github.io/Logging_1863/tillsyn/A 4652-2023 tillsynsbegäran.docx", "A 4652-2023")</f>
        <v/>
      </c>
      <c r="Y26">
        <f>HYPERLINK("https://klasma.github.io/Logging_1863/tillsynsmail/A 4652-2023 tillsynsbegäran mail.docx", "A 4652-2023")</f>
        <v/>
      </c>
    </row>
    <row r="27" ht="15" customHeight="1">
      <c r="A27" t="inlineStr">
        <is>
          <t>A 24357-2023</t>
        </is>
      </c>
      <c r="B27" s="1" t="n">
        <v>45082</v>
      </c>
      <c r="C27" s="1" t="n">
        <v>45731</v>
      </c>
      <c r="D27" t="inlineStr">
        <is>
          <t>ÖREBRO LÄN</t>
        </is>
      </c>
      <c r="E27" t="inlineStr">
        <is>
          <t>HÄLLEFORS</t>
        </is>
      </c>
      <c r="F27" t="inlineStr">
        <is>
          <t>Sveaskog</t>
        </is>
      </c>
      <c r="G27" t="n">
        <v>9</v>
      </c>
      <c r="H27" t="n">
        <v>1</v>
      </c>
      <c r="I27" t="n">
        <v>0</v>
      </c>
      <c r="J27" t="n">
        <v>0</v>
      </c>
      <c r="K27" t="n">
        <v>0</v>
      </c>
      <c r="L27" t="n">
        <v>0</v>
      </c>
      <c r="M27" t="n">
        <v>0</v>
      </c>
      <c r="N27" t="n">
        <v>0</v>
      </c>
      <c r="O27" t="n">
        <v>0</v>
      </c>
      <c r="P27" t="n">
        <v>0</v>
      </c>
      <c r="Q27" t="n">
        <v>1</v>
      </c>
      <c r="R27" s="2" t="inlineStr">
        <is>
          <t>Fläcknycklar</t>
        </is>
      </c>
      <c r="S27">
        <f>HYPERLINK("https://klasma.github.io/Logging_1863/artfynd/A 24357-2023 artfynd.xlsx", "A 24357-2023")</f>
        <v/>
      </c>
      <c r="T27">
        <f>HYPERLINK("https://klasma.github.io/Logging_1863/kartor/A 24357-2023 karta.png", "A 24357-2023")</f>
        <v/>
      </c>
      <c r="V27">
        <f>HYPERLINK("https://klasma.github.io/Logging_1863/klagomål/A 24357-2023 FSC-klagomål.docx", "A 24357-2023")</f>
        <v/>
      </c>
      <c r="W27">
        <f>HYPERLINK("https://klasma.github.io/Logging_1863/klagomålsmail/A 24357-2023 FSC-klagomål mail.docx", "A 24357-2023")</f>
        <v/>
      </c>
      <c r="X27">
        <f>HYPERLINK("https://klasma.github.io/Logging_1863/tillsyn/A 24357-2023 tillsynsbegäran.docx", "A 24357-2023")</f>
        <v/>
      </c>
      <c r="Y27">
        <f>HYPERLINK("https://klasma.github.io/Logging_1863/tillsynsmail/A 24357-2023 tillsynsbegäran mail.docx", "A 24357-2023")</f>
        <v/>
      </c>
    </row>
    <row r="28" ht="15" customHeight="1">
      <c r="A28" t="inlineStr">
        <is>
          <t>A 41834-2023</t>
        </is>
      </c>
      <c r="B28" s="1" t="n">
        <v>45176</v>
      </c>
      <c r="C28" s="1" t="n">
        <v>45731</v>
      </c>
      <c r="D28" t="inlineStr">
        <is>
          <t>ÖREBRO LÄN</t>
        </is>
      </c>
      <c r="E28" t="inlineStr">
        <is>
          <t>HÄLLEFORS</t>
        </is>
      </c>
      <c r="F28" t="inlineStr">
        <is>
          <t>Bergvik skog väst AB</t>
        </is>
      </c>
      <c r="G28" t="n">
        <v>3.4</v>
      </c>
      <c r="H28" t="n">
        <v>1</v>
      </c>
      <c r="I28" t="n">
        <v>1</v>
      </c>
      <c r="J28" t="n">
        <v>0</v>
      </c>
      <c r="K28" t="n">
        <v>0</v>
      </c>
      <c r="L28" t="n">
        <v>0</v>
      </c>
      <c r="M28" t="n">
        <v>0</v>
      </c>
      <c r="N28" t="n">
        <v>0</v>
      </c>
      <c r="O28" t="n">
        <v>0</v>
      </c>
      <c r="P28" t="n">
        <v>0</v>
      </c>
      <c r="Q28" t="n">
        <v>1</v>
      </c>
      <c r="R28" s="2" t="inlineStr">
        <is>
          <t>Plattlummer</t>
        </is>
      </c>
      <c r="S28">
        <f>HYPERLINK("https://klasma.github.io/Logging_1863/artfynd/A 41834-2023 artfynd.xlsx", "A 41834-2023")</f>
        <v/>
      </c>
      <c r="T28">
        <f>HYPERLINK("https://klasma.github.io/Logging_1863/kartor/A 41834-2023 karta.png", "A 41834-2023")</f>
        <v/>
      </c>
      <c r="V28">
        <f>HYPERLINK("https://klasma.github.io/Logging_1863/klagomål/A 41834-2023 FSC-klagomål.docx", "A 41834-2023")</f>
        <v/>
      </c>
      <c r="W28">
        <f>HYPERLINK("https://klasma.github.io/Logging_1863/klagomålsmail/A 41834-2023 FSC-klagomål mail.docx", "A 41834-2023")</f>
        <v/>
      </c>
      <c r="X28">
        <f>HYPERLINK("https://klasma.github.io/Logging_1863/tillsyn/A 41834-2023 tillsynsbegäran.docx", "A 41834-2023")</f>
        <v/>
      </c>
      <c r="Y28">
        <f>HYPERLINK("https://klasma.github.io/Logging_1863/tillsynsmail/A 41834-2023 tillsynsbegäran mail.docx", "A 41834-2023")</f>
        <v/>
      </c>
    </row>
    <row r="29" ht="15" customHeight="1">
      <c r="A29" t="inlineStr">
        <is>
          <t>A 55623-2023</t>
        </is>
      </c>
      <c r="B29" s="1" t="n">
        <v>45238</v>
      </c>
      <c r="C29" s="1" t="n">
        <v>45731</v>
      </c>
      <c r="D29" t="inlineStr">
        <is>
          <t>ÖREBRO LÄN</t>
        </is>
      </c>
      <c r="E29" t="inlineStr">
        <is>
          <t>HÄLLEFORS</t>
        </is>
      </c>
      <c r="G29" t="n">
        <v>5.8</v>
      </c>
      <c r="H29" t="n">
        <v>0</v>
      </c>
      <c r="I29" t="n">
        <v>1</v>
      </c>
      <c r="J29" t="n">
        <v>0</v>
      </c>
      <c r="K29" t="n">
        <v>0</v>
      </c>
      <c r="L29" t="n">
        <v>0</v>
      </c>
      <c r="M29" t="n">
        <v>0</v>
      </c>
      <c r="N29" t="n">
        <v>0</v>
      </c>
      <c r="O29" t="n">
        <v>0</v>
      </c>
      <c r="P29" t="n">
        <v>0</v>
      </c>
      <c r="Q29" t="n">
        <v>1</v>
      </c>
      <c r="R29" s="2" t="inlineStr">
        <is>
          <t>Norrlandslav</t>
        </is>
      </c>
      <c r="S29">
        <f>HYPERLINK("https://klasma.github.io/Logging_1863/artfynd/A 55623-2023 artfynd.xlsx", "A 55623-2023")</f>
        <v/>
      </c>
      <c r="T29">
        <f>HYPERLINK("https://klasma.github.io/Logging_1863/kartor/A 55623-2023 karta.png", "A 55623-2023")</f>
        <v/>
      </c>
      <c r="V29">
        <f>HYPERLINK("https://klasma.github.io/Logging_1863/klagomål/A 55623-2023 FSC-klagomål.docx", "A 55623-2023")</f>
        <v/>
      </c>
      <c r="W29">
        <f>HYPERLINK("https://klasma.github.io/Logging_1863/klagomålsmail/A 55623-2023 FSC-klagomål mail.docx", "A 55623-2023")</f>
        <v/>
      </c>
      <c r="X29">
        <f>HYPERLINK("https://klasma.github.io/Logging_1863/tillsyn/A 55623-2023 tillsynsbegäran.docx", "A 55623-2023")</f>
        <v/>
      </c>
      <c r="Y29">
        <f>HYPERLINK("https://klasma.github.io/Logging_1863/tillsynsmail/A 55623-2023 tillsynsbegäran mail.docx", "A 55623-2023")</f>
        <v/>
      </c>
    </row>
    <row r="30" ht="15" customHeight="1">
      <c r="A30" t="inlineStr">
        <is>
          <t>A 14985-2024</t>
        </is>
      </c>
      <c r="B30" s="1" t="n">
        <v>45399</v>
      </c>
      <c r="C30" s="1" t="n">
        <v>45731</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28598-2024</t>
        </is>
      </c>
      <c r="B31" s="1" t="n">
        <v>45478</v>
      </c>
      <c r="C31" s="1" t="n">
        <v>45731</v>
      </c>
      <c r="D31" t="inlineStr">
        <is>
          <t>ÖREBRO LÄN</t>
        </is>
      </c>
      <c r="E31" t="inlineStr">
        <is>
          <t>HÄLLEFORS</t>
        </is>
      </c>
      <c r="F31" t="inlineStr">
        <is>
          <t>Bergvik skog väst AB</t>
        </is>
      </c>
      <c r="G31" t="n">
        <v>11.3</v>
      </c>
      <c r="H31" t="n">
        <v>0</v>
      </c>
      <c r="I31" t="n">
        <v>0</v>
      </c>
      <c r="J31" t="n">
        <v>1</v>
      </c>
      <c r="K31" t="n">
        <v>0</v>
      </c>
      <c r="L31" t="n">
        <v>0</v>
      </c>
      <c r="M31" t="n">
        <v>0</v>
      </c>
      <c r="N31" t="n">
        <v>0</v>
      </c>
      <c r="O31" t="n">
        <v>1</v>
      </c>
      <c r="P31" t="n">
        <v>0</v>
      </c>
      <c r="Q31" t="n">
        <v>1</v>
      </c>
      <c r="R31" s="2" t="inlineStr">
        <is>
          <t>Brunklöver</t>
        </is>
      </c>
      <c r="S31">
        <f>HYPERLINK("https://klasma.github.io/Logging_1863/artfynd/A 28598-2024 artfynd.xlsx", "A 28598-2024")</f>
        <v/>
      </c>
      <c r="T31">
        <f>HYPERLINK("https://klasma.github.io/Logging_1863/kartor/A 28598-2024 karta.png", "A 28598-2024")</f>
        <v/>
      </c>
      <c r="V31">
        <f>HYPERLINK("https://klasma.github.io/Logging_1863/klagomål/A 28598-2024 FSC-klagomål.docx", "A 28598-2024")</f>
        <v/>
      </c>
      <c r="W31">
        <f>HYPERLINK("https://klasma.github.io/Logging_1863/klagomålsmail/A 28598-2024 FSC-klagomål mail.docx", "A 28598-2024")</f>
        <v/>
      </c>
      <c r="X31">
        <f>HYPERLINK("https://klasma.github.io/Logging_1863/tillsyn/A 28598-2024 tillsynsbegäran.docx", "A 28598-2024")</f>
        <v/>
      </c>
      <c r="Y31">
        <f>HYPERLINK("https://klasma.github.io/Logging_1863/tillsynsmail/A 28598-2024 tillsynsbegäran mail.docx", "A 28598-2024")</f>
        <v/>
      </c>
    </row>
    <row r="32" ht="15" customHeight="1">
      <c r="A32" t="inlineStr">
        <is>
          <t>A 39105-2024</t>
        </is>
      </c>
      <c r="B32" s="1" t="n">
        <v>45548</v>
      </c>
      <c r="C32" s="1" t="n">
        <v>45731</v>
      </c>
      <c r="D32" t="inlineStr">
        <is>
          <t>ÖREBRO LÄN</t>
        </is>
      </c>
      <c r="E32" t="inlineStr">
        <is>
          <t>HÄLLEFORS</t>
        </is>
      </c>
      <c r="G32" t="n">
        <v>3.3</v>
      </c>
      <c r="H32" t="n">
        <v>0</v>
      </c>
      <c r="I32" t="n">
        <v>0</v>
      </c>
      <c r="J32" t="n">
        <v>0</v>
      </c>
      <c r="K32" t="n">
        <v>1</v>
      </c>
      <c r="L32" t="n">
        <v>0</v>
      </c>
      <c r="M32" t="n">
        <v>0</v>
      </c>
      <c r="N32" t="n">
        <v>0</v>
      </c>
      <c r="O32" t="n">
        <v>1</v>
      </c>
      <c r="P32" t="n">
        <v>1</v>
      </c>
      <c r="Q32" t="n">
        <v>1</v>
      </c>
      <c r="R32" s="2" t="inlineStr">
        <is>
          <t>Trollsmultron</t>
        </is>
      </c>
      <c r="S32">
        <f>HYPERLINK("https://klasma.github.io/Logging_1863/artfynd/A 39105-2024 artfynd.xlsx", "A 39105-2024")</f>
        <v/>
      </c>
      <c r="T32">
        <f>HYPERLINK("https://klasma.github.io/Logging_1863/kartor/A 39105-2024 karta.png", "A 39105-2024")</f>
        <v/>
      </c>
      <c r="V32">
        <f>HYPERLINK("https://klasma.github.io/Logging_1863/klagomål/A 39105-2024 FSC-klagomål.docx", "A 39105-2024")</f>
        <v/>
      </c>
      <c r="W32">
        <f>HYPERLINK("https://klasma.github.io/Logging_1863/klagomålsmail/A 39105-2024 FSC-klagomål mail.docx", "A 39105-2024")</f>
        <v/>
      </c>
      <c r="X32">
        <f>HYPERLINK("https://klasma.github.io/Logging_1863/tillsyn/A 39105-2024 tillsynsbegäran.docx", "A 39105-2024")</f>
        <v/>
      </c>
      <c r="Y32">
        <f>HYPERLINK("https://klasma.github.io/Logging_1863/tillsynsmail/A 39105-2024 tillsynsbegäran mail.docx", "A 39105-2024")</f>
        <v/>
      </c>
    </row>
    <row r="33" ht="15" customHeight="1">
      <c r="A33" t="inlineStr">
        <is>
          <t>A 44781-2024</t>
        </is>
      </c>
      <c r="B33" s="1" t="n">
        <v>45574</v>
      </c>
      <c r="C33" s="1" t="n">
        <v>45731</v>
      </c>
      <c r="D33" t="inlineStr">
        <is>
          <t>ÖREBRO LÄN</t>
        </is>
      </c>
      <c r="E33" t="inlineStr">
        <is>
          <t>HÄLLEFORS</t>
        </is>
      </c>
      <c r="F33" t="inlineStr">
        <is>
          <t>Sveaskog</t>
        </is>
      </c>
      <c r="G33" t="n">
        <v>2.7</v>
      </c>
      <c r="H33" t="n">
        <v>0</v>
      </c>
      <c r="I33" t="n">
        <v>1</v>
      </c>
      <c r="J33" t="n">
        <v>0</v>
      </c>
      <c r="K33" t="n">
        <v>0</v>
      </c>
      <c r="L33" t="n">
        <v>0</v>
      </c>
      <c r="M33" t="n">
        <v>0</v>
      </c>
      <c r="N33" t="n">
        <v>0</v>
      </c>
      <c r="O33" t="n">
        <v>0</v>
      </c>
      <c r="P33" t="n">
        <v>0</v>
      </c>
      <c r="Q33" t="n">
        <v>1</v>
      </c>
      <c r="R33" s="2" t="inlineStr">
        <is>
          <t>Rödgul trumpetsvamp</t>
        </is>
      </c>
      <c r="S33">
        <f>HYPERLINK("https://klasma.github.io/Logging_1863/artfynd/A 44781-2024 artfynd.xlsx", "A 44781-2024")</f>
        <v/>
      </c>
      <c r="T33">
        <f>HYPERLINK("https://klasma.github.io/Logging_1863/kartor/A 44781-2024 karta.png", "A 44781-2024")</f>
        <v/>
      </c>
      <c r="V33">
        <f>HYPERLINK("https://klasma.github.io/Logging_1863/klagomål/A 44781-2024 FSC-klagomål.docx", "A 44781-2024")</f>
        <v/>
      </c>
      <c r="W33">
        <f>HYPERLINK("https://klasma.github.io/Logging_1863/klagomålsmail/A 44781-2024 FSC-klagomål mail.docx", "A 44781-2024")</f>
        <v/>
      </c>
      <c r="X33">
        <f>HYPERLINK("https://klasma.github.io/Logging_1863/tillsyn/A 44781-2024 tillsynsbegäran.docx", "A 44781-2024")</f>
        <v/>
      </c>
      <c r="Y33">
        <f>HYPERLINK("https://klasma.github.io/Logging_1863/tillsynsmail/A 44781-2024 tillsynsbegäran mail.docx", "A 44781-2024")</f>
        <v/>
      </c>
    </row>
    <row r="34" ht="15" customHeight="1">
      <c r="A34" t="inlineStr">
        <is>
          <t>A 55749-2024</t>
        </is>
      </c>
      <c r="B34" s="1" t="n">
        <v>45623</v>
      </c>
      <c r="C34" s="1" t="n">
        <v>45731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421-2025</t>
        </is>
      </c>
      <c r="B35" s="1" t="n">
        <v>45663</v>
      </c>
      <c r="C35" s="1" t="n">
        <v>45731</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5244-2025</t>
        </is>
      </c>
      <c r="B36" s="1" t="n">
        <v>45692</v>
      </c>
      <c r="C36" s="1" t="n">
        <v>45731</v>
      </c>
      <c r="D36" t="inlineStr">
        <is>
          <t>ÖREBRO LÄN</t>
        </is>
      </c>
      <c r="E36" t="inlineStr">
        <is>
          <t>HÄLLEFORS</t>
        </is>
      </c>
      <c r="F36" t="inlineStr">
        <is>
          <t>Bergvik skog väst AB</t>
        </is>
      </c>
      <c r="G36" t="n">
        <v>9.199999999999999</v>
      </c>
      <c r="H36" t="n">
        <v>0</v>
      </c>
      <c r="I36" t="n">
        <v>0</v>
      </c>
      <c r="J36" t="n">
        <v>1</v>
      </c>
      <c r="K36" t="n">
        <v>0</v>
      </c>
      <c r="L36" t="n">
        <v>0</v>
      </c>
      <c r="M36" t="n">
        <v>0</v>
      </c>
      <c r="N36" t="n">
        <v>0</v>
      </c>
      <c r="O36" t="n">
        <v>1</v>
      </c>
      <c r="P36" t="n">
        <v>0</v>
      </c>
      <c r="Q36" t="n">
        <v>1</v>
      </c>
      <c r="R36" s="2" t="inlineStr">
        <is>
          <t>Lunglav</t>
        </is>
      </c>
      <c r="S36">
        <f>HYPERLINK("https://klasma.github.io/Logging_1863/artfynd/A 5244-2025 artfynd.xlsx", "A 5244-2025")</f>
        <v/>
      </c>
      <c r="T36">
        <f>HYPERLINK("https://klasma.github.io/Logging_1863/kartor/A 5244-2025 karta.png", "A 5244-2025")</f>
        <v/>
      </c>
      <c r="V36">
        <f>HYPERLINK("https://klasma.github.io/Logging_1863/klagomål/A 5244-2025 FSC-klagomål.docx", "A 5244-2025")</f>
        <v/>
      </c>
      <c r="W36">
        <f>HYPERLINK("https://klasma.github.io/Logging_1863/klagomålsmail/A 5244-2025 FSC-klagomål mail.docx", "A 5244-2025")</f>
        <v/>
      </c>
      <c r="X36">
        <f>HYPERLINK("https://klasma.github.io/Logging_1863/tillsyn/A 5244-2025 tillsynsbegäran.docx", "A 5244-2025")</f>
        <v/>
      </c>
      <c r="Y36">
        <f>HYPERLINK("https://klasma.github.io/Logging_1863/tillsynsmail/A 5244-2025 tillsynsbegäran mail.docx", "A 5244-2025")</f>
        <v/>
      </c>
    </row>
    <row r="37" ht="15" customHeight="1">
      <c r="A37" t="inlineStr">
        <is>
          <t>A 21399-2019</t>
        </is>
      </c>
      <c r="B37" s="1" t="n">
        <v>43580</v>
      </c>
      <c r="C37" s="1" t="n">
        <v>45731</v>
      </c>
      <c r="D37" t="inlineStr">
        <is>
          <t>ÖREBRO LÄN</t>
        </is>
      </c>
      <c r="E37" t="inlineStr">
        <is>
          <t>HÄLLEFORS</t>
        </is>
      </c>
      <c r="G37" t="n">
        <v>1.4</v>
      </c>
      <c r="H37" t="n">
        <v>0</v>
      </c>
      <c r="I37" t="n">
        <v>0</v>
      </c>
      <c r="J37" t="n">
        <v>0</v>
      </c>
      <c r="K37" t="n">
        <v>0</v>
      </c>
      <c r="L37" t="n">
        <v>0</v>
      </c>
      <c r="M37" t="n">
        <v>0</v>
      </c>
      <c r="N37" t="n">
        <v>0</v>
      </c>
      <c r="O37" t="n">
        <v>0</v>
      </c>
      <c r="P37" t="n">
        <v>0</v>
      </c>
      <c r="Q37" t="n">
        <v>0</v>
      </c>
      <c r="R37" s="2" t="inlineStr"/>
    </row>
    <row r="38" ht="15" customHeight="1">
      <c r="A38" t="inlineStr">
        <is>
          <t>A 22348-2019</t>
        </is>
      </c>
      <c r="B38" s="1" t="n">
        <v>43587</v>
      </c>
      <c r="C38" s="1" t="n">
        <v>45731</v>
      </c>
      <c r="D38" t="inlineStr">
        <is>
          <t>ÖREBRO LÄN</t>
        </is>
      </c>
      <c r="E38" t="inlineStr">
        <is>
          <t>HÄLLEFORS</t>
        </is>
      </c>
      <c r="G38" t="n">
        <v>3.5</v>
      </c>
      <c r="H38" t="n">
        <v>0</v>
      </c>
      <c r="I38" t="n">
        <v>0</v>
      </c>
      <c r="J38" t="n">
        <v>0</v>
      </c>
      <c r="K38" t="n">
        <v>0</v>
      </c>
      <c r="L38" t="n">
        <v>0</v>
      </c>
      <c r="M38" t="n">
        <v>0</v>
      </c>
      <c r="N38" t="n">
        <v>0</v>
      </c>
      <c r="O38" t="n">
        <v>0</v>
      </c>
      <c r="P38" t="n">
        <v>0</v>
      </c>
      <c r="Q38" t="n">
        <v>0</v>
      </c>
      <c r="R38" s="2" t="inlineStr"/>
    </row>
    <row r="39" ht="15" customHeight="1">
      <c r="A39" t="inlineStr">
        <is>
          <t>A 24477-2019</t>
        </is>
      </c>
      <c r="B39" s="1" t="n">
        <v>43600</v>
      </c>
      <c r="C39" s="1" t="n">
        <v>45731</v>
      </c>
      <c r="D39" t="inlineStr">
        <is>
          <t>ÖREBRO LÄN</t>
        </is>
      </c>
      <c r="E39" t="inlineStr">
        <is>
          <t>HÄLLEFORS</t>
        </is>
      </c>
      <c r="G39" t="n">
        <v>1.7</v>
      </c>
      <c r="H39" t="n">
        <v>0</v>
      </c>
      <c r="I39" t="n">
        <v>0</v>
      </c>
      <c r="J39" t="n">
        <v>0</v>
      </c>
      <c r="K39" t="n">
        <v>0</v>
      </c>
      <c r="L39" t="n">
        <v>0</v>
      </c>
      <c r="M39" t="n">
        <v>0</v>
      </c>
      <c r="N39" t="n">
        <v>0</v>
      </c>
      <c r="O39" t="n">
        <v>0</v>
      </c>
      <c r="P39" t="n">
        <v>0</v>
      </c>
      <c r="Q39" t="n">
        <v>0</v>
      </c>
      <c r="R39" s="2" t="inlineStr"/>
    </row>
    <row r="40" ht="15" customHeight="1">
      <c r="A40" t="inlineStr">
        <is>
          <t>A 24459-2019</t>
        </is>
      </c>
      <c r="B40" s="1" t="n">
        <v>43600</v>
      </c>
      <c r="C40" s="1" t="n">
        <v>45731</v>
      </c>
      <c r="D40" t="inlineStr">
        <is>
          <t>ÖREBRO LÄN</t>
        </is>
      </c>
      <c r="E40" t="inlineStr">
        <is>
          <t>HÄLLEFORS</t>
        </is>
      </c>
      <c r="G40" t="n">
        <v>7.1</v>
      </c>
      <c r="H40" t="n">
        <v>0</v>
      </c>
      <c r="I40" t="n">
        <v>0</v>
      </c>
      <c r="J40" t="n">
        <v>0</v>
      </c>
      <c r="K40" t="n">
        <v>0</v>
      </c>
      <c r="L40" t="n">
        <v>0</v>
      </c>
      <c r="M40" t="n">
        <v>0</v>
      </c>
      <c r="N40" t="n">
        <v>0</v>
      </c>
      <c r="O40" t="n">
        <v>0</v>
      </c>
      <c r="P40" t="n">
        <v>0</v>
      </c>
      <c r="Q40" t="n">
        <v>0</v>
      </c>
      <c r="R40" s="2" t="inlineStr"/>
    </row>
    <row r="41" ht="15" customHeight="1">
      <c r="A41" t="inlineStr">
        <is>
          <t>A 30719-2019</t>
        </is>
      </c>
      <c r="B41" s="1" t="n">
        <v>43636</v>
      </c>
      <c r="C41" s="1" t="n">
        <v>45731</v>
      </c>
      <c r="D41" t="inlineStr">
        <is>
          <t>ÖREBRO LÄN</t>
        </is>
      </c>
      <c r="E41" t="inlineStr">
        <is>
          <t>HÄLLEFORS</t>
        </is>
      </c>
      <c r="F41" t="inlineStr">
        <is>
          <t>Bergvik skog väst AB</t>
        </is>
      </c>
      <c r="G41" t="n">
        <v>3.7</v>
      </c>
      <c r="H41" t="n">
        <v>0</v>
      </c>
      <c r="I41" t="n">
        <v>0</v>
      </c>
      <c r="J41" t="n">
        <v>0</v>
      </c>
      <c r="K41" t="n">
        <v>0</v>
      </c>
      <c r="L41" t="n">
        <v>0</v>
      </c>
      <c r="M41" t="n">
        <v>0</v>
      </c>
      <c r="N41" t="n">
        <v>0</v>
      </c>
      <c r="O41" t="n">
        <v>0</v>
      </c>
      <c r="P41" t="n">
        <v>0</v>
      </c>
      <c r="Q41" t="n">
        <v>0</v>
      </c>
      <c r="R41" s="2" t="inlineStr"/>
    </row>
    <row r="42" ht="15" customHeight="1">
      <c r="A42" t="inlineStr">
        <is>
          <t>A 33102-2019</t>
        </is>
      </c>
      <c r="B42" s="1" t="n">
        <v>43649</v>
      </c>
      <c r="C42" s="1" t="n">
        <v>45731</v>
      </c>
      <c r="D42" t="inlineStr">
        <is>
          <t>ÖREBRO LÄN</t>
        </is>
      </c>
      <c r="E42" t="inlineStr">
        <is>
          <t>HÄLLEFORS</t>
        </is>
      </c>
      <c r="G42" t="n">
        <v>1.6</v>
      </c>
      <c r="H42" t="n">
        <v>0</v>
      </c>
      <c r="I42" t="n">
        <v>0</v>
      </c>
      <c r="J42" t="n">
        <v>0</v>
      </c>
      <c r="K42" t="n">
        <v>0</v>
      </c>
      <c r="L42" t="n">
        <v>0</v>
      </c>
      <c r="M42" t="n">
        <v>0</v>
      </c>
      <c r="N42" t="n">
        <v>0</v>
      </c>
      <c r="O42" t="n">
        <v>0</v>
      </c>
      <c r="P42" t="n">
        <v>0</v>
      </c>
      <c r="Q42" t="n">
        <v>0</v>
      </c>
      <c r="R42" s="2" t="inlineStr"/>
    </row>
    <row r="43" ht="15" customHeight="1">
      <c r="A43" t="inlineStr">
        <is>
          <t>A 35741-2019</t>
        </is>
      </c>
      <c r="B43" s="1" t="n">
        <v>43665</v>
      </c>
      <c r="C43" s="1" t="n">
        <v>45731</v>
      </c>
      <c r="D43" t="inlineStr">
        <is>
          <t>ÖREBRO LÄN</t>
        </is>
      </c>
      <c r="E43" t="inlineStr">
        <is>
          <t>HÄLLEFORS</t>
        </is>
      </c>
      <c r="G43" t="n">
        <v>2.6</v>
      </c>
      <c r="H43" t="n">
        <v>0</v>
      </c>
      <c r="I43" t="n">
        <v>0</v>
      </c>
      <c r="J43" t="n">
        <v>0</v>
      </c>
      <c r="K43" t="n">
        <v>0</v>
      </c>
      <c r="L43" t="n">
        <v>0</v>
      </c>
      <c r="M43" t="n">
        <v>0</v>
      </c>
      <c r="N43" t="n">
        <v>0</v>
      </c>
      <c r="O43" t="n">
        <v>0</v>
      </c>
      <c r="P43" t="n">
        <v>0</v>
      </c>
      <c r="Q43" t="n">
        <v>0</v>
      </c>
      <c r="R43" s="2" t="inlineStr"/>
    </row>
    <row r="44" ht="15" customHeight="1">
      <c r="A44" t="inlineStr">
        <is>
          <t>A 35743-2019</t>
        </is>
      </c>
      <c r="B44" s="1" t="n">
        <v>43665</v>
      </c>
      <c r="C44" s="1" t="n">
        <v>45731</v>
      </c>
      <c r="D44" t="inlineStr">
        <is>
          <t>ÖREBRO LÄN</t>
        </is>
      </c>
      <c r="E44" t="inlineStr">
        <is>
          <t>HÄLLEFORS</t>
        </is>
      </c>
      <c r="G44" t="n">
        <v>1.3</v>
      </c>
      <c r="H44" t="n">
        <v>0</v>
      </c>
      <c r="I44" t="n">
        <v>0</v>
      </c>
      <c r="J44" t="n">
        <v>0</v>
      </c>
      <c r="K44" t="n">
        <v>0</v>
      </c>
      <c r="L44" t="n">
        <v>0</v>
      </c>
      <c r="M44" t="n">
        <v>0</v>
      </c>
      <c r="N44" t="n">
        <v>0</v>
      </c>
      <c r="O44" t="n">
        <v>0</v>
      </c>
      <c r="P44" t="n">
        <v>0</v>
      </c>
      <c r="Q44" t="n">
        <v>0</v>
      </c>
      <c r="R44" s="2" t="inlineStr"/>
    </row>
    <row r="45" ht="15" customHeight="1">
      <c r="A45" t="inlineStr">
        <is>
          <t>A 35742-2019</t>
        </is>
      </c>
      <c r="B45" s="1" t="n">
        <v>43665</v>
      </c>
      <c r="C45" s="1" t="n">
        <v>45731</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35740-2019</t>
        </is>
      </c>
      <c r="B46" s="1" t="n">
        <v>43665</v>
      </c>
      <c r="C46" s="1" t="n">
        <v>45731</v>
      </c>
      <c r="D46" t="inlineStr">
        <is>
          <t>ÖREBRO LÄN</t>
        </is>
      </c>
      <c r="E46" t="inlineStr">
        <is>
          <t>HÄLLEFORS</t>
        </is>
      </c>
      <c r="G46" t="n">
        <v>2.3</v>
      </c>
      <c r="H46" t="n">
        <v>0</v>
      </c>
      <c r="I46" t="n">
        <v>0</v>
      </c>
      <c r="J46" t="n">
        <v>0</v>
      </c>
      <c r="K46" t="n">
        <v>0</v>
      </c>
      <c r="L46" t="n">
        <v>0</v>
      </c>
      <c r="M46" t="n">
        <v>0</v>
      </c>
      <c r="N46" t="n">
        <v>0</v>
      </c>
      <c r="O46" t="n">
        <v>0</v>
      </c>
      <c r="P46" t="n">
        <v>0</v>
      </c>
      <c r="Q46" t="n">
        <v>0</v>
      </c>
      <c r="R46" s="2" t="inlineStr"/>
    </row>
    <row r="47" ht="15" customHeight="1">
      <c r="A47" t="inlineStr">
        <is>
          <t>A 37325-2019</t>
        </is>
      </c>
      <c r="B47" s="1" t="n">
        <v>43678</v>
      </c>
      <c r="C47" s="1" t="n">
        <v>45731</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39501-2019</t>
        </is>
      </c>
      <c r="B48" s="1" t="n">
        <v>43686</v>
      </c>
      <c r="C48" s="1" t="n">
        <v>45731</v>
      </c>
      <c r="D48" t="inlineStr">
        <is>
          <t>ÖREBRO LÄN</t>
        </is>
      </c>
      <c r="E48" t="inlineStr">
        <is>
          <t>HÄLLEFORS</t>
        </is>
      </c>
      <c r="F48" t="inlineStr">
        <is>
          <t>Kyrkan</t>
        </is>
      </c>
      <c r="G48" t="n">
        <v>3.5</v>
      </c>
      <c r="H48" t="n">
        <v>0</v>
      </c>
      <c r="I48" t="n">
        <v>0</v>
      </c>
      <c r="J48" t="n">
        <v>0</v>
      </c>
      <c r="K48" t="n">
        <v>0</v>
      </c>
      <c r="L48" t="n">
        <v>0</v>
      </c>
      <c r="M48" t="n">
        <v>0</v>
      </c>
      <c r="N48" t="n">
        <v>0</v>
      </c>
      <c r="O48" t="n">
        <v>0</v>
      </c>
      <c r="P48" t="n">
        <v>0</v>
      </c>
      <c r="Q48" t="n">
        <v>0</v>
      </c>
      <c r="R48" s="2" t="inlineStr"/>
    </row>
    <row r="49" ht="15" customHeight="1">
      <c r="A49" t="inlineStr">
        <is>
          <t>A 38819-2019</t>
        </is>
      </c>
      <c r="B49" s="1" t="n">
        <v>43689</v>
      </c>
      <c r="C49" s="1" t="n">
        <v>45731</v>
      </c>
      <c r="D49" t="inlineStr">
        <is>
          <t>ÖREBRO LÄN</t>
        </is>
      </c>
      <c r="E49" t="inlineStr">
        <is>
          <t>HÄLLEFORS</t>
        </is>
      </c>
      <c r="G49" t="n">
        <v>2.1</v>
      </c>
      <c r="H49" t="n">
        <v>0</v>
      </c>
      <c r="I49" t="n">
        <v>0</v>
      </c>
      <c r="J49" t="n">
        <v>0</v>
      </c>
      <c r="K49" t="n">
        <v>0</v>
      </c>
      <c r="L49" t="n">
        <v>0</v>
      </c>
      <c r="M49" t="n">
        <v>0</v>
      </c>
      <c r="N49" t="n">
        <v>0</v>
      </c>
      <c r="O49" t="n">
        <v>0</v>
      </c>
      <c r="P49" t="n">
        <v>0</v>
      </c>
      <c r="Q49" t="n">
        <v>0</v>
      </c>
      <c r="R49" s="2" t="inlineStr"/>
    </row>
    <row r="50" ht="15" customHeight="1">
      <c r="A50" t="inlineStr">
        <is>
          <t>A 40171-2019</t>
        </is>
      </c>
      <c r="B50" s="1" t="n">
        <v>43693</v>
      </c>
      <c r="C50" s="1" t="n">
        <v>45731</v>
      </c>
      <c r="D50" t="inlineStr">
        <is>
          <t>ÖREBRO LÄN</t>
        </is>
      </c>
      <c r="E50" t="inlineStr">
        <is>
          <t>HÄLLEFORS</t>
        </is>
      </c>
      <c r="G50" t="n">
        <v>8.199999999999999</v>
      </c>
      <c r="H50" t="n">
        <v>0</v>
      </c>
      <c r="I50" t="n">
        <v>0</v>
      </c>
      <c r="J50" t="n">
        <v>0</v>
      </c>
      <c r="K50" t="n">
        <v>0</v>
      </c>
      <c r="L50" t="n">
        <v>0</v>
      </c>
      <c r="M50" t="n">
        <v>0</v>
      </c>
      <c r="N50" t="n">
        <v>0</v>
      </c>
      <c r="O50" t="n">
        <v>0</v>
      </c>
      <c r="P50" t="n">
        <v>0</v>
      </c>
      <c r="Q50" t="n">
        <v>0</v>
      </c>
      <c r="R50" s="2" t="inlineStr"/>
    </row>
    <row r="51" ht="15" customHeight="1">
      <c r="A51" t="inlineStr">
        <is>
          <t>A 40311-2019</t>
        </is>
      </c>
      <c r="B51" s="1" t="n">
        <v>43696</v>
      </c>
      <c r="C51" s="1" t="n">
        <v>45731</v>
      </c>
      <c r="D51" t="inlineStr">
        <is>
          <t>ÖREBRO LÄN</t>
        </is>
      </c>
      <c r="E51" t="inlineStr">
        <is>
          <t>HÄLLEFORS</t>
        </is>
      </c>
      <c r="G51" t="n">
        <v>1.8</v>
      </c>
      <c r="H51" t="n">
        <v>0</v>
      </c>
      <c r="I51" t="n">
        <v>0</v>
      </c>
      <c r="J51" t="n">
        <v>0</v>
      </c>
      <c r="K51" t="n">
        <v>0</v>
      </c>
      <c r="L51" t="n">
        <v>0</v>
      </c>
      <c r="M51" t="n">
        <v>0</v>
      </c>
      <c r="N51" t="n">
        <v>0</v>
      </c>
      <c r="O51" t="n">
        <v>0</v>
      </c>
      <c r="P51" t="n">
        <v>0</v>
      </c>
      <c r="Q51" t="n">
        <v>0</v>
      </c>
      <c r="R51" s="2" t="inlineStr"/>
    </row>
    <row r="52" ht="15" customHeight="1">
      <c r="A52" t="inlineStr">
        <is>
          <t>A 43514-2019</t>
        </is>
      </c>
      <c r="B52" s="1" t="n">
        <v>43706</v>
      </c>
      <c r="C52" s="1" t="n">
        <v>45731</v>
      </c>
      <c r="D52" t="inlineStr">
        <is>
          <t>ÖREBRO LÄN</t>
        </is>
      </c>
      <c r="E52" t="inlineStr">
        <is>
          <t>HÄLLEFORS</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45768-2019</t>
        </is>
      </c>
      <c r="B53" s="1" t="n">
        <v>43712</v>
      </c>
      <c r="C53" s="1" t="n">
        <v>45731</v>
      </c>
      <c r="D53" t="inlineStr">
        <is>
          <t>ÖREBRO LÄN</t>
        </is>
      </c>
      <c r="E53" t="inlineStr">
        <is>
          <t>HÄLLEFORS</t>
        </is>
      </c>
      <c r="G53" t="n">
        <v>1.4</v>
      </c>
      <c r="H53" t="n">
        <v>0</v>
      </c>
      <c r="I53" t="n">
        <v>0</v>
      </c>
      <c r="J53" t="n">
        <v>0</v>
      </c>
      <c r="K53" t="n">
        <v>0</v>
      </c>
      <c r="L53" t="n">
        <v>0</v>
      </c>
      <c r="M53" t="n">
        <v>0</v>
      </c>
      <c r="N53" t="n">
        <v>0</v>
      </c>
      <c r="O53" t="n">
        <v>0</v>
      </c>
      <c r="P53" t="n">
        <v>0</v>
      </c>
      <c r="Q53" t="n">
        <v>0</v>
      </c>
      <c r="R53" s="2" t="inlineStr"/>
    </row>
    <row r="54" ht="15" customHeight="1">
      <c r="A54" t="inlineStr">
        <is>
          <t>A 47219-2019</t>
        </is>
      </c>
      <c r="B54" s="1" t="n">
        <v>43721</v>
      </c>
      <c r="C54" s="1" t="n">
        <v>45731</v>
      </c>
      <c r="D54" t="inlineStr">
        <is>
          <t>ÖREBRO LÄN</t>
        </is>
      </c>
      <c r="E54" t="inlineStr">
        <is>
          <t>HÄLLEFORS</t>
        </is>
      </c>
      <c r="F54" t="inlineStr">
        <is>
          <t>Bergvik skog väst AB</t>
        </is>
      </c>
      <c r="G54" t="n">
        <v>4.9</v>
      </c>
      <c r="H54" t="n">
        <v>0</v>
      </c>
      <c r="I54" t="n">
        <v>0</v>
      </c>
      <c r="J54" t="n">
        <v>0</v>
      </c>
      <c r="K54" t="n">
        <v>0</v>
      </c>
      <c r="L54" t="n">
        <v>0</v>
      </c>
      <c r="M54" t="n">
        <v>0</v>
      </c>
      <c r="N54" t="n">
        <v>0</v>
      </c>
      <c r="O54" t="n">
        <v>0</v>
      </c>
      <c r="P54" t="n">
        <v>0</v>
      </c>
      <c r="Q54" t="n">
        <v>0</v>
      </c>
      <c r="R54" s="2" t="inlineStr"/>
    </row>
    <row r="55" ht="15" customHeight="1">
      <c r="A55" t="inlineStr">
        <is>
          <t>A 47175-2019</t>
        </is>
      </c>
      <c r="B55" s="1" t="n">
        <v>43721</v>
      </c>
      <c r="C55" s="1" t="n">
        <v>45731</v>
      </c>
      <c r="D55" t="inlineStr">
        <is>
          <t>ÖREBRO LÄN</t>
        </is>
      </c>
      <c r="E55" t="inlineStr">
        <is>
          <t>HÄLLEFORS</t>
        </is>
      </c>
      <c r="F55" t="inlineStr">
        <is>
          <t>Sveaskog</t>
        </is>
      </c>
      <c r="G55" t="n">
        <v>5.6</v>
      </c>
      <c r="H55" t="n">
        <v>0</v>
      </c>
      <c r="I55" t="n">
        <v>0</v>
      </c>
      <c r="J55" t="n">
        <v>0</v>
      </c>
      <c r="K55" t="n">
        <v>0</v>
      </c>
      <c r="L55" t="n">
        <v>0</v>
      </c>
      <c r="M55" t="n">
        <v>0</v>
      </c>
      <c r="N55" t="n">
        <v>0</v>
      </c>
      <c r="O55" t="n">
        <v>0</v>
      </c>
      <c r="P55" t="n">
        <v>0</v>
      </c>
      <c r="Q55" t="n">
        <v>0</v>
      </c>
      <c r="R55" s="2" t="inlineStr"/>
    </row>
    <row r="56" ht="15" customHeight="1">
      <c r="A56" t="inlineStr">
        <is>
          <t>A 48224-2019</t>
        </is>
      </c>
      <c r="B56" s="1" t="n">
        <v>43726</v>
      </c>
      <c r="C56" s="1" t="n">
        <v>45731</v>
      </c>
      <c r="D56" t="inlineStr">
        <is>
          <t>ÖREBRO LÄN</t>
        </is>
      </c>
      <c r="E56" t="inlineStr">
        <is>
          <t>HÄLLEFORS</t>
        </is>
      </c>
      <c r="F56" t="inlineStr">
        <is>
          <t>Bergvik skog väst AB</t>
        </is>
      </c>
      <c r="G56" t="n">
        <v>0.7</v>
      </c>
      <c r="H56" t="n">
        <v>0</v>
      </c>
      <c r="I56" t="n">
        <v>0</v>
      </c>
      <c r="J56" t="n">
        <v>0</v>
      </c>
      <c r="K56" t="n">
        <v>0</v>
      </c>
      <c r="L56" t="n">
        <v>0</v>
      </c>
      <c r="M56" t="n">
        <v>0</v>
      </c>
      <c r="N56" t="n">
        <v>0</v>
      </c>
      <c r="O56" t="n">
        <v>0</v>
      </c>
      <c r="P56" t="n">
        <v>0</v>
      </c>
      <c r="Q56" t="n">
        <v>0</v>
      </c>
      <c r="R56" s="2" t="inlineStr"/>
    </row>
    <row r="57" ht="15" customHeight="1">
      <c r="A57" t="inlineStr">
        <is>
          <t>A 48206-2019</t>
        </is>
      </c>
      <c r="B57" s="1" t="n">
        <v>43726</v>
      </c>
      <c r="C57" s="1" t="n">
        <v>45731</v>
      </c>
      <c r="D57" t="inlineStr">
        <is>
          <t>ÖREBRO LÄN</t>
        </is>
      </c>
      <c r="E57" t="inlineStr">
        <is>
          <t>HÄLLEFORS</t>
        </is>
      </c>
      <c r="F57" t="inlineStr">
        <is>
          <t>Bergvik skog väst AB</t>
        </is>
      </c>
      <c r="G57" t="n">
        <v>13.6</v>
      </c>
      <c r="H57" t="n">
        <v>0</v>
      </c>
      <c r="I57" t="n">
        <v>0</v>
      </c>
      <c r="J57" t="n">
        <v>0</v>
      </c>
      <c r="K57" t="n">
        <v>0</v>
      </c>
      <c r="L57" t="n">
        <v>0</v>
      </c>
      <c r="M57" t="n">
        <v>0</v>
      </c>
      <c r="N57" t="n">
        <v>0</v>
      </c>
      <c r="O57" t="n">
        <v>0</v>
      </c>
      <c r="P57" t="n">
        <v>0</v>
      </c>
      <c r="Q57" t="n">
        <v>0</v>
      </c>
      <c r="R57" s="2" t="inlineStr"/>
    </row>
    <row r="58" ht="15" customHeight="1">
      <c r="A58" t="inlineStr">
        <is>
          <t>A 51442-2019</t>
        </is>
      </c>
      <c r="B58" s="1" t="n">
        <v>43732</v>
      </c>
      <c r="C58" s="1" t="n">
        <v>45731</v>
      </c>
      <c r="D58" t="inlineStr">
        <is>
          <t>ÖREBRO LÄN</t>
        </is>
      </c>
      <c r="E58" t="inlineStr">
        <is>
          <t>HÄLLEFORS</t>
        </is>
      </c>
      <c r="F58" t="inlineStr">
        <is>
          <t>Kyrkan</t>
        </is>
      </c>
      <c r="G58" t="n">
        <v>3.9</v>
      </c>
      <c r="H58" t="n">
        <v>0</v>
      </c>
      <c r="I58" t="n">
        <v>0</v>
      </c>
      <c r="J58" t="n">
        <v>0</v>
      </c>
      <c r="K58" t="n">
        <v>0</v>
      </c>
      <c r="L58" t="n">
        <v>0</v>
      </c>
      <c r="M58" t="n">
        <v>0</v>
      </c>
      <c r="N58" t="n">
        <v>0</v>
      </c>
      <c r="O58" t="n">
        <v>0</v>
      </c>
      <c r="P58" t="n">
        <v>0</v>
      </c>
      <c r="Q58" t="n">
        <v>0</v>
      </c>
      <c r="R58" s="2" t="inlineStr"/>
    </row>
    <row r="59" ht="15" customHeight="1">
      <c r="A59" t="inlineStr">
        <is>
          <t>A 52329-2019</t>
        </is>
      </c>
      <c r="B59" s="1" t="n">
        <v>43745</v>
      </c>
      <c r="C59" s="1" t="n">
        <v>45731</v>
      </c>
      <c r="D59" t="inlineStr">
        <is>
          <t>ÖREBRO LÄN</t>
        </is>
      </c>
      <c r="E59" t="inlineStr">
        <is>
          <t>HÄLLEFORS</t>
        </is>
      </c>
      <c r="F59" t="inlineStr">
        <is>
          <t>Sveaskog</t>
        </is>
      </c>
      <c r="G59" t="n">
        <v>1.9</v>
      </c>
      <c r="H59" t="n">
        <v>0</v>
      </c>
      <c r="I59" t="n">
        <v>0</v>
      </c>
      <c r="J59" t="n">
        <v>0</v>
      </c>
      <c r="K59" t="n">
        <v>0</v>
      </c>
      <c r="L59" t="n">
        <v>0</v>
      </c>
      <c r="M59" t="n">
        <v>0</v>
      </c>
      <c r="N59" t="n">
        <v>0</v>
      </c>
      <c r="O59" t="n">
        <v>0</v>
      </c>
      <c r="P59" t="n">
        <v>0</v>
      </c>
      <c r="Q59" t="n">
        <v>0</v>
      </c>
      <c r="R59" s="2" t="inlineStr"/>
    </row>
    <row r="60" ht="15" customHeight="1">
      <c r="A60" t="inlineStr">
        <is>
          <t>A 52452-2019</t>
        </is>
      </c>
      <c r="B60" s="1" t="n">
        <v>43745</v>
      </c>
      <c r="C60" s="1" t="n">
        <v>45731</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52411-2019</t>
        </is>
      </c>
      <c r="B61" s="1" t="n">
        <v>43745</v>
      </c>
      <c r="C61" s="1" t="n">
        <v>45731</v>
      </c>
      <c r="D61" t="inlineStr">
        <is>
          <t>ÖREBRO LÄN</t>
        </is>
      </c>
      <c r="E61" t="inlineStr">
        <is>
          <t>HÄLLEFORS</t>
        </is>
      </c>
      <c r="F61" t="inlineStr">
        <is>
          <t>Bergvik skog väst AB</t>
        </is>
      </c>
      <c r="G61" t="n">
        <v>6.5</v>
      </c>
      <c r="H61" t="n">
        <v>0</v>
      </c>
      <c r="I61" t="n">
        <v>0</v>
      </c>
      <c r="J61" t="n">
        <v>0</v>
      </c>
      <c r="K61" t="n">
        <v>0</v>
      </c>
      <c r="L61" t="n">
        <v>0</v>
      </c>
      <c r="M61" t="n">
        <v>0</v>
      </c>
      <c r="N61" t="n">
        <v>0</v>
      </c>
      <c r="O61" t="n">
        <v>0</v>
      </c>
      <c r="P61" t="n">
        <v>0</v>
      </c>
      <c r="Q61" t="n">
        <v>0</v>
      </c>
      <c r="R61" s="2" t="inlineStr"/>
    </row>
    <row r="62" ht="15" customHeight="1">
      <c r="A62" t="inlineStr">
        <is>
          <t>A 52711-2019</t>
        </is>
      </c>
      <c r="B62" s="1" t="n">
        <v>43746</v>
      </c>
      <c r="C62" s="1" t="n">
        <v>45731</v>
      </c>
      <c r="D62" t="inlineStr">
        <is>
          <t>ÖREBRO LÄN</t>
        </is>
      </c>
      <c r="E62" t="inlineStr">
        <is>
          <t>HÄLLEFORS</t>
        </is>
      </c>
      <c r="G62" t="n">
        <v>1</v>
      </c>
      <c r="H62" t="n">
        <v>0</v>
      </c>
      <c r="I62" t="n">
        <v>0</v>
      </c>
      <c r="J62" t="n">
        <v>0</v>
      </c>
      <c r="K62" t="n">
        <v>0</v>
      </c>
      <c r="L62" t="n">
        <v>0</v>
      </c>
      <c r="M62" t="n">
        <v>0</v>
      </c>
      <c r="N62" t="n">
        <v>0</v>
      </c>
      <c r="O62" t="n">
        <v>0</v>
      </c>
      <c r="P62" t="n">
        <v>0</v>
      </c>
      <c r="Q62" t="n">
        <v>0</v>
      </c>
      <c r="R62" s="2" t="inlineStr"/>
    </row>
    <row r="63" ht="15" customHeight="1">
      <c r="A63" t="inlineStr">
        <is>
          <t>A 53031-2019</t>
        </is>
      </c>
      <c r="B63" s="1" t="n">
        <v>43747</v>
      </c>
      <c r="C63" s="1" t="n">
        <v>45731</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53062-2019</t>
        </is>
      </c>
      <c r="B64" s="1" t="n">
        <v>43747</v>
      </c>
      <c r="C64" s="1" t="n">
        <v>45731</v>
      </c>
      <c r="D64" t="inlineStr">
        <is>
          <t>ÖREBRO LÄN</t>
        </is>
      </c>
      <c r="E64" t="inlineStr">
        <is>
          <t>HÄLLEFORS</t>
        </is>
      </c>
      <c r="F64" t="inlineStr">
        <is>
          <t>Bergvik skog väst AB</t>
        </is>
      </c>
      <c r="G64" t="n">
        <v>13.9</v>
      </c>
      <c r="H64" t="n">
        <v>0</v>
      </c>
      <c r="I64" t="n">
        <v>0</v>
      </c>
      <c r="J64" t="n">
        <v>0</v>
      </c>
      <c r="K64" t="n">
        <v>0</v>
      </c>
      <c r="L64" t="n">
        <v>0</v>
      </c>
      <c r="M64" t="n">
        <v>0</v>
      </c>
      <c r="N64" t="n">
        <v>0</v>
      </c>
      <c r="O64" t="n">
        <v>0</v>
      </c>
      <c r="P64" t="n">
        <v>0</v>
      </c>
      <c r="Q64" t="n">
        <v>0</v>
      </c>
      <c r="R64" s="2" t="inlineStr"/>
    </row>
    <row r="65" ht="15" customHeight="1">
      <c r="A65" t="inlineStr">
        <is>
          <t>A 53029-2019</t>
        </is>
      </c>
      <c r="B65" s="1" t="n">
        <v>43747</v>
      </c>
      <c r="C65" s="1" t="n">
        <v>45731</v>
      </c>
      <c r="D65" t="inlineStr">
        <is>
          <t>ÖREBRO LÄN</t>
        </is>
      </c>
      <c r="E65" t="inlineStr">
        <is>
          <t>HÄLLEFORS</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53388-2019</t>
        </is>
      </c>
      <c r="B66" s="1" t="n">
        <v>43748</v>
      </c>
      <c r="C66" s="1" t="n">
        <v>45731</v>
      </c>
      <c r="D66" t="inlineStr">
        <is>
          <t>ÖREBRO LÄN</t>
        </is>
      </c>
      <c r="E66" t="inlineStr">
        <is>
          <t>HÄLLEFORS</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53400-2019</t>
        </is>
      </c>
      <c r="B67" s="1" t="n">
        <v>43748</v>
      </c>
      <c r="C67" s="1" t="n">
        <v>45731</v>
      </c>
      <c r="D67" t="inlineStr">
        <is>
          <t>ÖREBRO LÄN</t>
        </is>
      </c>
      <c r="E67" t="inlineStr">
        <is>
          <t>HÄLLEFORS</t>
        </is>
      </c>
      <c r="F67" t="inlineStr">
        <is>
          <t>Bergvik skog väst AB</t>
        </is>
      </c>
      <c r="G67" t="n">
        <v>8.699999999999999</v>
      </c>
      <c r="H67" t="n">
        <v>0</v>
      </c>
      <c r="I67" t="n">
        <v>0</v>
      </c>
      <c r="J67" t="n">
        <v>0</v>
      </c>
      <c r="K67" t="n">
        <v>0</v>
      </c>
      <c r="L67" t="n">
        <v>0</v>
      </c>
      <c r="M67" t="n">
        <v>0</v>
      </c>
      <c r="N67" t="n">
        <v>0</v>
      </c>
      <c r="O67" t="n">
        <v>0</v>
      </c>
      <c r="P67" t="n">
        <v>0</v>
      </c>
      <c r="Q67" t="n">
        <v>0</v>
      </c>
      <c r="R67" s="2" t="inlineStr"/>
    </row>
    <row r="68" ht="15" customHeight="1">
      <c r="A68" t="inlineStr">
        <is>
          <t>A 53965-2019</t>
        </is>
      </c>
      <c r="B68" s="1" t="n">
        <v>43752</v>
      </c>
      <c r="C68" s="1" t="n">
        <v>45731</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54433-2019</t>
        </is>
      </c>
      <c r="B69" s="1" t="n">
        <v>43754</v>
      </c>
      <c r="C69" s="1" t="n">
        <v>45731</v>
      </c>
      <c r="D69" t="inlineStr">
        <is>
          <t>ÖREBRO LÄN</t>
        </is>
      </c>
      <c r="E69" t="inlineStr">
        <is>
          <t>HÄLLEFORS</t>
        </is>
      </c>
      <c r="F69" t="inlineStr">
        <is>
          <t>Bergvik skog väst AB</t>
        </is>
      </c>
      <c r="G69" t="n">
        <v>7.9</v>
      </c>
      <c r="H69" t="n">
        <v>0</v>
      </c>
      <c r="I69" t="n">
        <v>0</v>
      </c>
      <c r="J69" t="n">
        <v>0</v>
      </c>
      <c r="K69" t="n">
        <v>0</v>
      </c>
      <c r="L69" t="n">
        <v>0</v>
      </c>
      <c r="M69" t="n">
        <v>0</v>
      </c>
      <c r="N69" t="n">
        <v>0</v>
      </c>
      <c r="O69" t="n">
        <v>0</v>
      </c>
      <c r="P69" t="n">
        <v>0</v>
      </c>
      <c r="Q69" t="n">
        <v>0</v>
      </c>
      <c r="R69" s="2" t="inlineStr"/>
    </row>
    <row r="70" ht="15" customHeight="1">
      <c r="A70" t="inlineStr">
        <is>
          <t>A 54977-2019</t>
        </is>
      </c>
      <c r="B70" s="1" t="n">
        <v>43755</v>
      </c>
      <c r="C70" s="1" t="n">
        <v>45731</v>
      </c>
      <c r="D70" t="inlineStr">
        <is>
          <t>ÖREBRO LÄN</t>
        </is>
      </c>
      <c r="E70" t="inlineStr">
        <is>
          <t>HÄLLEFORS</t>
        </is>
      </c>
      <c r="F70" t="inlineStr">
        <is>
          <t>Bergvik skog väst AB</t>
        </is>
      </c>
      <c r="G70" t="n">
        <v>17.5</v>
      </c>
      <c r="H70" t="n">
        <v>0</v>
      </c>
      <c r="I70" t="n">
        <v>0</v>
      </c>
      <c r="J70" t="n">
        <v>0</v>
      </c>
      <c r="K70" t="n">
        <v>0</v>
      </c>
      <c r="L70" t="n">
        <v>0</v>
      </c>
      <c r="M70" t="n">
        <v>0</v>
      </c>
      <c r="N70" t="n">
        <v>0</v>
      </c>
      <c r="O70" t="n">
        <v>0</v>
      </c>
      <c r="P70" t="n">
        <v>0</v>
      </c>
      <c r="Q70" t="n">
        <v>0</v>
      </c>
      <c r="R70" s="2" t="inlineStr"/>
    </row>
    <row r="71" ht="15" customHeight="1">
      <c r="A71" t="inlineStr">
        <is>
          <t>A 55129-2019</t>
        </is>
      </c>
      <c r="B71" s="1" t="n">
        <v>43756</v>
      </c>
      <c r="C71" s="1" t="n">
        <v>45731</v>
      </c>
      <c r="D71" t="inlineStr">
        <is>
          <t>ÖREBRO LÄN</t>
        </is>
      </c>
      <c r="E71" t="inlineStr">
        <is>
          <t>HÄLLEFORS</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55150-2019</t>
        </is>
      </c>
      <c r="B72" s="1" t="n">
        <v>43756</v>
      </c>
      <c r="C72" s="1" t="n">
        <v>45731</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57363-2019</t>
        </is>
      </c>
      <c r="B73" s="1" t="n">
        <v>43767</v>
      </c>
      <c r="C73" s="1" t="n">
        <v>45731</v>
      </c>
      <c r="D73" t="inlineStr">
        <is>
          <t>ÖREBRO LÄN</t>
        </is>
      </c>
      <c r="E73" t="inlineStr">
        <is>
          <t>HÄLLEFORS</t>
        </is>
      </c>
      <c r="G73" t="n">
        <v>1.4</v>
      </c>
      <c r="H73" t="n">
        <v>0</v>
      </c>
      <c r="I73" t="n">
        <v>0</v>
      </c>
      <c r="J73" t="n">
        <v>0</v>
      </c>
      <c r="K73" t="n">
        <v>0</v>
      </c>
      <c r="L73" t="n">
        <v>0</v>
      </c>
      <c r="M73" t="n">
        <v>0</v>
      </c>
      <c r="N73" t="n">
        <v>0</v>
      </c>
      <c r="O73" t="n">
        <v>0</v>
      </c>
      <c r="P73" t="n">
        <v>0</v>
      </c>
      <c r="Q73" t="n">
        <v>0</v>
      </c>
      <c r="R73" s="2" t="inlineStr"/>
    </row>
    <row r="74" ht="15" customHeight="1">
      <c r="A74" t="inlineStr">
        <is>
          <t>A 57443-2019</t>
        </is>
      </c>
      <c r="B74" s="1" t="n">
        <v>43767</v>
      </c>
      <c r="C74" s="1" t="n">
        <v>45731</v>
      </c>
      <c r="D74" t="inlineStr">
        <is>
          <t>ÖREBRO LÄN</t>
        </is>
      </c>
      <c r="E74" t="inlineStr">
        <is>
          <t>HÄLLEFORS</t>
        </is>
      </c>
      <c r="G74" t="n">
        <v>0.4</v>
      </c>
      <c r="H74" t="n">
        <v>0</v>
      </c>
      <c r="I74" t="n">
        <v>0</v>
      </c>
      <c r="J74" t="n">
        <v>0</v>
      </c>
      <c r="K74" t="n">
        <v>0</v>
      </c>
      <c r="L74" t="n">
        <v>0</v>
      </c>
      <c r="M74" t="n">
        <v>0</v>
      </c>
      <c r="N74" t="n">
        <v>0</v>
      </c>
      <c r="O74" t="n">
        <v>0</v>
      </c>
      <c r="P74" t="n">
        <v>0</v>
      </c>
      <c r="Q74" t="n">
        <v>0</v>
      </c>
      <c r="R74" s="2" t="inlineStr"/>
    </row>
    <row r="75" ht="15" customHeight="1">
      <c r="A75" t="inlineStr">
        <is>
          <t>A 57398-2019</t>
        </is>
      </c>
      <c r="B75" s="1" t="n">
        <v>43767</v>
      </c>
      <c r="C75" s="1" t="n">
        <v>45731</v>
      </c>
      <c r="D75" t="inlineStr">
        <is>
          <t>ÖREBRO LÄN</t>
        </is>
      </c>
      <c r="E75" t="inlineStr">
        <is>
          <t>HÄLLEFORS</t>
        </is>
      </c>
      <c r="F75" t="inlineStr">
        <is>
          <t>Bergvik skog väst AB</t>
        </is>
      </c>
      <c r="G75" t="n">
        <v>10.4</v>
      </c>
      <c r="H75" t="n">
        <v>0</v>
      </c>
      <c r="I75" t="n">
        <v>0</v>
      </c>
      <c r="J75" t="n">
        <v>0</v>
      </c>
      <c r="K75" t="n">
        <v>0</v>
      </c>
      <c r="L75" t="n">
        <v>0</v>
      </c>
      <c r="M75" t="n">
        <v>0</v>
      </c>
      <c r="N75" t="n">
        <v>0</v>
      </c>
      <c r="O75" t="n">
        <v>0</v>
      </c>
      <c r="P75" t="n">
        <v>0</v>
      </c>
      <c r="Q75" t="n">
        <v>0</v>
      </c>
      <c r="R75" s="2" t="inlineStr"/>
    </row>
    <row r="76" ht="15" customHeight="1">
      <c r="A76" t="inlineStr">
        <is>
          <t>A 58100-2019</t>
        </is>
      </c>
      <c r="B76" s="1" t="n">
        <v>43769</v>
      </c>
      <c r="C76" s="1" t="n">
        <v>45731</v>
      </c>
      <c r="D76" t="inlineStr">
        <is>
          <t>ÖREBRO LÄN</t>
        </is>
      </c>
      <c r="E76" t="inlineStr">
        <is>
          <t>HÄLLEFORS</t>
        </is>
      </c>
      <c r="G76" t="n">
        <v>2.3</v>
      </c>
      <c r="H76" t="n">
        <v>0</v>
      </c>
      <c r="I76" t="n">
        <v>0</v>
      </c>
      <c r="J76" t="n">
        <v>0</v>
      </c>
      <c r="K76" t="n">
        <v>0</v>
      </c>
      <c r="L76" t="n">
        <v>0</v>
      </c>
      <c r="M76" t="n">
        <v>0</v>
      </c>
      <c r="N76" t="n">
        <v>0</v>
      </c>
      <c r="O76" t="n">
        <v>0</v>
      </c>
      <c r="P76" t="n">
        <v>0</v>
      </c>
      <c r="Q76" t="n">
        <v>0</v>
      </c>
      <c r="R76" s="2" t="inlineStr"/>
    </row>
    <row r="77" ht="15" customHeight="1">
      <c r="A77" t="inlineStr">
        <is>
          <t>A 58317-2019</t>
        </is>
      </c>
      <c r="B77" s="1" t="n">
        <v>43770</v>
      </c>
      <c r="C77" s="1" t="n">
        <v>45731</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65073-2019</t>
        </is>
      </c>
      <c r="B78" s="1" t="n">
        <v>43802</v>
      </c>
      <c r="C78" s="1" t="n">
        <v>45731</v>
      </c>
      <c r="D78" t="inlineStr">
        <is>
          <t>ÖREBRO LÄN</t>
        </is>
      </c>
      <c r="E78" t="inlineStr">
        <is>
          <t>HÄLLEFORS</t>
        </is>
      </c>
      <c r="F78" t="inlineStr">
        <is>
          <t>Bergvik skog väst AB</t>
        </is>
      </c>
      <c r="G78" t="n">
        <v>3.3</v>
      </c>
      <c r="H78" t="n">
        <v>0</v>
      </c>
      <c r="I78" t="n">
        <v>0</v>
      </c>
      <c r="J78" t="n">
        <v>0</v>
      </c>
      <c r="K78" t="n">
        <v>0</v>
      </c>
      <c r="L78" t="n">
        <v>0</v>
      </c>
      <c r="M78" t="n">
        <v>0</v>
      </c>
      <c r="N78" t="n">
        <v>0</v>
      </c>
      <c r="O78" t="n">
        <v>0</v>
      </c>
      <c r="P78" t="n">
        <v>0</v>
      </c>
      <c r="Q78" t="n">
        <v>0</v>
      </c>
      <c r="R78" s="2" t="inlineStr"/>
    </row>
    <row r="79" ht="15" customHeight="1">
      <c r="A79" t="inlineStr">
        <is>
          <t>A 65758-2019</t>
        </is>
      </c>
      <c r="B79" s="1" t="n">
        <v>43804</v>
      </c>
      <c r="C79" s="1" t="n">
        <v>45731</v>
      </c>
      <c r="D79" t="inlineStr">
        <is>
          <t>ÖREBRO LÄN</t>
        </is>
      </c>
      <c r="E79" t="inlineStr">
        <is>
          <t>HÄLLEFORS</t>
        </is>
      </c>
      <c r="G79" t="n">
        <v>2.1</v>
      </c>
      <c r="H79" t="n">
        <v>0</v>
      </c>
      <c r="I79" t="n">
        <v>0</v>
      </c>
      <c r="J79" t="n">
        <v>0</v>
      </c>
      <c r="K79" t="n">
        <v>0</v>
      </c>
      <c r="L79" t="n">
        <v>0</v>
      </c>
      <c r="M79" t="n">
        <v>0</v>
      </c>
      <c r="N79" t="n">
        <v>0</v>
      </c>
      <c r="O79" t="n">
        <v>0</v>
      </c>
      <c r="P79" t="n">
        <v>0</v>
      </c>
      <c r="Q79" t="n">
        <v>0</v>
      </c>
      <c r="R79" s="2" t="inlineStr"/>
    </row>
    <row r="80" ht="15" customHeight="1">
      <c r="A80" t="inlineStr">
        <is>
          <t>A 68534-2019</t>
        </is>
      </c>
      <c r="B80" s="1" t="n">
        <v>43818</v>
      </c>
      <c r="C80" s="1" t="n">
        <v>45731</v>
      </c>
      <c r="D80" t="inlineStr">
        <is>
          <t>ÖREBRO LÄN</t>
        </is>
      </c>
      <c r="E80" t="inlineStr">
        <is>
          <t>HÄLLEFORS</t>
        </is>
      </c>
      <c r="F80" t="inlineStr">
        <is>
          <t>Bergvik skog väst AB</t>
        </is>
      </c>
      <c r="G80" t="n">
        <v>14.3</v>
      </c>
      <c r="H80" t="n">
        <v>0</v>
      </c>
      <c r="I80" t="n">
        <v>0</v>
      </c>
      <c r="J80" t="n">
        <v>0</v>
      </c>
      <c r="K80" t="n">
        <v>0</v>
      </c>
      <c r="L80" t="n">
        <v>0</v>
      </c>
      <c r="M80" t="n">
        <v>0</v>
      </c>
      <c r="N80" t="n">
        <v>0</v>
      </c>
      <c r="O80" t="n">
        <v>0</v>
      </c>
      <c r="P80" t="n">
        <v>0</v>
      </c>
      <c r="Q80" t="n">
        <v>0</v>
      </c>
      <c r="R80" s="2" t="inlineStr"/>
    </row>
    <row r="81" ht="15" customHeight="1">
      <c r="A81" t="inlineStr">
        <is>
          <t>A 55-2020</t>
        </is>
      </c>
      <c r="B81" s="1" t="n">
        <v>43832</v>
      </c>
      <c r="C81" s="1" t="n">
        <v>45731</v>
      </c>
      <c r="D81" t="inlineStr">
        <is>
          <t>ÖREBRO LÄN</t>
        </is>
      </c>
      <c r="E81" t="inlineStr">
        <is>
          <t>HÄLLEFORS</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5089-2020</t>
        </is>
      </c>
      <c r="B82" s="1" t="n">
        <v>43859</v>
      </c>
      <c r="C82" s="1" t="n">
        <v>45731</v>
      </c>
      <c r="D82" t="inlineStr">
        <is>
          <t>ÖREBRO LÄN</t>
        </is>
      </c>
      <c r="E82" t="inlineStr">
        <is>
          <t>HÄLLEFORS</t>
        </is>
      </c>
      <c r="G82" t="n">
        <v>0.3</v>
      </c>
      <c r="H82" t="n">
        <v>0</v>
      </c>
      <c r="I82" t="n">
        <v>0</v>
      </c>
      <c r="J82" t="n">
        <v>0</v>
      </c>
      <c r="K82" t="n">
        <v>0</v>
      </c>
      <c r="L82" t="n">
        <v>0</v>
      </c>
      <c r="M82" t="n">
        <v>0</v>
      </c>
      <c r="N82" t="n">
        <v>0</v>
      </c>
      <c r="O82" t="n">
        <v>0</v>
      </c>
      <c r="P82" t="n">
        <v>0</v>
      </c>
      <c r="Q82" t="n">
        <v>0</v>
      </c>
      <c r="R82" s="2" t="inlineStr"/>
    </row>
    <row r="83" ht="15" customHeight="1">
      <c r="A83" t="inlineStr">
        <is>
          <t>A 6196-2020</t>
        </is>
      </c>
      <c r="B83" s="1" t="n">
        <v>43865</v>
      </c>
      <c r="C83" s="1" t="n">
        <v>45731</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6914-2020</t>
        </is>
      </c>
      <c r="B84" s="1" t="n">
        <v>43868</v>
      </c>
      <c r="C84" s="1" t="n">
        <v>45731</v>
      </c>
      <c r="D84" t="inlineStr">
        <is>
          <t>ÖREBRO LÄN</t>
        </is>
      </c>
      <c r="E84" t="inlineStr">
        <is>
          <t>HÄLLEFORS</t>
        </is>
      </c>
      <c r="F84" t="inlineStr">
        <is>
          <t>Sveaskog</t>
        </is>
      </c>
      <c r="G84" t="n">
        <v>3.2</v>
      </c>
      <c r="H84" t="n">
        <v>0</v>
      </c>
      <c r="I84" t="n">
        <v>0</v>
      </c>
      <c r="J84" t="n">
        <v>0</v>
      </c>
      <c r="K84" t="n">
        <v>0</v>
      </c>
      <c r="L84" t="n">
        <v>0</v>
      </c>
      <c r="M84" t="n">
        <v>0</v>
      </c>
      <c r="N84" t="n">
        <v>0</v>
      </c>
      <c r="O84" t="n">
        <v>0</v>
      </c>
      <c r="P84" t="n">
        <v>0</v>
      </c>
      <c r="Q84" t="n">
        <v>0</v>
      </c>
      <c r="R84" s="2" t="inlineStr"/>
    </row>
    <row r="85" ht="15" customHeight="1">
      <c r="A85" t="inlineStr">
        <is>
          <t>A 9959-2020</t>
        </is>
      </c>
      <c r="B85" s="1" t="n">
        <v>43882</v>
      </c>
      <c r="C85" s="1" t="n">
        <v>45731</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11308-2020</t>
        </is>
      </c>
      <c r="B86" s="1" t="n">
        <v>43892</v>
      </c>
      <c r="C86" s="1" t="n">
        <v>45731</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11235-2020</t>
        </is>
      </c>
      <c r="B87" s="1" t="n">
        <v>43892</v>
      </c>
      <c r="C87" s="1" t="n">
        <v>45731</v>
      </c>
      <c r="D87" t="inlineStr">
        <is>
          <t>ÖREBRO LÄN</t>
        </is>
      </c>
      <c r="E87" t="inlineStr">
        <is>
          <t>HÄLLEFORS</t>
        </is>
      </c>
      <c r="F87" t="inlineStr">
        <is>
          <t>Bergvik skog väst AB</t>
        </is>
      </c>
      <c r="G87" t="n">
        <v>0.8</v>
      </c>
      <c r="H87" t="n">
        <v>0</v>
      </c>
      <c r="I87" t="n">
        <v>0</v>
      </c>
      <c r="J87" t="n">
        <v>0</v>
      </c>
      <c r="K87" t="n">
        <v>0</v>
      </c>
      <c r="L87" t="n">
        <v>0</v>
      </c>
      <c r="M87" t="n">
        <v>0</v>
      </c>
      <c r="N87" t="n">
        <v>0</v>
      </c>
      <c r="O87" t="n">
        <v>0</v>
      </c>
      <c r="P87" t="n">
        <v>0</v>
      </c>
      <c r="Q87" t="n">
        <v>0</v>
      </c>
      <c r="R87" s="2" t="inlineStr"/>
    </row>
    <row r="88" ht="15" customHeight="1">
      <c r="A88" t="inlineStr">
        <is>
          <t>A 12170-2020</t>
        </is>
      </c>
      <c r="B88" s="1" t="n">
        <v>43895</v>
      </c>
      <c r="C88" s="1" t="n">
        <v>45731</v>
      </c>
      <c r="D88" t="inlineStr">
        <is>
          <t>ÖREBRO LÄN</t>
        </is>
      </c>
      <c r="E88" t="inlineStr">
        <is>
          <t>HÄLLEFORS</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16829-2020</t>
        </is>
      </c>
      <c r="B89" s="1" t="n">
        <v>43921</v>
      </c>
      <c r="C89" s="1" t="n">
        <v>45731</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18000-2020</t>
        </is>
      </c>
      <c r="B90" s="1" t="n">
        <v>43927</v>
      </c>
      <c r="C90" s="1" t="n">
        <v>45731</v>
      </c>
      <c r="D90" t="inlineStr">
        <is>
          <t>ÖREBRO LÄN</t>
        </is>
      </c>
      <c r="E90" t="inlineStr">
        <is>
          <t>HÄLLEFORS</t>
        </is>
      </c>
      <c r="F90" t="inlineStr">
        <is>
          <t>Bergvik skog väst AB</t>
        </is>
      </c>
      <c r="G90" t="n">
        <v>11.1</v>
      </c>
      <c r="H90" t="n">
        <v>0</v>
      </c>
      <c r="I90" t="n">
        <v>0</v>
      </c>
      <c r="J90" t="n">
        <v>0</v>
      </c>
      <c r="K90" t="n">
        <v>0</v>
      </c>
      <c r="L90" t="n">
        <v>0</v>
      </c>
      <c r="M90" t="n">
        <v>0</v>
      </c>
      <c r="N90" t="n">
        <v>0</v>
      </c>
      <c r="O90" t="n">
        <v>0</v>
      </c>
      <c r="P90" t="n">
        <v>0</v>
      </c>
      <c r="Q90" t="n">
        <v>0</v>
      </c>
      <c r="R90" s="2" t="inlineStr"/>
    </row>
    <row r="91" ht="15" customHeight="1">
      <c r="A91" t="inlineStr">
        <is>
          <t>A 18669-2020</t>
        </is>
      </c>
      <c r="B91" s="1" t="n">
        <v>43930</v>
      </c>
      <c r="C91" s="1" t="n">
        <v>45731</v>
      </c>
      <c r="D91" t="inlineStr">
        <is>
          <t>ÖREBRO LÄN</t>
        </is>
      </c>
      <c r="E91" t="inlineStr">
        <is>
          <t>HÄLLEFORS</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18672-2020</t>
        </is>
      </c>
      <c r="B92" s="1" t="n">
        <v>43930</v>
      </c>
      <c r="C92" s="1" t="n">
        <v>45731</v>
      </c>
      <c r="D92" t="inlineStr">
        <is>
          <t>ÖREBRO LÄN</t>
        </is>
      </c>
      <c r="E92" t="inlineStr">
        <is>
          <t>HÄLLEFORS</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20719-2020</t>
        </is>
      </c>
      <c r="B93" s="1" t="n">
        <v>43949</v>
      </c>
      <c r="C93" s="1" t="n">
        <v>45731</v>
      </c>
      <c r="D93" t="inlineStr">
        <is>
          <t>ÖREBRO LÄN</t>
        </is>
      </c>
      <c r="E93" t="inlineStr">
        <is>
          <t>HÄLLEFORS</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20718-2020</t>
        </is>
      </c>
      <c r="B94" s="1" t="n">
        <v>43949</v>
      </c>
      <c r="C94" s="1" t="n">
        <v>45731</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21177-2020</t>
        </is>
      </c>
      <c r="B95" s="1" t="n">
        <v>43951</v>
      </c>
      <c r="C95" s="1" t="n">
        <v>45731</v>
      </c>
      <c r="D95" t="inlineStr">
        <is>
          <t>ÖREBRO LÄN</t>
        </is>
      </c>
      <c r="E95" t="inlineStr">
        <is>
          <t>HÄLLEFORS</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21750-2020</t>
        </is>
      </c>
      <c r="B96" s="1" t="n">
        <v>43957</v>
      </c>
      <c r="C96" s="1" t="n">
        <v>45731</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21859-2020</t>
        </is>
      </c>
      <c r="B97" s="1" t="n">
        <v>43958</v>
      </c>
      <c r="C97" s="1" t="n">
        <v>45731</v>
      </c>
      <c r="D97" t="inlineStr">
        <is>
          <t>ÖREBRO LÄN</t>
        </is>
      </c>
      <c r="E97" t="inlineStr">
        <is>
          <t>HÄLLEFORS</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22729-2020</t>
        </is>
      </c>
      <c r="B98" s="1" t="n">
        <v>43962</v>
      </c>
      <c r="C98" s="1" t="n">
        <v>45731</v>
      </c>
      <c r="D98" t="inlineStr">
        <is>
          <t>ÖREBRO LÄN</t>
        </is>
      </c>
      <c r="E98" t="inlineStr">
        <is>
          <t>HÄLLEFORS</t>
        </is>
      </c>
      <c r="G98" t="n">
        <v>1.5</v>
      </c>
      <c r="H98" t="n">
        <v>0</v>
      </c>
      <c r="I98" t="n">
        <v>0</v>
      </c>
      <c r="J98" t="n">
        <v>0</v>
      </c>
      <c r="K98" t="n">
        <v>0</v>
      </c>
      <c r="L98" t="n">
        <v>0</v>
      </c>
      <c r="M98" t="n">
        <v>0</v>
      </c>
      <c r="N98" t="n">
        <v>0</v>
      </c>
      <c r="O98" t="n">
        <v>0</v>
      </c>
      <c r="P98" t="n">
        <v>0</v>
      </c>
      <c r="Q98" t="n">
        <v>0</v>
      </c>
      <c r="R98" s="2" t="inlineStr"/>
    </row>
    <row r="99" ht="15" customHeight="1">
      <c r="A99" t="inlineStr">
        <is>
          <t>A 24483-2020</t>
        </is>
      </c>
      <c r="B99" s="1" t="n">
        <v>43977</v>
      </c>
      <c r="C99" s="1" t="n">
        <v>45731</v>
      </c>
      <c r="D99" t="inlineStr">
        <is>
          <t>ÖREBRO LÄN</t>
        </is>
      </c>
      <c r="E99" t="inlineStr">
        <is>
          <t>HÄLLEFORS</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27171-2020</t>
        </is>
      </c>
      <c r="B100" s="1" t="n">
        <v>43991</v>
      </c>
      <c r="C100" s="1" t="n">
        <v>45731</v>
      </c>
      <c r="D100" t="inlineStr">
        <is>
          <t>ÖREBRO LÄN</t>
        </is>
      </c>
      <c r="E100" t="inlineStr">
        <is>
          <t>HÄLLEFORS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27173-2020</t>
        </is>
      </c>
      <c r="B101" s="1" t="n">
        <v>43991</v>
      </c>
      <c r="C101" s="1" t="n">
        <v>45731</v>
      </c>
      <c r="D101" t="inlineStr">
        <is>
          <t>ÖREBRO LÄN</t>
        </is>
      </c>
      <c r="E101" t="inlineStr">
        <is>
          <t>HÄLLEFORS</t>
        </is>
      </c>
      <c r="G101" t="n">
        <v>2.9</v>
      </c>
      <c r="H101" t="n">
        <v>0</v>
      </c>
      <c r="I101" t="n">
        <v>0</v>
      </c>
      <c r="J101" t="n">
        <v>0</v>
      </c>
      <c r="K101" t="n">
        <v>0</v>
      </c>
      <c r="L101" t="n">
        <v>0</v>
      </c>
      <c r="M101" t="n">
        <v>0</v>
      </c>
      <c r="N101" t="n">
        <v>0</v>
      </c>
      <c r="O101" t="n">
        <v>0</v>
      </c>
      <c r="P101" t="n">
        <v>0</v>
      </c>
      <c r="Q101" t="n">
        <v>0</v>
      </c>
      <c r="R101" s="2" t="inlineStr"/>
    </row>
    <row r="102" ht="15" customHeight="1">
      <c r="A102" t="inlineStr">
        <is>
          <t>A 28373-2020</t>
        </is>
      </c>
      <c r="B102" s="1" t="n">
        <v>43998</v>
      </c>
      <c r="C102" s="1" t="n">
        <v>45731</v>
      </c>
      <c r="D102" t="inlineStr">
        <is>
          <t>ÖREBRO LÄN</t>
        </is>
      </c>
      <c r="E102" t="inlineStr">
        <is>
          <t>HÄLLEFORS</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32649-2020</t>
        </is>
      </c>
      <c r="B103" s="1" t="n">
        <v>44018</v>
      </c>
      <c r="C103" s="1" t="n">
        <v>45731</v>
      </c>
      <c r="D103" t="inlineStr">
        <is>
          <t>ÖREBRO LÄN</t>
        </is>
      </c>
      <c r="E103" t="inlineStr">
        <is>
          <t>HÄLLEFORS</t>
        </is>
      </c>
      <c r="F103" t="inlineStr">
        <is>
          <t>Kyrkan</t>
        </is>
      </c>
      <c r="G103" t="n">
        <v>10.8</v>
      </c>
      <c r="H103" t="n">
        <v>0</v>
      </c>
      <c r="I103" t="n">
        <v>0</v>
      </c>
      <c r="J103" t="n">
        <v>0</v>
      </c>
      <c r="K103" t="n">
        <v>0</v>
      </c>
      <c r="L103" t="n">
        <v>0</v>
      </c>
      <c r="M103" t="n">
        <v>0</v>
      </c>
      <c r="N103" t="n">
        <v>0</v>
      </c>
      <c r="O103" t="n">
        <v>0</v>
      </c>
      <c r="P103" t="n">
        <v>0</v>
      </c>
      <c r="Q103" t="n">
        <v>0</v>
      </c>
      <c r="R103" s="2" t="inlineStr"/>
    </row>
    <row r="104" ht="15" customHeight="1">
      <c r="A104" t="inlineStr">
        <is>
          <t>A 34415-2020</t>
        </is>
      </c>
      <c r="B104" s="1" t="n">
        <v>44032</v>
      </c>
      <c r="C104" s="1" t="n">
        <v>45731</v>
      </c>
      <c r="D104" t="inlineStr">
        <is>
          <t>ÖREBRO LÄN</t>
        </is>
      </c>
      <c r="E104" t="inlineStr">
        <is>
          <t>HÄLLEFORS</t>
        </is>
      </c>
      <c r="F104" t="inlineStr">
        <is>
          <t>Bergvik skog väst AB</t>
        </is>
      </c>
      <c r="G104" t="n">
        <v>2.1</v>
      </c>
      <c r="H104" t="n">
        <v>0</v>
      </c>
      <c r="I104" t="n">
        <v>0</v>
      </c>
      <c r="J104" t="n">
        <v>0</v>
      </c>
      <c r="K104" t="n">
        <v>0</v>
      </c>
      <c r="L104" t="n">
        <v>0</v>
      </c>
      <c r="M104" t="n">
        <v>0</v>
      </c>
      <c r="N104" t="n">
        <v>0</v>
      </c>
      <c r="O104" t="n">
        <v>0</v>
      </c>
      <c r="P104" t="n">
        <v>0</v>
      </c>
      <c r="Q104" t="n">
        <v>0</v>
      </c>
      <c r="R104" s="2" t="inlineStr"/>
    </row>
    <row r="105" ht="15" customHeight="1">
      <c r="A105" t="inlineStr">
        <is>
          <t>A 35825-2020</t>
        </is>
      </c>
      <c r="B105" s="1" t="n">
        <v>44047</v>
      </c>
      <c r="C105" s="1" t="n">
        <v>45731</v>
      </c>
      <c r="D105" t="inlineStr">
        <is>
          <t>ÖREBRO LÄN</t>
        </is>
      </c>
      <c r="E105" t="inlineStr">
        <is>
          <t>HÄLLEFORS</t>
        </is>
      </c>
      <c r="G105" t="n">
        <v>4.8</v>
      </c>
      <c r="H105" t="n">
        <v>0</v>
      </c>
      <c r="I105" t="n">
        <v>0</v>
      </c>
      <c r="J105" t="n">
        <v>0</v>
      </c>
      <c r="K105" t="n">
        <v>0</v>
      </c>
      <c r="L105" t="n">
        <v>0</v>
      </c>
      <c r="M105" t="n">
        <v>0</v>
      </c>
      <c r="N105" t="n">
        <v>0</v>
      </c>
      <c r="O105" t="n">
        <v>0</v>
      </c>
      <c r="P105" t="n">
        <v>0</v>
      </c>
      <c r="Q105" t="n">
        <v>0</v>
      </c>
      <c r="R105" s="2" t="inlineStr"/>
    </row>
    <row r="106" ht="15" customHeight="1">
      <c r="A106" t="inlineStr">
        <is>
          <t>A 39505-2020</t>
        </is>
      </c>
      <c r="B106" s="1" t="n">
        <v>44064</v>
      </c>
      <c r="C106" s="1" t="n">
        <v>45731</v>
      </c>
      <c r="D106" t="inlineStr">
        <is>
          <t>ÖREBRO LÄN</t>
        </is>
      </c>
      <c r="E106" t="inlineStr">
        <is>
          <t>HÄLLEFORS</t>
        </is>
      </c>
      <c r="F106" t="inlineStr">
        <is>
          <t>Bergvik skog väst AB</t>
        </is>
      </c>
      <c r="G106" t="n">
        <v>3.9</v>
      </c>
      <c r="H106" t="n">
        <v>0</v>
      </c>
      <c r="I106" t="n">
        <v>0</v>
      </c>
      <c r="J106" t="n">
        <v>0</v>
      </c>
      <c r="K106" t="n">
        <v>0</v>
      </c>
      <c r="L106" t="n">
        <v>0</v>
      </c>
      <c r="M106" t="n">
        <v>0</v>
      </c>
      <c r="N106" t="n">
        <v>0</v>
      </c>
      <c r="O106" t="n">
        <v>0</v>
      </c>
      <c r="P106" t="n">
        <v>0</v>
      </c>
      <c r="Q106" t="n">
        <v>0</v>
      </c>
      <c r="R106" s="2" t="inlineStr"/>
    </row>
    <row r="107" ht="15" customHeight="1">
      <c r="A107" t="inlineStr">
        <is>
          <t>A 39512-2020</t>
        </is>
      </c>
      <c r="B107" s="1" t="n">
        <v>44064</v>
      </c>
      <c r="C107" s="1" t="n">
        <v>45731</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39557-2020</t>
        </is>
      </c>
      <c r="B108" s="1" t="n">
        <v>44064</v>
      </c>
      <c r="C108" s="1" t="n">
        <v>45731</v>
      </c>
      <c r="D108" t="inlineStr">
        <is>
          <t>ÖREBRO LÄN</t>
        </is>
      </c>
      <c r="E108" t="inlineStr">
        <is>
          <t>HÄLLEFORS</t>
        </is>
      </c>
      <c r="F108" t="inlineStr">
        <is>
          <t>Bergvik skog väst AB</t>
        </is>
      </c>
      <c r="G108" t="n">
        <v>18.1</v>
      </c>
      <c r="H108" t="n">
        <v>0</v>
      </c>
      <c r="I108" t="n">
        <v>0</v>
      </c>
      <c r="J108" t="n">
        <v>0</v>
      </c>
      <c r="K108" t="n">
        <v>0</v>
      </c>
      <c r="L108" t="n">
        <v>0</v>
      </c>
      <c r="M108" t="n">
        <v>0</v>
      </c>
      <c r="N108" t="n">
        <v>0</v>
      </c>
      <c r="O108" t="n">
        <v>0</v>
      </c>
      <c r="P108" t="n">
        <v>0</v>
      </c>
      <c r="Q108" t="n">
        <v>0</v>
      </c>
      <c r="R108" s="2" t="inlineStr"/>
    </row>
    <row r="109" ht="15" customHeight="1">
      <c r="A109" t="inlineStr">
        <is>
          <t>A 39484-2020</t>
        </is>
      </c>
      <c r="B109" s="1" t="n">
        <v>44064</v>
      </c>
      <c r="C109" s="1" t="n">
        <v>45731</v>
      </c>
      <c r="D109" t="inlineStr">
        <is>
          <t>ÖREBRO LÄN</t>
        </is>
      </c>
      <c r="E109" t="inlineStr">
        <is>
          <t>HÄLLEFORS</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39499-2020</t>
        </is>
      </c>
      <c r="B110" s="1" t="n">
        <v>44064</v>
      </c>
      <c r="C110" s="1" t="n">
        <v>45731</v>
      </c>
      <c r="D110" t="inlineStr">
        <is>
          <t>ÖREBRO LÄN</t>
        </is>
      </c>
      <c r="E110" t="inlineStr">
        <is>
          <t>HÄLLEFORS</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39607-2020</t>
        </is>
      </c>
      <c r="B111" s="1" t="n">
        <v>44064</v>
      </c>
      <c r="C111" s="1" t="n">
        <v>45731</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39572-2020</t>
        </is>
      </c>
      <c r="B112" s="1" t="n">
        <v>44064</v>
      </c>
      <c r="C112" s="1" t="n">
        <v>45731</v>
      </c>
      <c r="D112" t="inlineStr">
        <is>
          <t>ÖREBRO LÄN</t>
        </is>
      </c>
      <c r="E112" t="inlineStr">
        <is>
          <t>HÄLLEFORS</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39603-2020</t>
        </is>
      </c>
      <c r="B113" s="1" t="n">
        <v>44064</v>
      </c>
      <c r="C113" s="1" t="n">
        <v>45731</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39613-2020</t>
        </is>
      </c>
      <c r="B114" s="1" t="n">
        <v>44064</v>
      </c>
      <c r="C114" s="1" t="n">
        <v>45731</v>
      </c>
      <c r="D114" t="inlineStr">
        <is>
          <t>ÖREBRO LÄN</t>
        </is>
      </c>
      <c r="E114" t="inlineStr">
        <is>
          <t>HÄLLEFORS</t>
        </is>
      </c>
      <c r="F114" t="inlineStr">
        <is>
          <t>Bergvik skog väst AB</t>
        </is>
      </c>
      <c r="G114" t="n">
        <v>5</v>
      </c>
      <c r="H114" t="n">
        <v>0</v>
      </c>
      <c r="I114" t="n">
        <v>0</v>
      </c>
      <c r="J114" t="n">
        <v>0</v>
      </c>
      <c r="K114" t="n">
        <v>0</v>
      </c>
      <c r="L114" t="n">
        <v>0</v>
      </c>
      <c r="M114" t="n">
        <v>0</v>
      </c>
      <c r="N114" t="n">
        <v>0</v>
      </c>
      <c r="O114" t="n">
        <v>0</v>
      </c>
      <c r="P114" t="n">
        <v>0</v>
      </c>
      <c r="Q114" t="n">
        <v>0</v>
      </c>
      <c r="R114" s="2" t="inlineStr"/>
    </row>
    <row r="115" ht="15" customHeight="1">
      <c r="A115" t="inlineStr">
        <is>
          <t>A 39564-2020</t>
        </is>
      </c>
      <c r="B115" s="1" t="n">
        <v>44064</v>
      </c>
      <c r="C115" s="1" t="n">
        <v>45731</v>
      </c>
      <c r="D115" t="inlineStr">
        <is>
          <t>ÖREBRO LÄN</t>
        </is>
      </c>
      <c r="E115" t="inlineStr">
        <is>
          <t>HÄLLEFORS</t>
        </is>
      </c>
      <c r="F115" t="inlineStr">
        <is>
          <t>Bergvik skog väst AB</t>
        </is>
      </c>
      <c r="G115" t="n">
        <v>3</v>
      </c>
      <c r="H115" t="n">
        <v>0</v>
      </c>
      <c r="I115" t="n">
        <v>0</v>
      </c>
      <c r="J115" t="n">
        <v>0</v>
      </c>
      <c r="K115" t="n">
        <v>0</v>
      </c>
      <c r="L115" t="n">
        <v>0</v>
      </c>
      <c r="M115" t="n">
        <v>0</v>
      </c>
      <c r="N115" t="n">
        <v>0</v>
      </c>
      <c r="O115" t="n">
        <v>0</v>
      </c>
      <c r="P115" t="n">
        <v>0</v>
      </c>
      <c r="Q115" t="n">
        <v>0</v>
      </c>
      <c r="R115" s="2" t="inlineStr"/>
    </row>
    <row r="116" ht="15" customHeight="1">
      <c r="A116" t="inlineStr">
        <is>
          <t>A 39914-2020</t>
        </is>
      </c>
      <c r="B116" s="1" t="n">
        <v>44067</v>
      </c>
      <c r="C116" s="1" t="n">
        <v>45731</v>
      </c>
      <c r="D116" t="inlineStr">
        <is>
          <t>ÖREBRO LÄN</t>
        </is>
      </c>
      <c r="E116" t="inlineStr">
        <is>
          <t>HÄLLEFORS</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39921-2020</t>
        </is>
      </c>
      <c r="B117" s="1" t="n">
        <v>44067</v>
      </c>
      <c r="C117" s="1" t="n">
        <v>45731</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40467-2020</t>
        </is>
      </c>
      <c r="B118" s="1" t="n">
        <v>44069</v>
      </c>
      <c r="C118" s="1" t="n">
        <v>45731</v>
      </c>
      <c r="D118" t="inlineStr">
        <is>
          <t>ÖREBRO LÄN</t>
        </is>
      </c>
      <c r="E118" t="inlineStr">
        <is>
          <t>HÄLLEFORS</t>
        </is>
      </c>
      <c r="G118" t="n">
        <v>0.5</v>
      </c>
      <c r="H118" t="n">
        <v>0</v>
      </c>
      <c r="I118" t="n">
        <v>0</v>
      </c>
      <c r="J118" t="n">
        <v>0</v>
      </c>
      <c r="K118" t="n">
        <v>0</v>
      </c>
      <c r="L118" t="n">
        <v>0</v>
      </c>
      <c r="M118" t="n">
        <v>0</v>
      </c>
      <c r="N118" t="n">
        <v>0</v>
      </c>
      <c r="O118" t="n">
        <v>0</v>
      </c>
      <c r="P118" t="n">
        <v>0</v>
      </c>
      <c r="Q118" t="n">
        <v>0</v>
      </c>
      <c r="R118" s="2" t="inlineStr"/>
    </row>
    <row r="119" ht="15" customHeight="1">
      <c r="A119" t="inlineStr">
        <is>
          <t>A 40935-2020</t>
        </is>
      </c>
      <c r="B119" s="1" t="n">
        <v>44070</v>
      </c>
      <c r="C119" s="1" t="n">
        <v>45731</v>
      </c>
      <c r="D119" t="inlineStr">
        <is>
          <t>ÖREBRO LÄN</t>
        </is>
      </c>
      <c r="E119" t="inlineStr">
        <is>
          <t>HÄLLEFORS</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42613-2020</t>
        </is>
      </c>
      <c r="B120" s="1" t="n">
        <v>44077</v>
      </c>
      <c r="C120" s="1" t="n">
        <v>45731</v>
      </c>
      <c r="D120" t="inlineStr">
        <is>
          <t>ÖREBRO LÄN</t>
        </is>
      </c>
      <c r="E120" t="inlineStr">
        <is>
          <t>HÄLLEFORS</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44924-2020</t>
        </is>
      </c>
      <c r="B121" s="1" t="n">
        <v>44083</v>
      </c>
      <c r="C121" s="1" t="n">
        <v>45731</v>
      </c>
      <c r="D121" t="inlineStr">
        <is>
          <t>ÖREBRO LÄN</t>
        </is>
      </c>
      <c r="E121" t="inlineStr">
        <is>
          <t>HÄLLEFORS</t>
        </is>
      </c>
      <c r="G121" t="n">
        <v>0.7</v>
      </c>
      <c r="H121" t="n">
        <v>0</v>
      </c>
      <c r="I121" t="n">
        <v>0</v>
      </c>
      <c r="J121" t="n">
        <v>0</v>
      </c>
      <c r="K121" t="n">
        <v>0</v>
      </c>
      <c r="L121" t="n">
        <v>0</v>
      </c>
      <c r="M121" t="n">
        <v>0</v>
      </c>
      <c r="N121" t="n">
        <v>0</v>
      </c>
      <c r="O121" t="n">
        <v>0</v>
      </c>
      <c r="P121" t="n">
        <v>0</v>
      </c>
      <c r="Q121" t="n">
        <v>0</v>
      </c>
      <c r="R121" s="2" t="inlineStr"/>
    </row>
    <row r="122" ht="15" customHeight="1">
      <c r="A122" t="inlineStr">
        <is>
          <t>A 44556-2020</t>
        </is>
      </c>
      <c r="B122" s="1" t="n">
        <v>44085</v>
      </c>
      <c r="C122" s="1" t="n">
        <v>45731</v>
      </c>
      <c r="D122" t="inlineStr">
        <is>
          <t>ÖREBRO LÄN</t>
        </is>
      </c>
      <c r="E122" t="inlineStr">
        <is>
          <t>HÄLLEFORS</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45459-2020</t>
        </is>
      </c>
      <c r="B123" s="1" t="n">
        <v>44089</v>
      </c>
      <c r="C123" s="1" t="n">
        <v>45731</v>
      </c>
      <c r="D123" t="inlineStr">
        <is>
          <t>ÖREBRO LÄN</t>
        </is>
      </c>
      <c r="E123" t="inlineStr">
        <is>
          <t>HÄLLEFORS</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47609-2020</t>
        </is>
      </c>
      <c r="B124" s="1" t="n">
        <v>44098</v>
      </c>
      <c r="C124" s="1" t="n">
        <v>45731</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47702-2020</t>
        </is>
      </c>
      <c r="B125" s="1" t="n">
        <v>44098</v>
      </c>
      <c r="C125" s="1" t="n">
        <v>45731</v>
      </c>
      <c r="D125" t="inlineStr">
        <is>
          <t>ÖREBRO LÄN</t>
        </is>
      </c>
      <c r="E125" t="inlineStr">
        <is>
          <t>HÄLLEFORS</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47614-2020</t>
        </is>
      </c>
      <c r="B126" s="1" t="n">
        <v>44098</v>
      </c>
      <c r="C126" s="1" t="n">
        <v>45731</v>
      </c>
      <c r="D126" t="inlineStr">
        <is>
          <t>ÖREBRO LÄN</t>
        </is>
      </c>
      <c r="E126" t="inlineStr">
        <is>
          <t>HÄLLEFORS</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47731-2020</t>
        </is>
      </c>
      <c r="B127" s="1" t="n">
        <v>44098</v>
      </c>
      <c r="C127" s="1" t="n">
        <v>45731</v>
      </c>
      <c r="D127" t="inlineStr">
        <is>
          <t>ÖREBRO LÄN</t>
        </is>
      </c>
      <c r="E127" t="inlineStr">
        <is>
          <t>HÄLLEFORS</t>
        </is>
      </c>
      <c r="F127" t="inlineStr">
        <is>
          <t>Bergvik skog väst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48127-2020</t>
        </is>
      </c>
      <c r="B128" s="1" t="n">
        <v>44102</v>
      </c>
      <c r="C128" s="1" t="n">
        <v>45731</v>
      </c>
      <c r="D128" t="inlineStr">
        <is>
          <t>ÖREBRO LÄN</t>
        </is>
      </c>
      <c r="E128" t="inlineStr">
        <is>
          <t>HÄLLEFORS</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48316-2020</t>
        </is>
      </c>
      <c r="B129" s="1" t="n">
        <v>44102</v>
      </c>
      <c r="C129" s="1" t="n">
        <v>45731</v>
      </c>
      <c r="D129" t="inlineStr">
        <is>
          <t>ÖREBRO LÄN</t>
        </is>
      </c>
      <c r="E129" t="inlineStr">
        <is>
          <t>HÄLLEFORS</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49640-2020</t>
        </is>
      </c>
      <c r="B130" s="1" t="n">
        <v>44106</v>
      </c>
      <c r="C130" s="1" t="n">
        <v>45731</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49719-2020</t>
        </is>
      </c>
      <c r="B131" s="1" t="n">
        <v>44106</v>
      </c>
      <c r="C131" s="1" t="n">
        <v>45731</v>
      </c>
      <c r="D131" t="inlineStr">
        <is>
          <t>ÖREBRO LÄN</t>
        </is>
      </c>
      <c r="E131" t="inlineStr">
        <is>
          <t>HÄLLEFORS</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49642-2020</t>
        </is>
      </c>
      <c r="B132" s="1" t="n">
        <v>44106</v>
      </c>
      <c r="C132" s="1" t="n">
        <v>45731</v>
      </c>
      <c r="D132" t="inlineStr">
        <is>
          <t>ÖREBRO LÄN</t>
        </is>
      </c>
      <c r="E132" t="inlineStr">
        <is>
          <t>HÄLLEFORS</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49650-2020</t>
        </is>
      </c>
      <c r="B133" s="1" t="n">
        <v>44106</v>
      </c>
      <c r="C133" s="1" t="n">
        <v>45731</v>
      </c>
      <c r="D133" t="inlineStr">
        <is>
          <t>ÖREBRO LÄN</t>
        </is>
      </c>
      <c r="E133" t="inlineStr">
        <is>
          <t>HÄLLEFORS</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49882-2020</t>
        </is>
      </c>
      <c r="B134" s="1" t="n">
        <v>44108</v>
      </c>
      <c r="C134" s="1" t="n">
        <v>45731</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50345-2020</t>
        </is>
      </c>
      <c r="B135" s="1" t="n">
        <v>44110</v>
      </c>
      <c r="C135" s="1" t="n">
        <v>45731</v>
      </c>
      <c r="D135" t="inlineStr">
        <is>
          <t>ÖREBRO LÄN</t>
        </is>
      </c>
      <c r="E135" t="inlineStr">
        <is>
          <t>HÄLLEFORS</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58534-2020</t>
        </is>
      </c>
      <c r="B136" s="1" t="n">
        <v>44145</v>
      </c>
      <c r="C136" s="1" t="n">
        <v>45731</v>
      </c>
      <c r="D136" t="inlineStr">
        <is>
          <t>ÖREBRO LÄN</t>
        </is>
      </c>
      <c r="E136" t="inlineStr">
        <is>
          <t>HÄLLEFORS</t>
        </is>
      </c>
      <c r="G136" t="n">
        <v>3.1</v>
      </c>
      <c r="H136" t="n">
        <v>0</v>
      </c>
      <c r="I136" t="n">
        <v>0</v>
      </c>
      <c r="J136" t="n">
        <v>0</v>
      </c>
      <c r="K136" t="n">
        <v>0</v>
      </c>
      <c r="L136" t="n">
        <v>0</v>
      </c>
      <c r="M136" t="n">
        <v>0</v>
      </c>
      <c r="N136" t="n">
        <v>0</v>
      </c>
      <c r="O136" t="n">
        <v>0</v>
      </c>
      <c r="P136" t="n">
        <v>0</v>
      </c>
      <c r="Q136" t="n">
        <v>0</v>
      </c>
      <c r="R136" s="2" t="inlineStr"/>
    </row>
    <row r="137" ht="15" customHeight="1">
      <c r="A137" t="inlineStr">
        <is>
          <t>A 58756-2020</t>
        </is>
      </c>
      <c r="B137" s="1" t="n">
        <v>44146</v>
      </c>
      <c r="C137" s="1" t="n">
        <v>45731</v>
      </c>
      <c r="D137" t="inlineStr">
        <is>
          <t>ÖREBRO LÄN</t>
        </is>
      </c>
      <c r="E137" t="inlineStr">
        <is>
          <t>HÄLLEFORS</t>
        </is>
      </c>
      <c r="F137" t="inlineStr">
        <is>
          <t>Sveaskog</t>
        </is>
      </c>
      <c r="G137" t="n">
        <v>2</v>
      </c>
      <c r="H137" t="n">
        <v>0</v>
      </c>
      <c r="I137" t="n">
        <v>0</v>
      </c>
      <c r="J137" t="n">
        <v>0</v>
      </c>
      <c r="K137" t="n">
        <v>0</v>
      </c>
      <c r="L137" t="n">
        <v>0</v>
      </c>
      <c r="M137" t="n">
        <v>0</v>
      </c>
      <c r="N137" t="n">
        <v>0</v>
      </c>
      <c r="O137" t="n">
        <v>0</v>
      </c>
      <c r="P137" t="n">
        <v>0</v>
      </c>
      <c r="Q137" t="n">
        <v>0</v>
      </c>
      <c r="R137" s="2" t="inlineStr"/>
      <c r="U137">
        <f>HYPERLINK("https://klasma.github.io/Logging_1863/knärot/A 58756-2020 karta knärot.png", "A 58756-2020")</f>
        <v/>
      </c>
      <c r="V137">
        <f>HYPERLINK("https://klasma.github.io/Logging_1863/klagomål/A 58756-2020 FSC-klagomål.docx", "A 58756-2020")</f>
        <v/>
      </c>
      <c r="W137">
        <f>HYPERLINK("https://klasma.github.io/Logging_1863/klagomålsmail/A 58756-2020 FSC-klagomål mail.docx", "A 58756-2020")</f>
        <v/>
      </c>
      <c r="X137">
        <f>HYPERLINK("https://klasma.github.io/Logging_1863/tillsyn/A 58756-2020 tillsynsbegäran.docx", "A 58756-2020")</f>
        <v/>
      </c>
      <c r="Y137">
        <f>HYPERLINK("https://klasma.github.io/Logging_1863/tillsynsmail/A 58756-2020 tillsynsbegäran mail.docx", "A 58756-2020")</f>
        <v/>
      </c>
    </row>
    <row r="138" ht="15" customHeight="1">
      <c r="A138" t="inlineStr">
        <is>
          <t>A 59294-2020</t>
        </is>
      </c>
      <c r="B138" s="1" t="n">
        <v>44147</v>
      </c>
      <c r="C138" s="1" t="n">
        <v>45731</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45731</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45731</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45731</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45731</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45731</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45731</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45731</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45731</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45731</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45731</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45731</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45731</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45731</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45731</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45731</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45731</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45731</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45731</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45731</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45731</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45731</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45731</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45731</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45731</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45731</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45731</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45731</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45731</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45731</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45731</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45731</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45731</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45731</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45731</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45731</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45731</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45731</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45731</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45731</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45731</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45731</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45731</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45731</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45731</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45731</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45731</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45731</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45731</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45731</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45731</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45731</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45731</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45731</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45731</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45731</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45731</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45731</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45731</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45731</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45731</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45731</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45731</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45731</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45731</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45731</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45731</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45731</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45731</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45731</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45731</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45731</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45731</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45731</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45731</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45731</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45731</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45731</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45731</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45731</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45731</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45731</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45731</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45731</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45731</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45731</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45731</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45731</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45731</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45731</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45731</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45731</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45731</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45731</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45731</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45731</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45731</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45731</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45731</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45731</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45731</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45731</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45731</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45731</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45731</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45731</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45731</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45731</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45731</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45731</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45731</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45731</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45731</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45731</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45731</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45731</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45731</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45731</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45731</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45731</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45731</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45731</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45731</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45731</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45731</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45731</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45731</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45731</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45731</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45731</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45731</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45731</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45731</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45731</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45731</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45731</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45731</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45731</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45731</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45731</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45731</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45731</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45731</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45731</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45731</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45731</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45731</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45731</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45731</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45731</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45731</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45731</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45731</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45731</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45731</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45731</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45731</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45731</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45731</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45731</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45731</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45731</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45731</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45731</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45731</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45731</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45731</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45731</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45731</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45731</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45731</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45731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45731</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45731</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45731</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45731</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45731</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45731</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45731</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45731</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45731</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45731</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45731</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45731</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45731</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45731</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45731</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45731</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45731</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45731</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45731</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45731</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45731</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45731</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45731</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45731</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45731</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45731</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45731</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45731</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45731</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45731</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45731</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45731</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45731</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45731</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45731</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45731</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45731</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45731</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45731</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45731</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45731</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45731</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45731</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45731</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45731</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45731</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45731</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45731</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45731</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45731</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45731</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45731</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45731</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45731</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45731</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45731</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45731</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45731</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45731</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45731</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45731</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45731</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45731</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45731</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45731</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45731</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45731</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45731</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45731</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45731</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45731</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45731</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45731</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45731</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45731</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45731</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45731</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45731</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45731</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45731</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45731</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45731</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45731</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45731</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45731</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45731</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45731</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45731</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45731</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45731</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45731</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45731</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45731</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45731</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45731</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45731</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45731</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45731</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45731</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45731</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45731</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45731</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45731</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45731</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45731</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45731</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45731</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45731</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45731</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45731</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45731</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45731</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45731</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45731</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45731</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45731</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45731</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45731</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45731</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45731</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45731</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45731</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45731</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45731</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45731</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45731</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45731</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45731</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45731</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45731</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45731</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45731</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45731</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45731</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45731</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45731</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45731</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45731</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45731</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45731</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45731</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45731</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45731</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45731</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45731</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45731</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45731</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45731</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45731</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45731</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45731</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45731</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45731</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45731</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45731</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45731</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45731</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45731</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45731</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45731</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45731</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45731</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45731</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45731</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45731</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45731</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45731</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45731</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45731</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45731</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45731</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45731</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45731</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45731</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45731</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45731</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45731</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45731</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45731</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45731</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45731</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45731</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45731</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45731</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45731</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45731</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45731</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45731</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45731</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45731</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45731</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45731</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45731</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45731</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45731</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45731</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45731</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45731</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45731</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45731</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45731</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45731</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45731</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45731</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45731</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45731</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45731</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45731</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45731</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45731</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45731</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45731</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45731</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45731</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45731</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45731</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45731</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45731</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45731</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45731</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45731</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45731</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45731</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45731</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45731</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45731</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45731</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45731</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45731</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45731</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45731</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45731</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45731</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45731</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45731</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45731</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45731</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45731</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45731</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45731</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45731</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45731</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45731</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45731</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45731</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45731</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45731</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45731</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45731</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45731</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45731</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45731</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45731</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45731</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45731</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45731</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45731</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45731</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45731</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45731</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45731</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45731</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45731</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45731</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45731</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45731</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45731</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45731</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45731</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45731</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45731</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45731</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45731</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45731</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45731</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45731</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45731</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45731</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45731</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45731</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45731</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45731</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45731</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45731</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45731</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45731</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45731</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45731</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45731</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45731</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45731</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45731</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45731</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45731</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45731</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45731</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45731</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45731</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45731</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45731</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45731</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45731</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45731</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45731</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45731</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45731</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45731</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45731</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45731</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45731</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45731</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45731</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45731</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45731</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45731</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45731</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45731</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45731</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45731</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45731</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45731</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45731</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45731</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45731</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45731</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45731</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45731</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45731</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45731</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45731</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45731</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45731</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45731</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45731</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45731</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45731</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45731</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45731</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45731</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45731</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45731</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45731</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45731</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45731</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45731</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45731</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45731</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45731</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45731</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45731</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45731</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45731</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45731</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45731</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45731</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45731</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45731</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45731</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45731</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45731</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45731</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45731</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45731</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45731</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45731</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45731</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45731</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45731</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45731</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45731</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45731</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45731</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45731</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45731</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45731</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45731</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45731</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45731</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45731</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45731</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45731</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45731</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45731</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45731</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45731</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45731</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45731</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45731</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45731</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45731</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45731</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45731</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45731</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45731</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45731</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45731</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45731</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45731</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45731</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45731</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45731</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45731</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11987-2025</t>
        </is>
      </c>
      <c r="B712" s="1" t="n">
        <v>45728</v>
      </c>
      <c r="C712" s="1" t="n">
        <v>45731</v>
      </c>
      <c r="D712" t="inlineStr">
        <is>
          <t>ÖREBRO LÄN</t>
        </is>
      </c>
      <c r="E712" t="inlineStr">
        <is>
          <t>HÄLLEFORS</t>
        </is>
      </c>
      <c r="F712" t="inlineStr">
        <is>
          <t>Bergvik skog väst AB</t>
        </is>
      </c>
      <c r="G712" t="n">
        <v>9.1</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45731</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c r="A714" t="inlineStr">
        <is>
          <t>A 12511-2025</t>
        </is>
      </c>
      <c r="B714" s="1" t="n">
        <v>45730</v>
      </c>
      <c r="C714" s="1" t="n">
        <v>45731</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2025-03-15T17:42:07Z</dcterms:created>
  <dcterms:modified xmlns:dcterms="http://purl.org/dc/terms/" xmlns:xsi="http://www.w3.org/2001/XMLSchema-instance" xsi:type="dcterms:W3CDTF">2025-03-15T17:42:08Z</dcterms:modified>
</cp:coreProperties>
</file>