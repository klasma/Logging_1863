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45932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45932</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45932</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45932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45932</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45932</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45932</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45932</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45932</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21848-2025</t>
        </is>
      </c>
      <c r="B12" s="1" t="n">
        <v>45784</v>
      </c>
      <c r="C12" s="1" t="n">
        <v>45932</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5360-2022</t>
        </is>
      </c>
      <c r="B13" s="1" t="n">
        <v>44594</v>
      </c>
      <c r="C13" s="1" t="n">
        <v>45932</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16932-2025</t>
        </is>
      </c>
      <c r="B14" s="1" t="n">
        <v>45755.40261574074</v>
      </c>
      <c r="C14" s="1" t="n">
        <v>45932</v>
      </c>
      <c r="D14" t="inlineStr">
        <is>
          <t>ÖREBRO LÄN</t>
        </is>
      </c>
      <c r="E14" t="inlineStr">
        <is>
          <t>HÄLLEFORS</t>
        </is>
      </c>
      <c r="F14" t="inlineStr">
        <is>
          <t>Bergvik skog väst AB</t>
        </is>
      </c>
      <c r="G14" t="n">
        <v>4.9</v>
      </c>
      <c r="H14" t="n">
        <v>2</v>
      </c>
      <c r="I14" t="n">
        <v>0</v>
      </c>
      <c r="J14" t="n">
        <v>0</v>
      </c>
      <c r="K14" t="n">
        <v>0</v>
      </c>
      <c r="L14" t="n">
        <v>0</v>
      </c>
      <c r="M14" t="n">
        <v>0</v>
      </c>
      <c r="N14" t="n">
        <v>0</v>
      </c>
      <c r="O14" t="n">
        <v>0</v>
      </c>
      <c r="P14" t="n">
        <v>0</v>
      </c>
      <c r="Q14" t="n">
        <v>2</v>
      </c>
      <c r="R14" s="2" t="inlineStr">
        <is>
          <t>Kungsfågel
Revlummer</t>
        </is>
      </c>
      <c r="S14">
        <f>HYPERLINK("https://klasma.github.io/Logging_1863/artfynd/A 16932-2025 artfynd.xlsx", "A 16932-2025")</f>
        <v/>
      </c>
      <c r="T14">
        <f>HYPERLINK("https://klasma.github.io/Logging_1863/kartor/A 16932-2025 karta.png", "A 16932-2025")</f>
        <v/>
      </c>
      <c r="V14">
        <f>HYPERLINK("https://klasma.github.io/Logging_1863/klagomål/A 16932-2025 FSC-klagomål.docx", "A 16932-2025")</f>
        <v/>
      </c>
      <c r="W14">
        <f>HYPERLINK("https://klasma.github.io/Logging_1863/klagomålsmail/A 16932-2025 FSC-klagomål mail.docx", "A 16932-2025")</f>
        <v/>
      </c>
      <c r="X14">
        <f>HYPERLINK("https://klasma.github.io/Logging_1863/tillsyn/A 16932-2025 tillsynsbegäran.docx", "A 16932-2025")</f>
        <v/>
      </c>
      <c r="Y14">
        <f>HYPERLINK("https://klasma.github.io/Logging_1863/tillsynsmail/A 16932-2025 tillsynsbegäran mail.docx", "A 16932-2025")</f>
        <v/>
      </c>
      <c r="Z14">
        <f>HYPERLINK("https://klasma.github.io/Logging_1863/fåglar/A 16932-2025 prioriterade fågelarter.docx", "A 16932-2025")</f>
        <v/>
      </c>
    </row>
    <row r="15" ht="15" customHeight="1">
      <c r="A15" t="inlineStr">
        <is>
          <t>A 61590-2024</t>
        </is>
      </c>
      <c r="B15" s="1" t="n">
        <v>45646.63039351852</v>
      </c>
      <c r="C15" s="1" t="n">
        <v>45932</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37259-2024</t>
        </is>
      </c>
      <c r="B16" s="1" t="n">
        <v>45540.37113425926</v>
      </c>
      <c r="C16" s="1" t="n">
        <v>45932</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34050-2025</t>
        </is>
      </c>
      <c r="B17" s="1" t="n">
        <v>45845.40576388889</v>
      </c>
      <c r="C17" s="1" t="n">
        <v>45932</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44402-2025</t>
        </is>
      </c>
      <c r="B18" s="1" t="n">
        <v>45916.51012731482</v>
      </c>
      <c r="C18" s="1" t="n">
        <v>45932</v>
      </c>
      <c r="D18" t="inlineStr">
        <is>
          <t>ÖREBRO LÄN</t>
        </is>
      </c>
      <c r="E18" t="inlineStr">
        <is>
          <t>HÄLLEFORS</t>
        </is>
      </c>
      <c r="F18" t="inlineStr">
        <is>
          <t>Bergvik skog väst AB</t>
        </is>
      </c>
      <c r="G18" t="n">
        <v>1.8</v>
      </c>
      <c r="H18" t="n">
        <v>0</v>
      </c>
      <c r="I18" t="n">
        <v>1</v>
      </c>
      <c r="J18" t="n">
        <v>1</v>
      </c>
      <c r="K18" t="n">
        <v>0</v>
      </c>
      <c r="L18" t="n">
        <v>0</v>
      </c>
      <c r="M18" t="n">
        <v>0</v>
      </c>
      <c r="N18" t="n">
        <v>0</v>
      </c>
      <c r="O18" t="n">
        <v>1</v>
      </c>
      <c r="P18" t="n">
        <v>0</v>
      </c>
      <c r="Q18" t="n">
        <v>2</v>
      </c>
      <c r="R18" s="2" t="inlineStr">
        <is>
          <t>Garnlav
Vedticka</t>
        </is>
      </c>
      <c r="S18">
        <f>HYPERLINK("https://klasma.github.io/Logging_1863/artfynd/A 44402-2025 artfynd.xlsx", "A 44402-2025")</f>
        <v/>
      </c>
      <c r="T18">
        <f>HYPERLINK("https://klasma.github.io/Logging_1863/kartor/A 44402-2025 karta.png", "A 44402-2025")</f>
        <v/>
      </c>
      <c r="V18">
        <f>HYPERLINK("https://klasma.github.io/Logging_1863/klagomål/A 44402-2025 FSC-klagomål.docx", "A 44402-2025")</f>
        <v/>
      </c>
      <c r="W18">
        <f>HYPERLINK("https://klasma.github.io/Logging_1863/klagomålsmail/A 44402-2025 FSC-klagomål mail.docx", "A 44402-2025")</f>
        <v/>
      </c>
      <c r="X18">
        <f>HYPERLINK("https://klasma.github.io/Logging_1863/tillsyn/A 44402-2025 tillsynsbegäran.docx", "A 44402-2025")</f>
        <v/>
      </c>
      <c r="Y18">
        <f>HYPERLINK("https://klasma.github.io/Logging_1863/tillsynsmail/A 44402-2025 tillsynsbegäran mail.docx", "A 44402-2025")</f>
        <v/>
      </c>
    </row>
    <row r="19" ht="15" customHeight="1">
      <c r="A19" t="inlineStr">
        <is>
          <t>A 44397-2025</t>
        </is>
      </c>
      <c r="B19" s="1" t="n">
        <v>45916.50061342592</v>
      </c>
      <c r="C19" s="1" t="n">
        <v>45932</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46114-2021</t>
        </is>
      </c>
      <c r="B20" s="1" t="n">
        <v>44442.37515046296</v>
      </c>
      <c r="C20" s="1" t="n">
        <v>45932</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45932</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58764-2020</t>
        </is>
      </c>
      <c r="B22" s="1" t="n">
        <v>44146</v>
      </c>
      <c r="C22" s="1" t="n">
        <v>45932</v>
      </c>
      <c r="D22" t="inlineStr">
        <is>
          <t>ÖREBRO LÄN</t>
        </is>
      </c>
      <c r="E22" t="inlineStr">
        <is>
          <t>HÄLLEFORS</t>
        </is>
      </c>
      <c r="F22" t="inlineStr">
        <is>
          <t>Sveaskog</t>
        </is>
      </c>
      <c r="G22" t="n">
        <v>2</v>
      </c>
      <c r="H22" t="n">
        <v>1</v>
      </c>
      <c r="I22" t="n">
        <v>0</v>
      </c>
      <c r="J22" t="n">
        <v>1</v>
      </c>
      <c r="K22" t="n">
        <v>0</v>
      </c>
      <c r="L22" t="n">
        <v>0</v>
      </c>
      <c r="M22" t="n">
        <v>0</v>
      </c>
      <c r="N22" t="n">
        <v>0</v>
      </c>
      <c r="O22" t="n">
        <v>1</v>
      </c>
      <c r="P22" t="n">
        <v>0</v>
      </c>
      <c r="Q22" t="n">
        <v>1</v>
      </c>
      <c r="R22" s="2" t="inlineStr">
        <is>
          <t>Utter</t>
        </is>
      </c>
      <c r="S22">
        <f>HYPERLINK("https://klasma.github.io/Logging_1863/artfynd/A 58764-2020 artfynd.xlsx", "A 58764-2020")</f>
        <v/>
      </c>
      <c r="T22">
        <f>HYPERLINK("https://klasma.github.io/Logging_1863/kartor/A 58764-2020 karta.png", "A 58764-2020")</f>
        <v/>
      </c>
      <c r="V22">
        <f>HYPERLINK("https://klasma.github.io/Logging_1863/klagomål/A 58764-2020 FSC-klagomål.docx", "A 58764-2020")</f>
        <v/>
      </c>
      <c r="W22">
        <f>HYPERLINK("https://klasma.github.io/Logging_1863/klagomålsmail/A 58764-2020 FSC-klagomål mail.docx", "A 58764-2020")</f>
        <v/>
      </c>
      <c r="X22">
        <f>HYPERLINK("https://klasma.github.io/Logging_1863/tillsyn/A 58764-2020 tillsynsbegäran.docx", "A 58764-2020")</f>
        <v/>
      </c>
      <c r="Y22">
        <f>HYPERLINK("https://klasma.github.io/Logging_1863/tillsynsmail/A 58764-2020 tillsynsbegäran mail.docx", "A 58764-2020")</f>
        <v/>
      </c>
    </row>
    <row r="23" ht="15" customHeight="1">
      <c r="A23" t="inlineStr">
        <is>
          <t>A 71826-2021</t>
        </is>
      </c>
      <c r="B23" s="1" t="n">
        <v>44543</v>
      </c>
      <c r="C23" s="1" t="n">
        <v>45932</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128-2021</t>
        </is>
      </c>
      <c r="B24" s="1" t="n">
        <v>44200</v>
      </c>
      <c r="C24" s="1" t="n">
        <v>45932</v>
      </c>
      <c r="D24" t="inlineStr">
        <is>
          <t>ÖREBRO LÄN</t>
        </is>
      </c>
      <c r="E24" t="inlineStr">
        <is>
          <t>HÄLLEFORS</t>
        </is>
      </c>
      <c r="G24" t="n">
        <v>4.3</v>
      </c>
      <c r="H24" t="n">
        <v>1</v>
      </c>
      <c r="I24" t="n">
        <v>1</v>
      </c>
      <c r="J24" t="n">
        <v>0</v>
      </c>
      <c r="K24" t="n">
        <v>0</v>
      </c>
      <c r="L24" t="n">
        <v>0</v>
      </c>
      <c r="M24" t="n">
        <v>0</v>
      </c>
      <c r="N24" t="n">
        <v>0</v>
      </c>
      <c r="O24" t="n">
        <v>0</v>
      </c>
      <c r="P24" t="n">
        <v>0</v>
      </c>
      <c r="Q24" t="n">
        <v>1</v>
      </c>
      <c r="R24" s="2" t="inlineStr">
        <is>
          <t>Purpurknipprot</t>
        </is>
      </c>
      <c r="S24">
        <f>HYPERLINK("https://klasma.github.io/Logging_1863/artfynd/A 128-2021 artfynd.xlsx", "A 128-2021")</f>
        <v/>
      </c>
      <c r="T24">
        <f>HYPERLINK("https://klasma.github.io/Logging_1863/kartor/A 128-2021 karta.png", "A 128-2021")</f>
        <v/>
      </c>
      <c r="V24">
        <f>HYPERLINK("https://klasma.github.io/Logging_1863/klagomål/A 128-2021 FSC-klagomål.docx", "A 128-2021")</f>
        <v/>
      </c>
      <c r="W24">
        <f>HYPERLINK("https://klasma.github.io/Logging_1863/klagomålsmail/A 128-2021 FSC-klagomål mail.docx", "A 128-2021")</f>
        <v/>
      </c>
      <c r="X24">
        <f>HYPERLINK("https://klasma.github.io/Logging_1863/tillsyn/A 128-2021 tillsynsbegäran.docx", "A 128-2021")</f>
        <v/>
      </c>
      <c r="Y24">
        <f>HYPERLINK("https://klasma.github.io/Logging_1863/tillsynsmail/A 128-2021 tillsynsbegäran mail.docx", "A 128-2021")</f>
        <v/>
      </c>
    </row>
    <row r="25" ht="15" customHeight="1">
      <c r="A25" t="inlineStr">
        <is>
          <t>A 5244-2025</t>
        </is>
      </c>
      <c r="B25" s="1" t="n">
        <v>45692</v>
      </c>
      <c r="C25" s="1" t="n">
        <v>45932</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16923-2025</t>
        </is>
      </c>
      <c r="B26" s="1" t="n">
        <v>45755.38237268518</v>
      </c>
      <c r="C26" s="1" t="n">
        <v>45932</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421-2025</t>
        </is>
      </c>
      <c r="B27" s="1" t="n">
        <v>45663.949375</v>
      </c>
      <c r="C27" s="1" t="n">
        <v>45932</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55749-2024</t>
        </is>
      </c>
      <c r="B28" s="1" t="n">
        <v>45623.32523148148</v>
      </c>
      <c r="C28" s="1" t="n">
        <v>45932</v>
      </c>
      <c r="D28" t="inlineStr">
        <is>
          <t>ÖREBRO LÄN</t>
        </is>
      </c>
      <c r="E28" t="inlineStr">
        <is>
          <t>HÄLLEFORS</t>
        </is>
      </c>
      <c r="F28" t="inlineStr">
        <is>
          <t>Bergvik skog väst AB</t>
        </is>
      </c>
      <c r="G28" t="n">
        <v>2.9</v>
      </c>
      <c r="H28" t="n">
        <v>0</v>
      </c>
      <c r="I28" t="n">
        <v>0</v>
      </c>
      <c r="J28" t="n">
        <v>1</v>
      </c>
      <c r="K28" t="n">
        <v>0</v>
      </c>
      <c r="L28" t="n">
        <v>0</v>
      </c>
      <c r="M28" t="n">
        <v>0</v>
      </c>
      <c r="N28" t="n">
        <v>0</v>
      </c>
      <c r="O28" t="n">
        <v>1</v>
      </c>
      <c r="P28" t="n">
        <v>0</v>
      </c>
      <c r="Q28" t="n">
        <v>1</v>
      </c>
      <c r="R28" s="2" t="inlineStr">
        <is>
          <t>Garnlav</t>
        </is>
      </c>
      <c r="S28">
        <f>HYPERLINK("https://klasma.github.io/Logging_1863/artfynd/A 55749-2024 artfynd.xlsx", "A 55749-2024")</f>
        <v/>
      </c>
      <c r="T28">
        <f>HYPERLINK("https://klasma.github.io/Logging_1863/kartor/A 55749-2024 karta.png", "A 55749-2024")</f>
        <v/>
      </c>
      <c r="V28">
        <f>HYPERLINK("https://klasma.github.io/Logging_1863/klagomål/A 55749-2024 FSC-klagomål.docx", "A 55749-2024")</f>
        <v/>
      </c>
      <c r="W28">
        <f>HYPERLINK("https://klasma.github.io/Logging_1863/klagomålsmail/A 55749-2024 FSC-klagomål mail.docx", "A 55749-2024")</f>
        <v/>
      </c>
      <c r="X28">
        <f>HYPERLINK("https://klasma.github.io/Logging_1863/tillsyn/A 55749-2024 tillsynsbegäran.docx", "A 55749-2024")</f>
        <v/>
      </c>
      <c r="Y28">
        <f>HYPERLINK("https://klasma.github.io/Logging_1863/tillsynsmail/A 55749-2024 tillsynsbegäran mail.docx", "A 55749-2024")</f>
        <v/>
      </c>
    </row>
    <row r="29" ht="15" customHeight="1">
      <c r="A29" t="inlineStr">
        <is>
          <t>A 14985-2024</t>
        </is>
      </c>
      <c r="B29" s="1" t="n">
        <v>45399.34171296296</v>
      </c>
      <c r="C29" s="1" t="n">
        <v>45932</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39105-2024</t>
        </is>
      </c>
      <c r="B30" s="1" t="n">
        <v>45548.57174768519</v>
      </c>
      <c r="C30" s="1" t="n">
        <v>45932</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28598-2024</t>
        </is>
      </c>
      <c r="B31" s="1" t="n">
        <v>45478.42475694444</v>
      </c>
      <c r="C31" s="1" t="n">
        <v>45932</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41834-2023</t>
        </is>
      </c>
      <c r="B32" s="1" t="n">
        <v>45176</v>
      </c>
      <c r="C32" s="1" t="n">
        <v>45932</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45932</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18617-2025</t>
        </is>
      </c>
      <c r="B34" s="1" t="n">
        <v>45763.51037037037</v>
      </c>
      <c r="C34" s="1" t="n">
        <v>45932</v>
      </c>
      <c r="D34" t="inlineStr">
        <is>
          <t>ÖREBRO LÄN</t>
        </is>
      </c>
      <c r="E34" t="inlineStr">
        <is>
          <t>HÄLLEFORS</t>
        </is>
      </c>
      <c r="F34" t="inlineStr">
        <is>
          <t>Bergvik skog väst AB</t>
        </is>
      </c>
      <c r="G34" t="n">
        <v>3.5</v>
      </c>
      <c r="H34" t="n">
        <v>1</v>
      </c>
      <c r="I34" t="n">
        <v>0</v>
      </c>
      <c r="J34" t="n">
        <v>0</v>
      </c>
      <c r="K34" t="n">
        <v>0</v>
      </c>
      <c r="L34" t="n">
        <v>0</v>
      </c>
      <c r="M34" t="n">
        <v>0</v>
      </c>
      <c r="N34" t="n">
        <v>0</v>
      </c>
      <c r="O34" t="n">
        <v>0</v>
      </c>
      <c r="P34" t="n">
        <v>0</v>
      </c>
      <c r="Q34" t="n">
        <v>1</v>
      </c>
      <c r="R34" s="2" t="inlineStr">
        <is>
          <t>Blåsippa</t>
        </is>
      </c>
      <c r="S34">
        <f>HYPERLINK("https://klasma.github.io/Logging_1863/artfynd/A 18617-2025 artfynd.xlsx", "A 18617-2025")</f>
        <v/>
      </c>
      <c r="T34">
        <f>HYPERLINK("https://klasma.github.io/Logging_1863/kartor/A 18617-2025 karta.png", "A 18617-2025")</f>
        <v/>
      </c>
      <c r="V34">
        <f>HYPERLINK("https://klasma.github.io/Logging_1863/klagomål/A 18617-2025 FSC-klagomål.docx", "A 18617-2025")</f>
        <v/>
      </c>
      <c r="W34">
        <f>HYPERLINK("https://klasma.github.io/Logging_1863/klagomålsmail/A 18617-2025 FSC-klagomål mail.docx", "A 18617-2025")</f>
        <v/>
      </c>
      <c r="X34">
        <f>HYPERLINK("https://klasma.github.io/Logging_1863/tillsyn/A 18617-2025 tillsynsbegäran.docx", "A 18617-2025")</f>
        <v/>
      </c>
      <c r="Y34">
        <f>HYPERLINK("https://klasma.github.io/Logging_1863/tillsynsmail/A 18617-2025 tillsynsbegäran mail.docx", "A 18617-2025")</f>
        <v/>
      </c>
    </row>
    <row r="35" ht="15" customHeight="1">
      <c r="A35" t="inlineStr">
        <is>
          <t>A 59601-2020</t>
        </is>
      </c>
      <c r="B35" s="1" t="n">
        <v>44149.36918981482</v>
      </c>
      <c r="C35" s="1" t="n">
        <v>45932</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45932</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45932</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45932</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45932</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45932</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45932</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45932</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45932</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45932</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45932</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45932</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45932</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45932</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45932</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45932</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45932</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45932</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45932</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45932</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45932</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45932</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45932</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45932</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45932</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49154-2021</t>
        </is>
      </c>
      <c r="B60" s="1" t="n">
        <v>44453</v>
      </c>
      <c r="C60" s="1" t="n">
        <v>45932</v>
      </c>
      <c r="D60" t="inlineStr">
        <is>
          <t>ÖREBRO LÄN</t>
        </is>
      </c>
      <c r="E60" t="inlineStr">
        <is>
          <t>HÄLLEFORS</t>
        </is>
      </c>
      <c r="G60" t="n">
        <v>0.7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45932</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45932</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67446-2020</t>
        </is>
      </c>
      <c r="B63" s="1" t="n">
        <v>44181</v>
      </c>
      <c r="C63" s="1" t="n">
        <v>45932</v>
      </c>
      <c r="D63" t="inlineStr">
        <is>
          <t>ÖREBRO LÄN</t>
        </is>
      </c>
      <c r="E63" t="inlineStr">
        <is>
          <t>HÄLLEFORS</t>
        </is>
      </c>
      <c r="F63" t="inlineStr">
        <is>
          <t>Bergvik skog väst AB</t>
        </is>
      </c>
      <c r="G63" t="n">
        <v>6.7</v>
      </c>
      <c r="H63" t="n">
        <v>0</v>
      </c>
      <c r="I63" t="n">
        <v>0</v>
      </c>
      <c r="J63" t="n">
        <v>0</v>
      </c>
      <c r="K63" t="n">
        <v>0</v>
      </c>
      <c r="L63" t="n">
        <v>0</v>
      </c>
      <c r="M63" t="n">
        <v>0</v>
      </c>
      <c r="N63" t="n">
        <v>0</v>
      </c>
      <c r="O63" t="n">
        <v>0</v>
      </c>
      <c r="P63" t="n">
        <v>0</v>
      </c>
      <c r="Q63" t="n">
        <v>0</v>
      </c>
      <c r="R63" s="2" t="inlineStr"/>
    </row>
    <row r="64" ht="15" customHeight="1">
      <c r="A64" t="inlineStr">
        <is>
          <t>A 9424-2022</t>
        </is>
      </c>
      <c r="B64" s="1" t="n">
        <v>44616</v>
      </c>
      <c r="C64" s="1" t="n">
        <v>45932</v>
      </c>
      <c r="D64" t="inlineStr">
        <is>
          <t>ÖREBRO LÄN</t>
        </is>
      </c>
      <c r="E64" t="inlineStr">
        <is>
          <t>HÄLLEFORS</t>
        </is>
      </c>
      <c r="G64" t="n">
        <v>2.9</v>
      </c>
      <c r="H64" t="n">
        <v>0</v>
      </c>
      <c r="I64" t="n">
        <v>0</v>
      </c>
      <c r="J64" t="n">
        <v>0</v>
      </c>
      <c r="K64" t="n">
        <v>0</v>
      </c>
      <c r="L64" t="n">
        <v>0</v>
      </c>
      <c r="M64" t="n">
        <v>0</v>
      </c>
      <c r="N64" t="n">
        <v>0</v>
      </c>
      <c r="O64" t="n">
        <v>0</v>
      </c>
      <c r="P64" t="n">
        <v>0</v>
      </c>
      <c r="Q64" t="n">
        <v>0</v>
      </c>
      <c r="R64" s="2" t="inlineStr"/>
    </row>
    <row r="65" ht="15" customHeight="1">
      <c r="A65" t="inlineStr">
        <is>
          <t>A 67780-2021</t>
        </is>
      </c>
      <c r="B65" s="1" t="n">
        <v>44525</v>
      </c>
      <c r="C65" s="1" t="n">
        <v>45932</v>
      </c>
      <c r="D65" t="inlineStr">
        <is>
          <t>ÖREBRO LÄN</t>
        </is>
      </c>
      <c r="E65" t="inlineStr">
        <is>
          <t>HÄLLEFORS</t>
        </is>
      </c>
      <c r="G65" t="n">
        <v>7.9</v>
      </c>
      <c r="H65" t="n">
        <v>0</v>
      </c>
      <c r="I65" t="n">
        <v>0</v>
      </c>
      <c r="J65" t="n">
        <v>0</v>
      </c>
      <c r="K65" t="n">
        <v>0</v>
      </c>
      <c r="L65" t="n">
        <v>0</v>
      </c>
      <c r="M65" t="n">
        <v>0</v>
      </c>
      <c r="N65" t="n">
        <v>0</v>
      </c>
      <c r="O65" t="n">
        <v>0</v>
      </c>
      <c r="P65" t="n">
        <v>0</v>
      </c>
      <c r="Q65" t="n">
        <v>0</v>
      </c>
      <c r="R65" s="2" t="inlineStr"/>
    </row>
    <row r="66" ht="15" customHeight="1">
      <c r="A66" t="inlineStr">
        <is>
          <t>A 67967-2021</t>
        </is>
      </c>
      <c r="B66" s="1" t="n">
        <v>44525.65945601852</v>
      </c>
      <c r="C66" s="1" t="n">
        <v>45932</v>
      </c>
      <c r="D66" t="inlineStr">
        <is>
          <t>ÖREBRO LÄN</t>
        </is>
      </c>
      <c r="E66" t="inlineStr">
        <is>
          <t>HÄLLEFORS</t>
        </is>
      </c>
      <c r="G66" t="n">
        <v>0.7</v>
      </c>
      <c r="H66" t="n">
        <v>0</v>
      </c>
      <c r="I66" t="n">
        <v>0</v>
      </c>
      <c r="J66" t="n">
        <v>0</v>
      </c>
      <c r="K66" t="n">
        <v>0</v>
      </c>
      <c r="L66" t="n">
        <v>0</v>
      </c>
      <c r="M66" t="n">
        <v>0</v>
      </c>
      <c r="N66" t="n">
        <v>0</v>
      </c>
      <c r="O66" t="n">
        <v>0</v>
      </c>
      <c r="P66" t="n">
        <v>0</v>
      </c>
      <c r="Q66" t="n">
        <v>0</v>
      </c>
      <c r="R66" s="2" t="inlineStr"/>
    </row>
    <row r="67" ht="15" customHeight="1">
      <c r="A67" t="inlineStr">
        <is>
          <t>A 10083-2021</t>
        </is>
      </c>
      <c r="B67" s="1" t="n">
        <v>44256</v>
      </c>
      <c r="C67" s="1" t="n">
        <v>45932</v>
      </c>
      <c r="D67" t="inlineStr">
        <is>
          <t>ÖREBRO LÄN</t>
        </is>
      </c>
      <c r="E67" t="inlineStr">
        <is>
          <t>HÄLLEFORS</t>
        </is>
      </c>
      <c r="G67" t="n">
        <v>0.8</v>
      </c>
      <c r="H67" t="n">
        <v>0</v>
      </c>
      <c r="I67" t="n">
        <v>0</v>
      </c>
      <c r="J67" t="n">
        <v>0</v>
      </c>
      <c r="K67" t="n">
        <v>0</v>
      </c>
      <c r="L67" t="n">
        <v>0</v>
      </c>
      <c r="M67" t="n">
        <v>0</v>
      </c>
      <c r="N67" t="n">
        <v>0</v>
      </c>
      <c r="O67" t="n">
        <v>0</v>
      </c>
      <c r="P67" t="n">
        <v>0</v>
      </c>
      <c r="Q67" t="n">
        <v>0</v>
      </c>
      <c r="R67" s="2" t="inlineStr"/>
    </row>
    <row r="68" ht="15" customHeight="1">
      <c r="A68" t="inlineStr">
        <is>
          <t>A 23665-2022</t>
        </is>
      </c>
      <c r="B68" s="1" t="n">
        <v>44721</v>
      </c>
      <c r="C68" s="1" t="n">
        <v>45932</v>
      </c>
      <c r="D68" t="inlineStr">
        <is>
          <t>ÖREBRO LÄN</t>
        </is>
      </c>
      <c r="E68" t="inlineStr">
        <is>
          <t>HÄLLEFORS</t>
        </is>
      </c>
      <c r="F68" t="inlineStr">
        <is>
          <t>Bergvik skog väst AB</t>
        </is>
      </c>
      <c r="G68" t="n">
        <v>3.9</v>
      </c>
      <c r="H68" t="n">
        <v>0</v>
      </c>
      <c r="I68" t="n">
        <v>0</v>
      </c>
      <c r="J68" t="n">
        <v>0</v>
      </c>
      <c r="K68" t="n">
        <v>0</v>
      </c>
      <c r="L68" t="n">
        <v>0</v>
      </c>
      <c r="M68" t="n">
        <v>0</v>
      </c>
      <c r="N68" t="n">
        <v>0</v>
      </c>
      <c r="O68" t="n">
        <v>0</v>
      </c>
      <c r="P68" t="n">
        <v>0</v>
      </c>
      <c r="Q68" t="n">
        <v>0</v>
      </c>
      <c r="R68" s="2" t="inlineStr"/>
    </row>
    <row r="69" ht="15" customHeight="1">
      <c r="A69" t="inlineStr">
        <is>
          <t>A 7294-2022</t>
        </is>
      </c>
      <c r="B69" s="1" t="n">
        <v>44606.48085648148</v>
      </c>
      <c r="C69" s="1" t="n">
        <v>45932</v>
      </c>
      <c r="D69" t="inlineStr">
        <is>
          <t>ÖREBRO LÄN</t>
        </is>
      </c>
      <c r="E69" t="inlineStr">
        <is>
          <t>HÄLLEFORS</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5025-2022</t>
        </is>
      </c>
      <c r="B70" s="1" t="n">
        <v>44593</v>
      </c>
      <c r="C70" s="1" t="n">
        <v>45932</v>
      </c>
      <c r="D70" t="inlineStr">
        <is>
          <t>ÖREBRO LÄN</t>
        </is>
      </c>
      <c r="E70" t="inlineStr">
        <is>
          <t>HÄLLEFORS</t>
        </is>
      </c>
      <c r="G70" t="n">
        <v>3.7</v>
      </c>
      <c r="H70" t="n">
        <v>0</v>
      </c>
      <c r="I70" t="n">
        <v>0</v>
      </c>
      <c r="J70" t="n">
        <v>0</v>
      </c>
      <c r="K70" t="n">
        <v>0</v>
      </c>
      <c r="L70" t="n">
        <v>0</v>
      </c>
      <c r="M70" t="n">
        <v>0</v>
      </c>
      <c r="N70" t="n">
        <v>0</v>
      </c>
      <c r="O70" t="n">
        <v>0</v>
      </c>
      <c r="P70" t="n">
        <v>0</v>
      </c>
      <c r="Q70" t="n">
        <v>0</v>
      </c>
      <c r="R70" s="2" t="inlineStr"/>
    </row>
    <row r="71" ht="15" customHeight="1">
      <c r="A71" t="inlineStr">
        <is>
          <t>A 48184-2022</t>
        </is>
      </c>
      <c r="B71" s="1" t="n">
        <v>44858</v>
      </c>
      <c r="C71" s="1" t="n">
        <v>45932</v>
      </c>
      <c r="D71" t="inlineStr">
        <is>
          <t>ÖREBRO LÄN</t>
        </is>
      </c>
      <c r="E71" t="inlineStr">
        <is>
          <t>HÄLLEFORS</t>
        </is>
      </c>
      <c r="F71" t="inlineStr">
        <is>
          <t>Bergvik skog väst AB</t>
        </is>
      </c>
      <c r="G71" t="n">
        <v>5.1</v>
      </c>
      <c r="H71" t="n">
        <v>0</v>
      </c>
      <c r="I71" t="n">
        <v>0</v>
      </c>
      <c r="J71" t="n">
        <v>0</v>
      </c>
      <c r="K71" t="n">
        <v>0</v>
      </c>
      <c r="L71" t="n">
        <v>0</v>
      </c>
      <c r="M71" t="n">
        <v>0</v>
      </c>
      <c r="N71" t="n">
        <v>0</v>
      </c>
      <c r="O71" t="n">
        <v>0</v>
      </c>
      <c r="P71" t="n">
        <v>0</v>
      </c>
      <c r="Q71" t="n">
        <v>0</v>
      </c>
      <c r="R71" s="2" t="inlineStr"/>
    </row>
    <row r="72" ht="15" customHeight="1">
      <c r="A72" t="inlineStr">
        <is>
          <t>A 44171-2022</t>
        </is>
      </c>
      <c r="B72" s="1" t="n">
        <v>44839</v>
      </c>
      <c r="C72" s="1" t="n">
        <v>45932</v>
      </c>
      <c r="D72" t="inlineStr">
        <is>
          <t>ÖREBRO LÄN</t>
        </is>
      </c>
      <c r="E72" t="inlineStr">
        <is>
          <t>HÄLLEFORS</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45932</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49882-2020</t>
        </is>
      </c>
      <c r="B74" s="1" t="n">
        <v>44108</v>
      </c>
      <c r="C74" s="1" t="n">
        <v>45932</v>
      </c>
      <c r="D74" t="inlineStr">
        <is>
          <t>ÖREBRO LÄN</t>
        </is>
      </c>
      <c r="E74" t="inlineStr">
        <is>
          <t>HÄLLEFORS</t>
        </is>
      </c>
      <c r="G74" t="n">
        <v>1.7</v>
      </c>
      <c r="H74" t="n">
        <v>0</v>
      </c>
      <c r="I74" t="n">
        <v>0</v>
      </c>
      <c r="J74" t="n">
        <v>0</v>
      </c>
      <c r="K74" t="n">
        <v>0</v>
      </c>
      <c r="L74" t="n">
        <v>0</v>
      </c>
      <c r="M74" t="n">
        <v>0</v>
      </c>
      <c r="N74" t="n">
        <v>0</v>
      </c>
      <c r="O74" t="n">
        <v>0</v>
      </c>
      <c r="P74" t="n">
        <v>0</v>
      </c>
      <c r="Q74" t="n">
        <v>0</v>
      </c>
      <c r="R74" s="2" t="inlineStr"/>
    </row>
    <row r="75" ht="15" customHeight="1">
      <c r="A75" t="inlineStr">
        <is>
          <t>A 26527-2021</t>
        </is>
      </c>
      <c r="B75" s="1" t="n">
        <v>44348</v>
      </c>
      <c r="C75" s="1" t="n">
        <v>45932</v>
      </c>
      <c r="D75" t="inlineStr">
        <is>
          <t>ÖREBRO LÄN</t>
        </is>
      </c>
      <c r="E75" t="inlineStr">
        <is>
          <t>HÄLLEFORS</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55299-2022</t>
        </is>
      </c>
      <c r="B76" s="1" t="n">
        <v>44887</v>
      </c>
      <c r="C76" s="1" t="n">
        <v>45932</v>
      </c>
      <c r="D76" t="inlineStr">
        <is>
          <t>ÖREBRO LÄN</t>
        </is>
      </c>
      <c r="E76" t="inlineStr">
        <is>
          <t>HÄLLEFORS</t>
        </is>
      </c>
      <c r="F76" t="inlineStr">
        <is>
          <t>Bergvik skog väst AB</t>
        </is>
      </c>
      <c r="G76" t="n">
        <v>0.7</v>
      </c>
      <c r="H76" t="n">
        <v>0</v>
      </c>
      <c r="I76" t="n">
        <v>0</v>
      </c>
      <c r="J76" t="n">
        <v>0</v>
      </c>
      <c r="K76" t="n">
        <v>0</v>
      </c>
      <c r="L76" t="n">
        <v>0</v>
      </c>
      <c r="M76" t="n">
        <v>0</v>
      </c>
      <c r="N76" t="n">
        <v>0</v>
      </c>
      <c r="O76" t="n">
        <v>0</v>
      </c>
      <c r="P76" t="n">
        <v>0</v>
      </c>
      <c r="Q76" t="n">
        <v>0</v>
      </c>
      <c r="R76" s="2" t="inlineStr"/>
    </row>
    <row r="77" ht="15" customHeight="1">
      <c r="A77" t="inlineStr">
        <is>
          <t>A 65240-2021</t>
        </is>
      </c>
      <c r="B77" s="1" t="n">
        <v>44515</v>
      </c>
      <c r="C77" s="1" t="n">
        <v>45932</v>
      </c>
      <c r="D77" t="inlineStr">
        <is>
          <t>ÖREBRO LÄN</t>
        </is>
      </c>
      <c r="E77" t="inlineStr">
        <is>
          <t>HÄLLEFORS</t>
        </is>
      </c>
      <c r="G77" t="n">
        <v>0.8</v>
      </c>
      <c r="H77" t="n">
        <v>0</v>
      </c>
      <c r="I77" t="n">
        <v>0</v>
      </c>
      <c r="J77" t="n">
        <v>0</v>
      </c>
      <c r="K77" t="n">
        <v>0</v>
      </c>
      <c r="L77" t="n">
        <v>0</v>
      </c>
      <c r="M77" t="n">
        <v>0</v>
      </c>
      <c r="N77" t="n">
        <v>0</v>
      </c>
      <c r="O77" t="n">
        <v>0</v>
      </c>
      <c r="P77" t="n">
        <v>0</v>
      </c>
      <c r="Q77" t="n">
        <v>0</v>
      </c>
      <c r="R77" s="2" t="inlineStr"/>
    </row>
    <row r="78" ht="15" customHeight="1">
      <c r="A78" t="inlineStr">
        <is>
          <t>A 35594-2021</t>
        </is>
      </c>
      <c r="B78" s="1" t="n">
        <v>44386</v>
      </c>
      <c r="C78" s="1" t="n">
        <v>45932</v>
      </c>
      <c r="D78" t="inlineStr">
        <is>
          <t>ÖREBRO LÄN</t>
        </is>
      </c>
      <c r="E78" t="inlineStr">
        <is>
          <t>HÄLLEFORS</t>
        </is>
      </c>
      <c r="F78" t="inlineStr">
        <is>
          <t>Bergvik skog väst AB</t>
        </is>
      </c>
      <c r="G78" t="n">
        <v>0.2</v>
      </c>
      <c r="H78" t="n">
        <v>0</v>
      </c>
      <c r="I78" t="n">
        <v>0</v>
      </c>
      <c r="J78" t="n">
        <v>0</v>
      </c>
      <c r="K78" t="n">
        <v>0</v>
      </c>
      <c r="L78" t="n">
        <v>0</v>
      </c>
      <c r="M78" t="n">
        <v>0</v>
      </c>
      <c r="N78" t="n">
        <v>0</v>
      </c>
      <c r="O78" t="n">
        <v>0</v>
      </c>
      <c r="P78" t="n">
        <v>0</v>
      </c>
      <c r="Q78" t="n">
        <v>0</v>
      </c>
      <c r="R78" s="2" t="inlineStr"/>
    </row>
    <row r="79" ht="15" customHeight="1">
      <c r="A79" t="inlineStr">
        <is>
          <t>A 29669-2022</t>
        </is>
      </c>
      <c r="B79" s="1" t="n">
        <v>44754</v>
      </c>
      <c r="C79" s="1" t="n">
        <v>45932</v>
      </c>
      <c r="D79" t="inlineStr">
        <is>
          <t>ÖREBRO LÄN</t>
        </is>
      </c>
      <c r="E79" t="inlineStr">
        <is>
          <t>HÄLLEFORS</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29665-2022</t>
        </is>
      </c>
      <c r="B80" s="1" t="n">
        <v>44754</v>
      </c>
      <c r="C80" s="1" t="n">
        <v>45932</v>
      </c>
      <c r="D80" t="inlineStr">
        <is>
          <t>ÖREBRO LÄN</t>
        </is>
      </c>
      <c r="E80" t="inlineStr">
        <is>
          <t>HÄLLEFORS</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37783-2022</t>
        </is>
      </c>
      <c r="B81" s="1" t="n">
        <v>44810.66189814815</v>
      </c>
      <c r="C81" s="1" t="n">
        <v>45932</v>
      </c>
      <c r="D81" t="inlineStr">
        <is>
          <t>ÖREBRO LÄN</t>
        </is>
      </c>
      <c r="E81" t="inlineStr">
        <is>
          <t>HÄLLEFORS</t>
        </is>
      </c>
      <c r="G81" t="n">
        <v>14.1</v>
      </c>
      <c r="H81" t="n">
        <v>0</v>
      </c>
      <c r="I81" t="n">
        <v>0</v>
      </c>
      <c r="J81" t="n">
        <v>0</v>
      </c>
      <c r="K81" t="n">
        <v>0</v>
      </c>
      <c r="L81" t="n">
        <v>0</v>
      </c>
      <c r="M81" t="n">
        <v>0</v>
      </c>
      <c r="N81" t="n">
        <v>0</v>
      </c>
      <c r="O81" t="n">
        <v>0</v>
      </c>
      <c r="P81" t="n">
        <v>0</v>
      </c>
      <c r="Q81" t="n">
        <v>0</v>
      </c>
      <c r="R81" s="2" t="inlineStr"/>
    </row>
    <row r="82" ht="15" customHeight="1">
      <c r="A82" t="inlineStr">
        <is>
          <t>A 4548-2022</t>
        </is>
      </c>
      <c r="B82" s="1" t="n">
        <v>44590.84471064815</v>
      </c>
      <c r="C82" s="1" t="n">
        <v>45932</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22673-2022</t>
        </is>
      </c>
      <c r="B83" s="1" t="n">
        <v>44714.49141203704</v>
      </c>
      <c r="C83" s="1" t="n">
        <v>45932</v>
      </c>
      <c r="D83" t="inlineStr">
        <is>
          <t>ÖREBRO LÄN</t>
        </is>
      </c>
      <c r="E83" t="inlineStr">
        <is>
          <t>HÄLLEFORS</t>
        </is>
      </c>
      <c r="G83" t="n">
        <v>0.5</v>
      </c>
      <c r="H83" t="n">
        <v>0</v>
      </c>
      <c r="I83" t="n">
        <v>0</v>
      </c>
      <c r="J83" t="n">
        <v>0</v>
      </c>
      <c r="K83" t="n">
        <v>0</v>
      </c>
      <c r="L83" t="n">
        <v>0</v>
      </c>
      <c r="M83" t="n">
        <v>0</v>
      </c>
      <c r="N83" t="n">
        <v>0</v>
      </c>
      <c r="O83" t="n">
        <v>0</v>
      </c>
      <c r="P83" t="n">
        <v>0</v>
      </c>
      <c r="Q83" t="n">
        <v>0</v>
      </c>
      <c r="R83" s="2" t="inlineStr"/>
    </row>
    <row r="84" ht="15" customHeight="1">
      <c r="A84" t="inlineStr">
        <is>
          <t>A 39183-2022</t>
        </is>
      </c>
      <c r="B84" s="1" t="n">
        <v>44817.51229166667</v>
      </c>
      <c r="C84" s="1" t="n">
        <v>45932</v>
      </c>
      <c r="D84" t="inlineStr">
        <is>
          <t>ÖREBRO LÄN</t>
        </is>
      </c>
      <c r="E84" t="inlineStr">
        <is>
          <t>HÄLLEFORS</t>
        </is>
      </c>
      <c r="G84" t="n">
        <v>1.5</v>
      </c>
      <c r="H84" t="n">
        <v>0</v>
      </c>
      <c r="I84" t="n">
        <v>0</v>
      </c>
      <c r="J84" t="n">
        <v>0</v>
      </c>
      <c r="K84" t="n">
        <v>0</v>
      </c>
      <c r="L84" t="n">
        <v>0</v>
      </c>
      <c r="M84" t="n">
        <v>0</v>
      </c>
      <c r="N84" t="n">
        <v>0</v>
      </c>
      <c r="O84" t="n">
        <v>0</v>
      </c>
      <c r="P84" t="n">
        <v>0</v>
      </c>
      <c r="Q84" t="n">
        <v>0</v>
      </c>
      <c r="R84" s="2" t="inlineStr"/>
    </row>
    <row r="85" ht="15" customHeight="1">
      <c r="A85" t="inlineStr">
        <is>
          <t>A 51605-2022</t>
        </is>
      </c>
      <c r="B85" s="1" t="n">
        <v>44871.71204861111</v>
      </c>
      <c r="C85" s="1" t="n">
        <v>45932</v>
      </c>
      <c r="D85" t="inlineStr">
        <is>
          <t>ÖREBRO LÄN</t>
        </is>
      </c>
      <c r="E85" t="inlineStr">
        <is>
          <t>HÄLLEFORS</t>
        </is>
      </c>
      <c r="G85" t="n">
        <v>9.800000000000001</v>
      </c>
      <c r="H85" t="n">
        <v>0</v>
      </c>
      <c r="I85" t="n">
        <v>0</v>
      </c>
      <c r="J85" t="n">
        <v>0</v>
      </c>
      <c r="K85" t="n">
        <v>0</v>
      </c>
      <c r="L85" t="n">
        <v>0</v>
      </c>
      <c r="M85" t="n">
        <v>0</v>
      </c>
      <c r="N85" t="n">
        <v>0</v>
      </c>
      <c r="O85" t="n">
        <v>0</v>
      </c>
      <c r="P85" t="n">
        <v>0</v>
      </c>
      <c r="Q85" t="n">
        <v>0</v>
      </c>
      <c r="R85" s="2" t="inlineStr"/>
    </row>
    <row r="86" ht="15" customHeight="1">
      <c r="A86" t="inlineStr">
        <is>
          <t>A 8387-2022</t>
        </is>
      </c>
      <c r="B86" s="1" t="n">
        <v>44610</v>
      </c>
      <c r="C86" s="1" t="n">
        <v>45932</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16053-2023</t>
        </is>
      </c>
      <c r="B87" s="1" t="n">
        <v>45027</v>
      </c>
      <c r="C87" s="1" t="n">
        <v>45932</v>
      </c>
      <c r="D87" t="inlineStr">
        <is>
          <t>ÖREBRO LÄN</t>
        </is>
      </c>
      <c r="E87" t="inlineStr">
        <is>
          <t>HÄLLEFORS</t>
        </is>
      </c>
      <c r="F87" t="inlineStr">
        <is>
          <t>Bergvik skog väst AB</t>
        </is>
      </c>
      <c r="G87" t="n">
        <v>14.7</v>
      </c>
      <c r="H87" t="n">
        <v>0</v>
      </c>
      <c r="I87" t="n">
        <v>0</v>
      </c>
      <c r="J87" t="n">
        <v>0</v>
      </c>
      <c r="K87" t="n">
        <v>0</v>
      </c>
      <c r="L87" t="n">
        <v>0</v>
      </c>
      <c r="M87" t="n">
        <v>0</v>
      </c>
      <c r="N87" t="n">
        <v>0</v>
      </c>
      <c r="O87" t="n">
        <v>0</v>
      </c>
      <c r="P87" t="n">
        <v>0</v>
      </c>
      <c r="Q87" t="n">
        <v>0</v>
      </c>
      <c r="R87" s="2" t="inlineStr"/>
    </row>
    <row r="88" ht="15" customHeight="1">
      <c r="A88" t="inlineStr">
        <is>
          <t>A 29340-2024</t>
        </is>
      </c>
      <c r="B88" s="1" t="n">
        <v>45483.46465277778</v>
      </c>
      <c r="C88" s="1" t="n">
        <v>45932</v>
      </c>
      <c r="D88" t="inlineStr">
        <is>
          <t>ÖREBRO LÄN</t>
        </is>
      </c>
      <c r="E88" t="inlineStr">
        <is>
          <t>HÄLLEFORS</t>
        </is>
      </c>
      <c r="G88" t="n">
        <v>1.7</v>
      </c>
      <c r="H88" t="n">
        <v>0</v>
      </c>
      <c r="I88" t="n">
        <v>0</v>
      </c>
      <c r="J88" t="n">
        <v>0</v>
      </c>
      <c r="K88" t="n">
        <v>0</v>
      </c>
      <c r="L88" t="n">
        <v>0</v>
      </c>
      <c r="M88" t="n">
        <v>0</v>
      </c>
      <c r="N88" t="n">
        <v>0</v>
      </c>
      <c r="O88" t="n">
        <v>0</v>
      </c>
      <c r="P88" t="n">
        <v>0</v>
      </c>
      <c r="Q88" t="n">
        <v>0</v>
      </c>
      <c r="R88" s="2" t="inlineStr"/>
    </row>
    <row r="89" ht="15" customHeight="1">
      <c r="A89" t="inlineStr">
        <is>
          <t>A 34313-2022</t>
        </is>
      </c>
      <c r="B89" s="1" t="n">
        <v>44792</v>
      </c>
      <c r="C89" s="1" t="n">
        <v>45932</v>
      </c>
      <c r="D89" t="inlineStr">
        <is>
          <t>ÖREBRO LÄN</t>
        </is>
      </c>
      <c r="E89" t="inlineStr">
        <is>
          <t>HÄLLEFORS</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71766-2021</t>
        </is>
      </c>
      <c r="B90" s="1" t="n">
        <v>44543</v>
      </c>
      <c r="C90" s="1" t="n">
        <v>45932</v>
      </c>
      <c r="D90" t="inlineStr">
        <is>
          <t>ÖREBRO LÄN</t>
        </is>
      </c>
      <c r="E90" t="inlineStr">
        <is>
          <t>HÄLLEFORS</t>
        </is>
      </c>
      <c r="F90" t="inlineStr">
        <is>
          <t>Bergvik skog väst AB</t>
        </is>
      </c>
      <c r="G90" t="n">
        <v>2.1</v>
      </c>
      <c r="H90" t="n">
        <v>0</v>
      </c>
      <c r="I90" t="n">
        <v>0</v>
      </c>
      <c r="J90" t="n">
        <v>0</v>
      </c>
      <c r="K90" t="n">
        <v>0</v>
      </c>
      <c r="L90" t="n">
        <v>0</v>
      </c>
      <c r="M90" t="n">
        <v>0</v>
      </c>
      <c r="N90" t="n">
        <v>0</v>
      </c>
      <c r="O90" t="n">
        <v>0</v>
      </c>
      <c r="P90" t="n">
        <v>0</v>
      </c>
      <c r="Q90" t="n">
        <v>0</v>
      </c>
      <c r="R90" s="2" t="inlineStr"/>
    </row>
    <row r="91" ht="15" customHeight="1">
      <c r="A91" t="inlineStr">
        <is>
          <t>A 66151-2020</t>
        </is>
      </c>
      <c r="B91" s="1" t="n">
        <v>44175</v>
      </c>
      <c r="C91" s="1" t="n">
        <v>45932</v>
      </c>
      <c r="D91" t="inlineStr">
        <is>
          <t>ÖREBRO LÄN</t>
        </is>
      </c>
      <c r="E91" t="inlineStr">
        <is>
          <t>HÄLLEFORS</t>
        </is>
      </c>
      <c r="F91" t="inlineStr">
        <is>
          <t>Bergvik skog väst AB</t>
        </is>
      </c>
      <c r="G91" t="n">
        <v>12.2</v>
      </c>
      <c r="H91" t="n">
        <v>0</v>
      </c>
      <c r="I91" t="n">
        <v>0</v>
      </c>
      <c r="J91" t="n">
        <v>0</v>
      </c>
      <c r="K91" t="n">
        <v>0</v>
      </c>
      <c r="L91" t="n">
        <v>0</v>
      </c>
      <c r="M91" t="n">
        <v>0</v>
      </c>
      <c r="N91" t="n">
        <v>0</v>
      </c>
      <c r="O91" t="n">
        <v>0</v>
      </c>
      <c r="P91" t="n">
        <v>0</v>
      </c>
      <c r="Q91" t="n">
        <v>0</v>
      </c>
      <c r="R91" s="2" t="inlineStr"/>
    </row>
    <row r="92" ht="15" customHeight="1">
      <c r="A92" t="inlineStr">
        <is>
          <t>A 37027-2022</t>
        </is>
      </c>
      <c r="B92" s="1" t="n">
        <v>44806</v>
      </c>
      <c r="C92" s="1" t="n">
        <v>45932</v>
      </c>
      <c r="D92" t="inlineStr">
        <is>
          <t>ÖREBRO LÄN</t>
        </is>
      </c>
      <c r="E92" t="inlineStr">
        <is>
          <t>HÄLLEFORS</t>
        </is>
      </c>
      <c r="F92" t="inlineStr">
        <is>
          <t>Bergvik skog väst AB</t>
        </is>
      </c>
      <c r="G92" t="n">
        <v>3.4</v>
      </c>
      <c r="H92" t="n">
        <v>0</v>
      </c>
      <c r="I92" t="n">
        <v>0</v>
      </c>
      <c r="J92" t="n">
        <v>0</v>
      </c>
      <c r="K92" t="n">
        <v>0</v>
      </c>
      <c r="L92" t="n">
        <v>0</v>
      </c>
      <c r="M92" t="n">
        <v>0</v>
      </c>
      <c r="N92" t="n">
        <v>0</v>
      </c>
      <c r="O92" t="n">
        <v>0</v>
      </c>
      <c r="P92" t="n">
        <v>0</v>
      </c>
      <c r="Q92" t="n">
        <v>0</v>
      </c>
      <c r="R92" s="2" t="inlineStr"/>
    </row>
    <row r="93" ht="15" customHeight="1">
      <c r="A93" t="inlineStr">
        <is>
          <t>A 38245-2022</t>
        </is>
      </c>
      <c r="B93" s="1" t="n">
        <v>44812.48020833333</v>
      </c>
      <c r="C93" s="1" t="n">
        <v>45932</v>
      </c>
      <c r="D93" t="inlineStr">
        <is>
          <t>ÖREBRO LÄN</t>
        </is>
      </c>
      <c r="E93" t="inlineStr">
        <is>
          <t>HÄLLEFORS</t>
        </is>
      </c>
      <c r="G93" t="n">
        <v>2.4</v>
      </c>
      <c r="H93" t="n">
        <v>0</v>
      </c>
      <c r="I93" t="n">
        <v>0</v>
      </c>
      <c r="J93" t="n">
        <v>0</v>
      </c>
      <c r="K93" t="n">
        <v>0</v>
      </c>
      <c r="L93" t="n">
        <v>0</v>
      </c>
      <c r="M93" t="n">
        <v>0</v>
      </c>
      <c r="N93" t="n">
        <v>0</v>
      </c>
      <c r="O93" t="n">
        <v>0</v>
      </c>
      <c r="P93" t="n">
        <v>0</v>
      </c>
      <c r="Q93" t="n">
        <v>0</v>
      </c>
      <c r="R93" s="2" t="inlineStr"/>
    </row>
    <row r="94" ht="15" customHeight="1">
      <c r="A94" t="inlineStr">
        <is>
          <t>A 21801-2022</t>
        </is>
      </c>
      <c r="B94" s="1" t="n">
        <v>44708.64967592592</v>
      </c>
      <c r="C94" s="1" t="n">
        <v>45932</v>
      </c>
      <c r="D94" t="inlineStr">
        <is>
          <t>ÖREBRO LÄN</t>
        </is>
      </c>
      <c r="E94" t="inlineStr">
        <is>
          <t>HÄLLEFORS</t>
        </is>
      </c>
      <c r="G94" t="n">
        <v>3.3</v>
      </c>
      <c r="H94" t="n">
        <v>0</v>
      </c>
      <c r="I94" t="n">
        <v>0</v>
      </c>
      <c r="J94" t="n">
        <v>0</v>
      </c>
      <c r="K94" t="n">
        <v>0</v>
      </c>
      <c r="L94" t="n">
        <v>0</v>
      </c>
      <c r="M94" t="n">
        <v>0</v>
      </c>
      <c r="N94" t="n">
        <v>0</v>
      </c>
      <c r="O94" t="n">
        <v>0</v>
      </c>
      <c r="P94" t="n">
        <v>0</v>
      </c>
      <c r="Q94" t="n">
        <v>0</v>
      </c>
      <c r="R94" s="2" t="inlineStr"/>
    </row>
    <row r="95" ht="15" customHeight="1">
      <c r="A95" t="inlineStr">
        <is>
          <t>A 11002-2021</t>
        </is>
      </c>
      <c r="B95" s="1" t="n">
        <v>44260</v>
      </c>
      <c r="C95" s="1" t="n">
        <v>45932</v>
      </c>
      <c r="D95" t="inlineStr">
        <is>
          <t>ÖREBRO LÄN</t>
        </is>
      </c>
      <c r="E95" t="inlineStr">
        <is>
          <t>HÄLLEFORS</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59294-2020</t>
        </is>
      </c>
      <c r="B96" s="1" t="n">
        <v>44147</v>
      </c>
      <c r="C96" s="1" t="n">
        <v>45932</v>
      </c>
      <c r="D96" t="inlineStr">
        <is>
          <t>ÖREBRO LÄN</t>
        </is>
      </c>
      <c r="E96" t="inlineStr">
        <is>
          <t>HÄLLEFORS</t>
        </is>
      </c>
      <c r="F96" t="inlineStr">
        <is>
          <t>Kyrkan</t>
        </is>
      </c>
      <c r="G96" t="n">
        <v>10.2</v>
      </c>
      <c r="H96" t="n">
        <v>0</v>
      </c>
      <c r="I96" t="n">
        <v>0</v>
      </c>
      <c r="J96" t="n">
        <v>0</v>
      </c>
      <c r="K96" t="n">
        <v>0</v>
      </c>
      <c r="L96" t="n">
        <v>0</v>
      </c>
      <c r="M96" t="n">
        <v>0</v>
      </c>
      <c r="N96" t="n">
        <v>0</v>
      </c>
      <c r="O96" t="n">
        <v>0</v>
      </c>
      <c r="P96" t="n">
        <v>0</v>
      </c>
      <c r="Q96" t="n">
        <v>0</v>
      </c>
      <c r="R96" s="2" t="inlineStr"/>
    </row>
    <row r="97" ht="15" customHeight="1">
      <c r="A97" t="inlineStr">
        <is>
          <t>A 16928-2025</t>
        </is>
      </c>
      <c r="B97" s="1" t="n">
        <v>45755.39711805555</v>
      </c>
      <c r="C97" s="1" t="n">
        <v>45932</v>
      </c>
      <c r="D97" t="inlineStr">
        <is>
          <t>ÖREBRO LÄN</t>
        </is>
      </c>
      <c r="E97" t="inlineStr">
        <is>
          <t>HÄLLEFORS</t>
        </is>
      </c>
      <c r="F97" t="inlineStr">
        <is>
          <t>Bergvik skog väst AB</t>
        </is>
      </c>
      <c r="G97" t="n">
        <v>8.199999999999999</v>
      </c>
      <c r="H97" t="n">
        <v>0</v>
      </c>
      <c r="I97" t="n">
        <v>0</v>
      </c>
      <c r="J97" t="n">
        <v>0</v>
      </c>
      <c r="K97" t="n">
        <v>0</v>
      </c>
      <c r="L97" t="n">
        <v>0</v>
      </c>
      <c r="M97" t="n">
        <v>0</v>
      </c>
      <c r="N97" t="n">
        <v>0</v>
      </c>
      <c r="O97" t="n">
        <v>0</v>
      </c>
      <c r="P97" t="n">
        <v>0</v>
      </c>
      <c r="Q97" t="n">
        <v>0</v>
      </c>
      <c r="R97" s="2" t="inlineStr"/>
    </row>
    <row r="98" ht="15" customHeight="1">
      <c r="A98" t="inlineStr">
        <is>
          <t>A 44107-2024</t>
        </is>
      </c>
      <c r="B98" s="1" t="n">
        <v>45572.63357638889</v>
      </c>
      <c r="C98" s="1" t="n">
        <v>45932</v>
      </c>
      <c r="D98" t="inlineStr">
        <is>
          <t>ÖREBRO LÄN</t>
        </is>
      </c>
      <c r="E98" t="inlineStr">
        <is>
          <t>HÄLLEFORS</t>
        </is>
      </c>
      <c r="F98" t="inlineStr">
        <is>
          <t>Bergvik skog väst AB</t>
        </is>
      </c>
      <c r="G98" t="n">
        <v>4.9</v>
      </c>
      <c r="H98" t="n">
        <v>0</v>
      </c>
      <c r="I98" t="n">
        <v>0</v>
      </c>
      <c r="J98" t="n">
        <v>0</v>
      </c>
      <c r="K98" t="n">
        <v>0</v>
      </c>
      <c r="L98" t="n">
        <v>0</v>
      </c>
      <c r="M98" t="n">
        <v>0</v>
      </c>
      <c r="N98" t="n">
        <v>0</v>
      </c>
      <c r="O98" t="n">
        <v>0</v>
      </c>
      <c r="P98" t="n">
        <v>0</v>
      </c>
      <c r="Q98" t="n">
        <v>0</v>
      </c>
      <c r="R98" s="2" t="inlineStr"/>
    </row>
    <row r="99" ht="15" customHeight="1">
      <c r="A99" t="inlineStr">
        <is>
          <t>A 18605-2025</t>
        </is>
      </c>
      <c r="B99" s="1" t="n">
        <v>45763.49344907407</v>
      </c>
      <c r="C99" s="1" t="n">
        <v>45932</v>
      </c>
      <c r="D99" t="inlineStr">
        <is>
          <t>ÖREBRO LÄN</t>
        </is>
      </c>
      <c r="E99" t="inlineStr">
        <is>
          <t>HÄLLEFORS</t>
        </is>
      </c>
      <c r="F99" t="inlineStr">
        <is>
          <t>Bergvik skog väst AB</t>
        </is>
      </c>
      <c r="G99" t="n">
        <v>1.7</v>
      </c>
      <c r="H99" t="n">
        <v>0</v>
      </c>
      <c r="I99" t="n">
        <v>0</v>
      </c>
      <c r="J99" t="n">
        <v>0</v>
      </c>
      <c r="K99" t="n">
        <v>0</v>
      </c>
      <c r="L99" t="n">
        <v>0</v>
      </c>
      <c r="M99" t="n">
        <v>0</v>
      </c>
      <c r="N99" t="n">
        <v>0</v>
      </c>
      <c r="O99" t="n">
        <v>0</v>
      </c>
      <c r="P99" t="n">
        <v>0</v>
      </c>
      <c r="Q99" t="n">
        <v>0</v>
      </c>
      <c r="R99" s="2" t="inlineStr"/>
    </row>
    <row r="100" ht="15" customHeight="1">
      <c r="A100" t="inlineStr">
        <is>
          <t>A 30532-2022</t>
        </is>
      </c>
      <c r="B100" s="1" t="n">
        <v>44762</v>
      </c>
      <c r="C100" s="1" t="n">
        <v>45932</v>
      </c>
      <c r="D100" t="inlineStr">
        <is>
          <t>ÖREBRO LÄN</t>
        </is>
      </c>
      <c r="E100" t="inlineStr">
        <is>
          <t>HÄLLEFORS</t>
        </is>
      </c>
      <c r="G100" t="n">
        <v>2.5</v>
      </c>
      <c r="H100" t="n">
        <v>0</v>
      </c>
      <c r="I100" t="n">
        <v>0</v>
      </c>
      <c r="J100" t="n">
        <v>0</v>
      </c>
      <c r="K100" t="n">
        <v>0</v>
      </c>
      <c r="L100" t="n">
        <v>0</v>
      </c>
      <c r="M100" t="n">
        <v>0</v>
      </c>
      <c r="N100" t="n">
        <v>0</v>
      </c>
      <c r="O100" t="n">
        <v>0</v>
      </c>
      <c r="P100" t="n">
        <v>0</v>
      </c>
      <c r="Q100" t="n">
        <v>0</v>
      </c>
      <c r="R100" s="2" t="inlineStr"/>
    </row>
    <row r="101" ht="15" customHeight="1">
      <c r="A101" t="inlineStr">
        <is>
          <t>A 38010-2024</t>
        </is>
      </c>
      <c r="B101" s="1" t="n">
        <v>45544.62276620371</v>
      </c>
      <c r="C101" s="1" t="n">
        <v>45932</v>
      </c>
      <c r="D101" t="inlineStr">
        <is>
          <t>ÖREBRO LÄN</t>
        </is>
      </c>
      <c r="E101" t="inlineStr">
        <is>
          <t>HÄLLEFORS</t>
        </is>
      </c>
      <c r="G101" t="n">
        <v>22.7</v>
      </c>
      <c r="H101" t="n">
        <v>0</v>
      </c>
      <c r="I101" t="n">
        <v>0</v>
      </c>
      <c r="J101" t="n">
        <v>0</v>
      </c>
      <c r="K101" t="n">
        <v>0</v>
      </c>
      <c r="L101" t="n">
        <v>0</v>
      </c>
      <c r="M101" t="n">
        <v>0</v>
      </c>
      <c r="N101" t="n">
        <v>0</v>
      </c>
      <c r="O101" t="n">
        <v>0</v>
      </c>
      <c r="P101" t="n">
        <v>0</v>
      </c>
      <c r="Q101" t="n">
        <v>0</v>
      </c>
      <c r="R101" s="2" t="inlineStr"/>
    </row>
    <row r="102" ht="15" customHeight="1">
      <c r="A102" t="inlineStr">
        <is>
          <t>A 35191-2023</t>
        </is>
      </c>
      <c r="B102" s="1" t="n">
        <v>45145.61096064815</v>
      </c>
      <c r="C102" s="1" t="n">
        <v>45932</v>
      </c>
      <c r="D102" t="inlineStr">
        <is>
          <t>ÖREBRO LÄN</t>
        </is>
      </c>
      <c r="E102" t="inlineStr">
        <is>
          <t>HÄLLEFORS</t>
        </is>
      </c>
      <c r="F102" t="inlineStr">
        <is>
          <t>Bergvik skog väst AB</t>
        </is>
      </c>
      <c r="G102" t="n">
        <v>3.8</v>
      </c>
      <c r="H102" t="n">
        <v>0</v>
      </c>
      <c r="I102" t="n">
        <v>0</v>
      </c>
      <c r="J102" t="n">
        <v>0</v>
      </c>
      <c r="K102" t="n">
        <v>0</v>
      </c>
      <c r="L102" t="n">
        <v>0</v>
      </c>
      <c r="M102" t="n">
        <v>0</v>
      </c>
      <c r="N102" t="n">
        <v>0</v>
      </c>
      <c r="O102" t="n">
        <v>0</v>
      </c>
      <c r="P102" t="n">
        <v>0</v>
      </c>
      <c r="Q102" t="n">
        <v>0</v>
      </c>
      <c r="R102" s="2" t="inlineStr"/>
    </row>
    <row r="103" ht="15" customHeight="1">
      <c r="A103" t="inlineStr">
        <is>
          <t>A 20951-2025</t>
        </is>
      </c>
      <c r="B103" s="1" t="n">
        <v>45777.43930555556</v>
      </c>
      <c r="C103" s="1" t="n">
        <v>45932</v>
      </c>
      <c r="D103" t="inlineStr">
        <is>
          <t>ÖREBRO LÄN</t>
        </is>
      </c>
      <c r="E103" t="inlineStr">
        <is>
          <t>HÄLLEFORS</t>
        </is>
      </c>
      <c r="F103" t="inlineStr">
        <is>
          <t>Kyrkan</t>
        </is>
      </c>
      <c r="G103" t="n">
        <v>1</v>
      </c>
      <c r="H103" t="n">
        <v>0</v>
      </c>
      <c r="I103" t="n">
        <v>0</v>
      </c>
      <c r="J103" t="n">
        <v>0</v>
      </c>
      <c r="K103" t="n">
        <v>0</v>
      </c>
      <c r="L103" t="n">
        <v>0</v>
      </c>
      <c r="M103" t="n">
        <v>0</v>
      </c>
      <c r="N103" t="n">
        <v>0</v>
      </c>
      <c r="O103" t="n">
        <v>0</v>
      </c>
      <c r="P103" t="n">
        <v>0</v>
      </c>
      <c r="Q103" t="n">
        <v>0</v>
      </c>
      <c r="R103" s="2" t="inlineStr"/>
    </row>
    <row r="104" ht="15" customHeight="1">
      <c r="A104" t="inlineStr">
        <is>
          <t>A 51212-2023</t>
        </is>
      </c>
      <c r="B104" s="1" t="n">
        <v>45219.44366898148</v>
      </c>
      <c r="C104" s="1" t="n">
        <v>45932</v>
      </c>
      <c r="D104" t="inlineStr">
        <is>
          <t>ÖREBRO LÄN</t>
        </is>
      </c>
      <c r="E104" t="inlineStr">
        <is>
          <t>HÄLLEFORS</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45710-2023</t>
        </is>
      </c>
      <c r="B105" s="1" t="n">
        <v>45195.35254629629</v>
      </c>
      <c r="C105" s="1" t="n">
        <v>45932</v>
      </c>
      <c r="D105" t="inlineStr">
        <is>
          <t>ÖREBRO LÄN</t>
        </is>
      </c>
      <c r="E105" t="inlineStr">
        <is>
          <t>HÄLLEFORS</t>
        </is>
      </c>
      <c r="G105" t="n">
        <v>5.4</v>
      </c>
      <c r="H105" t="n">
        <v>0</v>
      </c>
      <c r="I105" t="n">
        <v>0</v>
      </c>
      <c r="J105" t="n">
        <v>0</v>
      </c>
      <c r="K105" t="n">
        <v>0</v>
      </c>
      <c r="L105" t="n">
        <v>0</v>
      </c>
      <c r="M105" t="n">
        <v>0</v>
      </c>
      <c r="N105" t="n">
        <v>0</v>
      </c>
      <c r="O105" t="n">
        <v>0</v>
      </c>
      <c r="P105" t="n">
        <v>0</v>
      </c>
      <c r="Q105" t="n">
        <v>0</v>
      </c>
      <c r="R105" s="2" t="inlineStr"/>
    </row>
    <row r="106" ht="15" customHeight="1">
      <c r="A106" t="inlineStr">
        <is>
          <t>A 20670-2025</t>
        </is>
      </c>
      <c r="B106" s="1" t="n">
        <v>45776.43351851852</v>
      </c>
      <c r="C106" s="1" t="n">
        <v>45932</v>
      </c>
      <c r="D106" t="inlineStr">
        <is>
          <t>ÖREBRO LÄN</t>
        </is>
      </c>
      <c r="E106" t="inlineStr">
        <is>
          <t>HÄLLEFORS</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23037-2024</t>
        </is>
      </c>
      <c r="B107" s="1" t="n">
        <v>45450.3955787037</v>
      </c>
      <c r="C107" s="1" t="n">
        <v>45932</v>
      </c>
      <c r="D107" t="inlineStr">
        <is>
          <t>ÖREBRO LÄN</t>
        </is>
      </c>
      <c r="E107" t="inlineStr">
        <is>
          <t>HÄLLEFORS</t>
        </is>
      </c>
      <c r="G107" t="n">
        <v>2.4</v>
      </c>
      <c r="H107" t="n">
        <v>0</v>
      </c>
      <c r="I107" t="n">
        <v>0</v>
      </c>
      <c r="J107" t="n">
        <v>0</v>
      </c>
      <c r="K107" t="n">
        <v>0</v>
      </c>
      <c r="L107" t="n">
        <v>0</v>
      </c>
      <c r="M107" t="n">
        <v>0</v>
      </c>
      <c r="N107" t="n">
        <v>0</v>
      </c>
      <c r="O107" t="n">
        <v>0</v>
      </c>
      <c r="P107" t="n">
        <v>0</v>
      </c>
      <c r="Q107" t="n">
        <v>0</v>
      </c>
      <c r="R107" s="2" t="inlineStr"/>
    </row>
    <row r="108" ht="15" customHeight="1">
      <c r="A108" t="inlineStr">
        <is>
          <t>A 21050-2025</t>
        </is>
      </c>
      <c r="B108" s="1" t="n">
        <v>45777.56322916667</v>
      </c>
      <c r="C108" s="1" t="n">
        <v>45932</v>
      </c>
      <c r="D108" t="inlineStr">
        <is>
          <t>ÖREBRO LÄN</t>
        </is>
      </c>
      <c r="E108" t="inlineStr">
        <is>
          <t>HÄLLEFORS</t>
        </is>
      </c>
      <c r="F108" t="inlineStr">
        <is>
          <t>Kyrkan</t>
        </is>
      </c>
      <c r="G108" t="n">
        <v>0.9</v>
      </c>
      <c r="H108" t="n">
        <v>0</v>
      </c>
      <c r="I108" t="n">
        <v>0</v>
      </c>
      <c r="J108" t="n">
        <v>0</v>
      </c>
      <c r="K108" t="n">
        <v>0</v>
      </c>
      <c r="L108" t="n">
        <v>0</v>
      </c>
      <c r="M108" t="n">
        <v>0</v>
      </c>
      <c r="N108" t="n">
        <v>0</v>
      </c>
      <c r="O108" t="n">
        <v>0</v>
      </c>
      <c r="P108" t="n">
        <v>0</v>
      </c>
      <c r="Q108" t="n">
        <v>0</v>
      </c>
      <c r="R108" s="2" t="inlineStr"/>
    </row>
    <row r="109" ht="15" customHeight="1">
      <c r="A109" t="inlineStr">
        <is>
          <t>A 21099-2025</t>
        </is>
      </c>
      <c r="B109" s="1" t="n">
        <v>45777.64827546296</v>
      </c>
      <c r="C109" s="1" t="n">
        <v>45932</v>
      </c>
      <c r="D109" t="inlineStr">
        <is>
          <t>ÖREBRO LÄN</t>
        </is>
      </c>
      <c r="E109" t="inlineStr">
        <is>
          <t>HÄLLEFORS</t>
        </is>
      </c>
      <c r="F109" t="inlineStr">
        <is>
          <t>Kyrkan</t>
        </is>
      </c>
      <c r="G109" t="n">
        <v>1.7</v>
      </c>
      <c r="H109" t="n">
        <v>0</v>
      </c>
      <c r="I109" t="n">
        <v>0</v>
      </c>
      <c r="J109" t="n">
        <v>0</v>
      </c>
      <c r="K109" t="n">
        <v>0</v>
      </c>
      <c r="L109" t="n">
        <v>0</v>
      </c>
      <c r="M109" t="n">
        <v>0</v>
      </c>
      <c r="N109" t="n">
        <v>0</v>
      </c>
      <c r="O109" t="n">
        <v>0</v>
      </c>
      <c r="P109" t="n">
        <v>0</v>
      </c>
      <c r="Q109" t="n">
        <v>0</v>
      </c>
      <c r="R109" s="2" t="inlineStr"/>
    </row>
    <row r="110" ht="15" customHeight="1">
      <c r="A110" t="inlineStr">
        <is>
          <t>A 33609-2022</t>
        </is>
      </c>
      <c r="B110" s="1" t="n">
        <v>44782</v>
      </c>
      <c r="C110" s="1" t="n">
        <v>45932</v>
      </c>
      <c r="D110" t="inlineStr">
        <is>
          <t>ÖREBRO LÄN</t>
        </is>
      </c>
      <c r="E110" t="inlineStr">
        <is>
          <t>HÄLLEFORS</t>
        </is>
      </c>
      <c r="G110" t="n">
        <v>5.7</v>
      </c>
      <c r="H110" t="n">
        <v>0</v>
      </c>
      <c r="I110" t="n">
        <v>0</v>
      </c>
      <c r="J110" t="n">
        <v>0</v>
      </c>
      <c r="K110" t="n">
        <v>0</v>
      </c>
      <c r="L110" t="n">
        <v>0</v>
      </c>
      <c r="M110" t="n">
        <v>0</v>
      </c>
      <c r="N110" t="n">
        <v>0</v>
      </c>
      <c r="O110" t="n">
        <v>0</v>
      </c>
      <c r="P110" t="n">
        <v>0</v>
      </c>
      <c r="Q110" t="n">
        <v>0</v>
      </c>
      <c r="R110" s="2" t="inlineStr"/>
    </row>
    <row r="111" ht="15" customHeight="1">
      <c r="A111" t="inlineStr">
        <is>
          <t>A 15941-2023</t>
        </is>
      </c>
      <c r="B111" s="1" t="n">
        <v>45022</v>
      </c>
      <c r="C111" s="1" t="n">
        <v>45932</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18987-2025</t>
        </is>
      </c>
      <c r="B112" s="1" t="n">
        <v>45764.56091435185</v>
      </c>
      <c r="C112" s="1" t="n">
        <v>45932</v>
      </c>
      <c r="D112" t="inlineStr">
        <is>
          <t>ÖREBRO LÄN</t>
        </is>
      </c>
      <c r="E112" t="inlineStr">
        <is>
          <t>HÄLLEFORS</t>
        </is>
      </c>
      <c r="F112" t="inlineStr">
        <is>
          <t>Bergvik skog väst AB</t>
        </is>
      </c>
      <c r="G112" t="n">
        <v>2.8</v>
      </c>
      <c r="H112" t="n">
        <v>0</v>
      </c>
      <c r="I112" t="n">
        <v>0</v>
      </c>
      <c r="J112" t="n">
        <v>0</v>
      </c>
      <c r="K112" t="n">
        <v>0</v>
      </c>
      <c r="L112" t="n">
        <v>0</v>
      </c>
      <c r="M112" t="n">
        <v>0</v>
      </c>
      <c r="N112" t="n">
        <v>0</v>
      </c>
      <c r="O112" t="n">
        <v>0</v>
      </c>
      <c r="P112" t="n">
        <v>0</v>
      </c>
      <c r="Q112" t="n">
        <v>0</v>
      </c>
      <c r="R112" s="2" t="inlineStr"/>
    </row>
    <row r="113" ht="15" customHeight="1">
      <c r="A113" t="inlineStr">
        <is>
          <t>A 17112-2025</t>
        </is>
      </c>
      <c r="B113" s="1" t="n">
        <v>45755</v>
      </c>
      <c r="C113" s="1" t="n">
        <v>45932</v>
      </c>
      <c r="D113" t="inlineStr">
        <is>
          <t>ÖREBRO LÄN</t>
        </is>
      </c>
      <c r="E113" t="inlineStr">
        <is>
          <t>HÄLLEFORS</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18891-2025</t>
        </is>
      </c>
      <c r="B114" s="1" t="n">
        <v>45764</v>
      </c>
      <c r="C114" s="1" t="n">
        <v>45932</v>
      </c>
      <c r="D114" t="inlineStr">
        <is>
          <t>ÖREBRO LÄN</t>
        </is>
      </c>
      <c r="E114" t="inlineStr">
        <is>
          <t>HÄLLEFORS</t>
        </is>
      </c>
      <c r="G114" t="n">
        <v>2.2</v>
      </c>
      <c r="H114" t="n">
        <v>0</v>
      </c>
      <c r="I114" t="n">
        <v>0</v>
      </c>
      <c r="J114" t="n">
        <v>0</v>
      </c>
      <c r="K114" t="n">
        <v>0</v>
      </c>
      <c r="L114" t="n">
        <v>0</v>
      </c>
      <c r="M114" t="n">
        <v>0</v>
      </c>
      <c r="N114" t="n">
        <v>0</v>
      </c>
      <c r="O114" t="n">
        <v>0</v>
      </c>
      <c r="P114" t="n">
        <v>0</v>
      </c>
      <c r="Q114" t="n">
        <v>0</v>
      </c>
      <c r="R114" s="2" t="inlineStr"/>
    </row>
    <row r="115" ht="15" customHeight="1">
      <c r="A115" t="inlineStr">
        <is>
          <t>A 45694-2023</t>
        </is>
      </c>
      <c r="B115" s="1" t="n">
        <v>45195</v>
      </c>
      <c r="C115" s="1" t="n">
        <v>45932</v>
      </c>
      <c r="D115" t="inlineStr">
        <is>
          <t>ÖREBRO LÄN</t>
        </is>
      </c>
      <c r="E115" t="inlineStr">
        <is>
          <t>HÄLLEFORS</t>
        </is>
      </c>
      <c r="G115" t="n">
        <v>10.8</v>
      </c>
      <c r="H115" t="n">
        <v>0</v>
      </c>
      <c r="I115" t="n">
        <v>0</v>
      </c>
      <c r="J115" t="n">
        <v>0</v>
      </c>
      <c r="K115" t="n">
        <v>0</v>
      </c>
      <c r="L115" t="n">
        <v>0</v>
      </c>
      <c r="M115" t="n">
        <v>0</v>
      </c>
      <c r="N115" t="n">
        <v>0</v>
      </c>
      <c r="O115" t="n">
        <v>0</v>
      </c>
      <c r="P115" t="n">
        <v>0</v>
      </c>
      <c r="Q115" t="n">
        <v>0</v>
      </c>
      <c r="R115" s="2" t="inlineStr"/>
    </row>
    <row r="116" ht="15" customHeight="1">
      <c r="A116" t="inlineStr">
        <is>
          <t>A 30307-2024</t>
        </is>
      </c>
      <c r="B116" s="1" t="n">
        <v>45490.70074074074</v>
      </c>
      <c r="C116" s="1" t="n">
        <v>45932</v>
      </c>
      <c r="D116" t="inlineStr">
        <is>
          <t>ÖREBRO LÄN</t>
        </is>
      </c>
      <c r="E116" t="inlineStr">
        <is>
          <t>HÄLLEFORS</t>
        </is>
      </c>
      <c r="G116" t="n">
        <v>2.5</v>
      </c>
      <c r="H116" t="n">
        <v>0</v>
      </c>
      <c r="I116" t="n">
        <v>0</v>
      </c>
      <c r="J116" t="n">
        <v>0</v>
      </c>
      <c r="K116" t="n">
        <v>0</v>
      </c>
      <c r="L116" t="n">
        <v>0</v>
      </c>
      <c r="M116" t="n">
        <v>0</v>
      </c>
      <c r="N116" t="n">
        <v>0</v>
      </c>
      <c r="O116" t="n">
        <v>0</v>
      </c>
      <c r="P116" t="n">
        <v>0</v>
      </c>
      <c r="Q116" t="n">
        <v>0</v>
      </c>
      <c r="R116" s="2" t="inlineStr"/>
    </row>
    <row r="117" ht="15" customHeight="1">
      <c r="A117" t="inlineStr">
        <is>
          <t>A 18168-2024</t>
        </is>
      </c>
      <c r="B117" s="1" t="n">
        <v>45420</v>
      </c>
      <c r="C117" s="1" t="n">
        <v>45932</v>
      </c>
      <c r="D117" t="inlineStr">
        <is>
          <t>ÖREBRO LÄN</t>
        </is>
      </c>
      <c r="E117" t="inlineStr">
        <is>
          <t>HÄLLEFORS</t>
        </is>
      </c>
      <c r="G117" t="n">
        <v>1.4</v>
      </c>
      <c r="H117" t="n">
        <v>0</v>
      </c>
      <c r="I117" t="n">
        <v>0</v>
      </c>
      <c r="J117" t="n">
        <v>0</v>
      </c>
      <c r="K117" t="n">
        <v>0</v>
      </c>
      <c r="L117" t="n">
        <v>0</v>
      </c>
      <c r="M117" t="n">
        <v>0</v>
      </c>
      <c r="N117" t="n">
        <v>0</v>
      </c>
      <c r="O117" t="n">
        <v>0</v>
      </c>
      <c r="P117" t="n">
        <v>0</v>
      </c>
      <c r="Q117" t="n">
        <v>0</v>
      </c>
      <c r="R117" s="2" t="inlineStr"/>
    </row>
    <row r="118" ht="15" customHeight="1">
      <c r="A118" t="inlineStr">
        <is>
          <t>A 55745-2024</t>
        </is>
      </c>
      <c r="B118" s="1" t="n">
        <v>45623.3168287037</v>
      </c>
      <c r="C118" s="1" t="n">
        <v>45932</v>
      </c>
      <c r="D118" t="inlineStr">
        <is>
          <t>ÖREBRO LÄN</t>
        </is>
      </c>
      <c r="E118" t="inlineStr">
        <is>
          <t>HÄLLEFORS</t>
        </is>
      </c>
      <c r="F118" t="inlineStr">
        <is>
          <t>Bergvik skog väst AB</t>
        </is>
      </c>
      <c r="G118" t="n">
        <v>2.4</v>
      </c>
      <c r="H118" t="n">
        <v>0</v>
      </c>
      <c r="I118" t="n">
        <v>0</v>
      </c>
      <c r="J118" t="n">
        <v>0</v>
      </c>
      <c r="K118" t="n">
        <v>0</v>
      </c>
      <c r="L118" t="n">
        <v>0</v>
      </c>
      <c r="M118" t="n">
        <v>0</v>
      </c>
      <c r="N118" t="n">
        <v>0</v>
      </c>
      <c r="O118" t="n">
        <v>0</v>
      </c>
      <c r="P118" t="n">
        <v>0</v>
      </c>
      <c r="Q118" t="n">
        <v>0</v>
      </c>
      <c r="R118" s="2" t="inlineStr"/>
    </row>
    <row r="119" ht="15" customHeight="1">
      <c r="A119" t="inlineStr">
        <is>
          <t>A 18878-2025</t>
        </is>
      </c>
      <c r="B119" s="1" t="n">
        <v>45764</v>
      </c>
      <c r="C119" s="1" t="n">
        <v>45932</v>
      </c>
      <c r="D119" t="inlineStr">
        <is>
          <t>ÖREBRO LÄN</t>
        </is>
      </c>
      <c r="E119" t="inlineStr">
        <is>
          <t>HÄLLEFORS</t>
        </is>
      </c>
      <c r="G119" t="n">
        <v>1.4</v>
      </c>
      <c r="H119" t="n">
        <v>0</v>
      </c>
      <c r="I119" t="n">
        <v>0</v>
      </c>
      <c r="J119" t="n">
        <v>0</v>
      </c>
      <c r="K119" t="n">
        <v>0</v>
      </c>
      <c r="L119" t="n">
        <v>0</v>
      </c>
      <c r="M119" t="n">
        <v>0</v>
      </c>
      <c r="N119" t="n">
        <v>0</v>
      </c>
      <c r="O119" t="n">
        <v>0</v>
      </c>
      <c r="P119" t="n">
        <v>0</v>
      </c>
      <c r="Q119" t="n">
        <v>0</v>
      </c>
      <c r="R119" s="2" t="inlineStr"/>
    </row>
    <row r="120" ht="15" customHeight="1">
      <c r="A120" t="inlineStr">
        <is>
          <t>A 18790-2025</t>
        </is>
      </c>
      <c r="B120" s="1" t="n">
        <v>45764</v>
      </c>
      <c r="C120" s="1" t="n">
        <v>45932</v>
      </c>
      <c r="D120" t="inlineStr">
        <is>
          <t>ÖREBRO LÄN</t>
        </is>
      </c>
      <c r="E120" t="inlineStr">
        <is>
          <t>HÄLLEFORS</t>
        </is>
      </c>
      <c r="G120" t="n">
        <v>14.9</v>
      </c>
      <c r="H120" t="n">
        <v>0</v>
      </c>
      <c r="I120" t="n">
        <v>0</v>
      </c>
      <c r="J120" t="n">
        <v>0</v>
      </c>
      <c r="K120" t="n">
        <v>0</v>
      </c>
      <c r="L120" t="n">
        <v>0</v>
      </c>
      <c r="M120" t="n">
        <v>0</v>
      </c>
      <c r="N120" t="n">
        <v>0</v>
      </c>
      <c r="O120" t="n">
        <v>0</v>
      </c>
      <c r="P120" t="n">
        <v>0</v>
      </c>
      <c r="Q120" t="n">
        <v>0</v>
      </c>
      <c r="R120" s="2" t="inlineStr"/>
    </row>
    <row r="121" ht="15" customHeight="1">
      <c r="A121" t="inlineStr">
        <is>
          <t>A 53340-2024</t>
        </is>
      </c>
      <c r="B121" s="1" t="n">
        <v>45614.43358796297</v>
      </c>
      <c r="C121" s="1" t="n">
        <v>45932</v>
      </c>
      <c r="D121" t="inlineStr">
        <is>
          <t>ÖREBRO LÄN</t>
        </is>
      </c>
      <c r="E121" t="inlineStr">
        <is>
          <t>HÄLLEFORS</t>
        </is>
      </c>
      <c r="G121" t="n">
        <v>1.3</v>
      </c>
      <c r="H121" t="n">
        <v>0</v>
      </c>
      <c r="I121" t="n">
        <v>0</v>
      </c>
      <c r="J121" t="n">
        <v>0</v>
      </c>
      <c r="K121" t="n">
        <v>0</v>
      </c>
      <c r="L121" t="n">
        <v>0</v>
      </c>
      <c r="M121" t="n">
        <v>0</v>
      </c>
      <c r="N121" t="n">
        <v>0</v>
      </c>
      <c r="O121" t="n">
        <v>0</v>
      </c>
      <c r="P121" t="n">
        <v>0</v>
      </c>
      <c r="Q121" t="n">
        <v>0</v>
      </c>
      <c r="R121" s="2" t="inlineStr"/>
    </row>
    <row r="122" ht="15" customHeight="1">
      <c r="A122" t="inlineStr">
        <is>
          <t>A 18852-2025</t>
        </is>
      </c>
      <c r="B122" s="1" t="n">
        <v>45764</v>
      </c>
      <c r="C122" s="1" t="n">
        <v>45932</v>
      </c>
      <c r="D122" t="inlineStr">
        <is>
          <t>ÖREBRO LÄN</t>
        </is>
      </c>
      <c r="E122" t="inlineStr">
        <is>
          <t>HÄLLEFORS</t>
        </is>
      </c>
      <c r="G122" t="n">
        <v>6.8</v>
      </c>
      <c r="H122" t="n">
        <v>0</v>
      </c>
      <c r="I122" t="n">
        <v>0</v>
      </c>
      <c r="J122" t="n">
        <v>0</v>
      </c>
      <c r="K122" t="n">
        <v>0</v>
      </c>
      <c r="L122" t="n">
        <v>0</v>
      </c>
      <c r="M122" t="n">
        <v>0</v>
      </c>
      <c r="N122" t="n">
        <v>0</v>
      </c>
      <c r="O122" t="n">
        <v>0</v>
      </c>
      <c r="P122" t="n">
        <v>0</v>
      </c>
      <c r="Q122" t="n">
        <v>0</v>
      </c>
      <c r="R122" s="2" t="inlineStr"/>
    </row>
    <row r="123" ht="15" customHeight="1">
      <c r="A123" t="inlineStr">
        <is>
          <t>A 18869-2025</t>
        </is>
      </c>
      <c r="B123" s="1" t="n">
        <v>45764</v>
      </c>
      <c r="C123" s="1" t="n">
        <v>45932</v>
      </c>
      <c r="D123" t="inlineStr">
        <is>
          <t>ÖREBRO LÄN</t>
        </is>
      </c>
      <c r="E123" t="inlineStr">
        <is>
          <t>HÄLLEFORS</t>
        </is>
      </c>
      <c r="G123" t="n">
        <v>3.7</v>
      </c>
      <c r="H123" t="n">
        <v>0</v>
      </c>
      <c r="I123" t="n">
        <v>0</v>
      </c>
      <c r="J123" t="n">
        <v>0</v>
      </c>
      <c r="K123" t="n">
        <v>0</v>
      </c>
      <c r="L123" t="n">
        <v>0</v>
      </c>
      <c r="M123" t="n">
        <v>0</v>
      </c>
      <c r="N123" t="n">
        <v>0</v>
      </c>
      <c r="O123" t="n">
        <v>0</v>
      </c>
      <c r="P123" t="n">
        <v>0</v>
      </c>
      <c r="Q123" t="n">
        <v>0</v>
      </c>
      <c r="R123" s="2" t="inlineStr"/>
    </row>
    <row r="124" ht="15" customHeight="1">
      <c r="A124" t="inlineStr">
        <is>
          <t>A 35106-2023</t>
        </is>
      </c>
      <c r="B124" s="1" t="n">
        <v>45145</v>
      </c>
      <c r="C124" s="1" t="n">
        <v>45932</v>
      </c>
      <c r="D124" t="inlineStr">
        <is>
          <t>ÖREBRO LÄN</t>
        </is>
      </c>
      <c r="E124" t="inlineStr">
        <is>
          <t>HÄLLEFORS</t>
        </is>
      </c>
      <c r="F124" t="inlineStr">
        <is>
          <t>Bergvik skog väst AB</t>
        </is>
      </c>
      <c r="G124" t="n">
        <v>13.9</v>
      </c>
      <c r="H124" t="n">
        <v>0</v>
      </c>
      <c r="I124" t="n">
        <v>0</v>
      </c>
      <c r="J124" t="n">
        <v>0</v>
      </c>
      <c r="K124" t="n">
        <v>0</v>
      </c>
      <c r="L124" t="n">
        <v>0</v>
      </c>
      <c r="M124" t="n">
        <v>0</v>
      </c>
      <c r="N124" t="n">
        <v>0</v>
      </c>
      <c r="O124" t="n">
        <v>0</v>
      </c>
      <c r="P124" t="n">
        <v>0</v>
      </c>
      <c r="Q124" t="n">
        <v>0</v>
      </c>
      <c r="R124" s="2" t="inlineStr"/>
    </row>
    <row r="125" ht="15" customHeight="1">
      <c r="A125" t="inlineStr">
        <is>
          <t>A 21852-2025</t>
        </is>
      </c>
      <c r="B125" s="1" t="n">
        <v>45784</v>
      </c>
      <c r="C125" s="1" t="n">
        <v>45932</v>
      </c>
      <c r="D125" t="inlineStr">
        <is>
          <t>ÖREBRO LÄN</t>
        </is>
      </c>
      <c r="E125" t="inlineStr">
        <is>
          <t>HÄLLEFORS</t>
        </is>
      </c>
      <c r="G125" t="n">
        <v>4.2</v>
      </c>
      <c r="H125" t="n">
        <v>0</v>
      </c>
      <c r="I125" t="n">
        <v>0</v>
      </c>
      <c r="J125" t="n">
        <v>0</v>
      </c>
      <c r="K125" t="n">
        <v>0</v>
      </c>
      <c r="L125" t="n">
        <v>0</v>
      </c>
      <c r="M125" t="n">
        <v>0</v>
      </c>
      <c r="N125" t="n">
        <v>0</v>
      </c>
      <c r="O125" t="n">
        <v>0</v>
      </c>
      <c r="P125" t="n">
        <v>0</v>
      </c>
      <c r="Q125" t="n">
        <v>0</v>
      </c>
      <c r="R125" s="2" t="inlineStr"/>
    </row>
    <row r="126" ht="15" customHeight="1">
      <c r="A126" t="inlineStr">
        <is>
          <t>A 39869-2023</t>
        </is>
      </c>
      <c r="B126" s="1" t="n">
        <v>45168</v>
      </c>
      <c r="C126" s="1" t="n">
        <v>45932</v>
      </c>
      <c r="D126" t="inlineStr">
        <is>
          <t>ÖREBRO LÄN</t>
        </is>
      </c>
      <c r="E126" t="inlineStr">
        <is>
          <t>HÄLLEFORS</t>
        </is>
      </c>
      <c r="F126" t="inlineStr">
        <is>
          <t>Bergvik skog väst AB</t>
        </is>
      </c>
      <c r="G126" t="n">
        <v>0.7</v>
      </c>
      <c r="H126" t="n">
        <v>0</v>
      </c>
      <c r="I126" t="n">
        <v>0</v>
      </c>
      <c r="J126" t="n">
        <v>0</v>
      </c>
      <c r="K126" t="n">
        <v>0</v>
      </c>
      <c r="L126" t="n">
        <v>0</v>
      </c>
      <c r="M126" t="n">
        <v>0</v>
      </c>
      <c r="N126" t="n">
        <v>0</v>
      </c>
      <c r="O126" t="n">
        <v>0</v>
      </c>
      <c r="P126" t="n">
        <v>0</v>
      </c>
      <c r="Q126" t="n">
        <v>0</v>
      </c>
      <c r="R126" s="2" t="inlineStr"/>
    </row>
    <row r="127" ht="15" customHeight="1">
      <c r="A127" t="inlineStr">
        <is>
          <t>A 47907-2024</t>
        </is>
      </c>
      <c r="B127" s="1" t="n">
        <v>45589.31677083333</v>
      </c>
      <c r="C127" s="1" t="n">
        <v>45932</v>
      </c>
      <c r="D127" t="inlineStr">
        <is>
          <t>ÖREBRO LÄN</t>
        </is>
      </c>
      <c r="E127" t="inlineStr">
        <is>
          <t>HÄLLEFORS</t>
        </is>
      </c>
      <c r="F127" t="inlineStr">
        <is>
          <t>Bergvik skog väst AB</t>
        </is>
      </c>
      <c r="G127" t="n">
        <v>4.6</v>
      </c>
      <c r="H127" t="n">
        <v>0</v>
      </c>
      <c r="I127" t="n">
        <v>0</v>
      </c>
      <c r="J127" t="n">
        <v>0</v>
      </c>
      <c r="K127" t="n">
        <v>0</v>
      </c>
      <c r="L127" t="n">
        <v>0</v>
      </c>
      <c r="M127" t="n">
        <v>0</v>
      </c>
      <c r="N127" t="n">
        <v>0</v>
      </c>
      <c r="O127" t="n">
        <v>0</v>
      </c>
      <c r="P127" t="n">
        <v>0</v>
      </c>
      <c r="Q127" t="n">
        <v>0</v>
      </c>
      <c r="R127" s="2" t="inlineStr"/>
    </row>
    <row r="128" ht="15" customHeight="1">
      <c r="A128" t="inlineStr">
        <is>
          <t>A 59963-2024</t>
        </is>
      </c>
      <c r="B128" s="1" t="n">
        <v>45642.35274305556</v>
      </c>
      <c r="C128" s="1" t="n">
        <v>45932</v>
      </c>
      <c r="D128" t="inlineStr">
        <is>
          <t>ÖREBRO LÄN</t>
        </is>
      </c>
      <c r="E128" t="inlineStr">
        <is>
          <t>HÄLLEFORS</t>
        </is>
      </c>
      <c r="F128" t="inlineStr">
        <is>
          <t>Bergvik skog väst AB</t>
        </is>
      </c>
      <c r="G128" t="n">
        <v>8.4</v>
      </c>
      <c r="H128" t="n">
        <v>0</v>
      </c>
      <c r="I128" t="n">
        <v>0</v>
      </c>
      <c r="J128" t="n">
        <v>0</v>
      </c>
      <c r="K128" t="n">
        <v>0</v>
      </c>
      <c r="L128" t="n">
        <v>0</v>
      </c>
      <c r="M128" t="n">
        <v>0</v>
      </c>
      <c r="N128" t="n">
        <v>0</v>
      </c>
      <c r="O128" t="n">
        <v>0</v>
      </c>
      <c r="P128" t="n">
        <v>0</v>
      </c>
      <c r="Q128" t="n">
        <v>0</v>
      </c>
      <c r="R128" s="2" t="inlineStr"/>
    </row>
    <row r="129" ht="15" customHeight="1">
      <c r="A129" t="inlineStr">
        <is>
          <t>A 36090-2024</t>
        </is>
      </c>
      <c r="B129" s="1" t="n">
        <v>45533.68363425926</v>
      </c>
      <c r="C129" s="1" t="n">
        <v>45932</v>
      </c>
      <c r="D129" t="inlineStr">
        <is>
          <t>ÖREBRO LÄN</t>
        </is>
      </c>
      <c r="E129" t="inlineStr">
        <is>
          <t>HÄLLEFORS</t>
        </is>
      </c>
      <c r="F129" t="inlineStr">
        <is>
          <t>Bergvik skog väst AB</t>
        </is>
      </c>
      <c r="G129" t="n">
        <v>5.2</v>
      </c>
      <c r="H129" t="n">
        <v>0</v>
      </c>
      <c r="I129" t="n">
        <v>0</v>
      </c>
      <c r="J129" t="n">
        <v>0</v>
      </c>
      <c r="K129" t="n">
        <v>0</v>
      </c>
      <c r="L129" t="n">
        <v>0</v>
      </c>
      <c r="M129" t="n">
        <v>0</v>
      </c>
      <c r="N129" t="n">
        <v>0</v>
      </c>
      <c r="O129" t="n">
        <v>0</v>
      </c>
      <c r="P129" t="n">
        <v>0</v>
      </c>
      <c r="Q129" t="n">
        <v>0</v>
      </c>
      <c r="R129" s="2" t="inlineStr"/>
    </row>
    <row r="130" ht="15" customHeight="1">
      <c r="A130" t="inlineStr">
        <is>
          <t>A 44088-2024</t>
        </is>
      </c>
      <c r="B130" s="1" t="n">
        <v>45572.61984953703</v>
      </c>
      <c r="C130" s="1" t="n">
        <v>45932</v>
      </c>
      <c r="D130" t="inlineStr">
        <is>
          <t>ÖREBRO LÄN</t>
        </is>
      </c>
      <c r="E130" t="inlineStr">
        <is>
          <t>HÄLLEFORS</t>
        </is>
      </c>
      <c r="G130" t="n">
        <v>4</v>
      </c>
      <c r="H130" t="n">
        <v>0</v>
      </c>
      <c r="I130" t="n">
        <v>0</v>
      </c>
      <c r="J130" t="n">
        <v>0</v>
      </c>
      <c r="K130" t="n">
        <v>0</v>
      </c>
      <c r="L130" t="n">
        <v>0</v>
      </c>
      <c r="M130" t="n">
        <v>0</v>
      </c>
      <c r="N130" t="n">
        <v>0</v>
      </c>
      <c r="O130" t="n">
        <v>0</v>
      </c>
      <c r="P130" t="n">
        <v>0</v>
      </c>
      <c r="Q130" t="n">
        <v>0</v>
      </c>
      <c r="R130" s="2" t="inlineStr"/>
    </row>
    <row r="131" ht="15" customHeight="1">
      <c r="A131" t="inlineStr">
        <is>
          <t>A 21853-2025</t>
        </is>
      </c>
      <c r="B131" s="1" t="n">
        <v>45784.34652777778</v>
      </c>
      <c r="C131" s="1" t="n">
        <v>45932</v>
      </c>
      <c r="D131" t="inlineStr">
        <is>
          <t>ÖREBRO LÄN</t>
        </is>
      </c>
      <c r="E131" t="inlineStr">
        <is>
          <t>HÄLLEFORS</t>
        </is>
      </c>
      <c r="G131" t="n">
        <v>23.4</v>
      </c>
      <c r="H131" t="n">
        <v>0</v>
      </c>
      <c r="I131" t="n">
        <v>0</v>
      </c>
      <c r="J131" t="n">
        <v>0</v>
      </c>
      <c r="K131" t="n">
        <v>0</v>
      </c>
      <c r="L131" t="n">
        <v>0</v>
      </c>
      <c r="M131" t="n">
        <v>0</v>
      </c>
      <c r="N131" t="n">
        <v>0</v>
      </c>
      <c r="O131" t="n">
        <v>0</v>
      </c>
      <c r="P131" t="n">
        <v>0</v>
      </c>
      <c r="Q131" t="n">
        <v>0</v>
      </c>
      <c r="R131" s="2" t="inlineStr"/>
    </row>
    <row r="132" ht="15" customHeight="1">
      <c r="A132" t="inlineStr">
        <is>
          <t>A 39178-2022</t>
        </is>
      </c>
      <c r="B132" s="1" t="n">
        <v>44817.50186342592</v>
      </c>
      <c r="C132" s="1" t="n">
        <v>45932</v>
      </c>
      <c r="D132" t="inlineStr">
        <is>
          <t>ÖREBRO LÄN</t>
        </is>
      </c>
      <c r="E132" t="inlineStr">
        <is>
          <t>HÄLLEFORS</t>
        </is>
      </c>
      <c r="G132" t="n">
        <v>1.1</v>
      </c>
      <c r="H132" t="n">
        <v>0</v>
      </c>
      <c r="I132" t="n">
        <v>0</v>
      </c>
      <c r="J132" t="n">
        <v>0</v>
      </c>
      <c r="K132" t="n">
        <v>0</v>
      </c>
      <c r="L132" t="n">
        <v>0</v>
      </c>
      <c r="M132" t="n">
        <v>0</v>
      </c>
      <c r="N132" t="n">
        <v>0</v>
      </c>
      <c r="O132" t="n">
        <v>0</v>
      </c>
      <c r="P132" t="n">
        <v>0</v>
      </c>
      <c r="Q132" t="n">
        <v>0</v>
      </c>
      <c r="R132" s="2" t="inlineStr"/>
    </row>
    <row r="133" ht="15" customHeight="1">
      <c r="A133" t="inlineStr">
        <is>
          <t>A 18945-2025</t>
        </is>
      </c>
      <c r="B133" s="1" t="n">
        <v>45764.50498842593</v>
      </c>
      <c r="C133" s="1" t="n">
        <v>45932</v>
      </c>
      <c r="D133" t="inlineStr">
        <is>
          <t>ÖREBRO LÄN</t>
        </is>
      </c>
      <c r="E133" t="inlineStr">
        <is>
          <t>HÄLLEFORS</t>
        </is>
      </c>
      <c r="F133" t="inlineStr">
        <is>
          <t>Bergvik skog väst AB</t>
        </is>
      </c>
      <c r="G133" t="n">
        <v>5.1</v>
      </c>
      <c r="H133" t="n">
        <v>0</v>
      </c>
      <c r="I133" t="n">
        <v>0</v>
      </c>
      <c r="J133" t="n">
        <v>0</v>
      </c>
      <c r="K133" t="n">
        <v>0</v>
      </c>
      <c r="L133" t="n">
        <v>0</v>
      </c>
      <c r="M133" t="n">
        <v>0</v>
      </c>
      <c r="N133" t="n">
        <v>0</v>
      </c>
      <c r="O133" t="n">
        <v>0</v>
      </c>
      <c r="P133" t="n">
        <v>0</v>
      </c>
      <c r="Q133" t="n">
        <v>0</v>
      </c>
      <c r="R133" s="2" t="inlineStr"/>
    </row>
    <row r="134" ht="15" customHeight="1">
      <c r="A134" t="inlineStr">
        <is>
          <t>A 54105-2023</t>
        </is>
      </c>
      <c r="B134" s="1" t="n">
        <v>45232</v>
      </c>
      <c r="C134" s="1" t="n">
        <v>45932</v>
      </c>
      <c r="D134" t="inlineStr">
        <is>
          <t>ÖREBRO LÄN</t>
        </is>
      </c>
      <c r="E134" t="inlineStr">
        <is>
          <t>HÄLLEFORS</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16930-2025</t>
        </is>
      </c>
      <c r="B135" s="1" t="n">
        <v>45755.40039351852</v>
      </c>
      <c r="C135" s="1" t="n">
        <v>45932</v>
      </c>
      <c r="D135" t="inlineStr">
        <is>
          <t>ÖREBRO LÄN</t>
        </is>
      </c>
      <c r="E135" t="inlineStr">
        <is>
          <t>HÄLLEFORS</t>
        </is>
      </c>
      <c r="F135" t="inlineStr">
        <is>
          <t>Bergvik skog väst AB</t>
        </is>
      </c>
      <c r="G135" t="n">
        <v>2.7</v>
      </c>
      <c r="H135" t="n">
        <v>0</v>
      </c>
      <c r="I135" t="n">
        <v>0</v>
      </c>
      <c r="J135" t="n">
        <v>0</v>
      </c>
      <c r="K135" t="n">
        <v>0</v>
      </c>
      <c r="L135" t="n">
        <v>0</v>
      </c>
      <c r="M135" t="n">
        <v>0</v>
      </c>
      <c r="N135" t="n">
        <v>0</v>
      </c>
      <c r="O135" t="n">
        <v>0</v>
      </c>
      <c r="P135" t="n">
        <v>0</v>
      </c>
      <c r="Q135" t="n">
        <v>0</v>
      </c>
      <c r="R135" s="2" t="inlineStr"/>
    </row>
    <row r="136" ht="15" customHeight="1">
      <c r="A136" t="inlineStr">
        <is>
          <t>A 35188-2023</t>
        </is>
      </c>
      <c r="B136" s="1" t="n">
        <v>45145.60365740741</v>
      </c>
      <c r="C136" s="1" t="n">
        <v>45932</v>
      </c>
      <c r="D136" t="inlineStr">
        <is>
          <t>ÖREBRO LÄN</t>
        </is>
      </c>
      <c r="E136" t="inlineStr">
        <is>
          <t>HÄLLEFORS</t>
        </is>
      </c>
      <c r="F136" t="inlineStr">
        <is>
          <t>Bergvik skog väst AB</t>
        </is>
      </c>
      <c r="G136" t="n">
        <v>12.9</v>
      </c>
      <c r="H136" t="n">
        <v>0</v>
      </c>
      <c r="I136" t="n">
        <v>0</v>
      </c>
      <c r="J136" t="n">
        <v>0</v>
      </c>
      <c r="K136" t="n">
        <v>0</v>
      </c>
      <c r="L136" t="n">
        <v>0</v>
      </c>
      <c r="M136" t="n">
        <v>0</v>
      </c>
      <c r="N136" t="n">
        <v>0</v>
      </c>
      <c r="O136" t="n">
        <v>0</v>
      </c>
      <c r="P136" t="n">
        <v>0</v>
      </c>
      <c r="Q136" t="n">
        <v>0</v>
      </c>
      <c r="R136" s="2" t="inlineStr"/>
    </row>
    <row r="137" ht="15" customHeight="1">
      <c r="A137" t="inlineStr">
        <is>
          <t>A 41089-2022</t>
        </is>
      </c>
      <c r="B137" s="1" t="n">
        <v>44825.64613425926</v>
      </c>
      <c r="C137" s="1" t="n">
        <v>45932</v>
      </c>
      <c r="D137" t="inlineStr">
        <is>
          <t>ÖREBRO LÄN</t>
        </is>
      </c>
      <c r="E137" t="inlineStr">
        <is>
          <t>HÄLLEFORS</t>
        </is>
      </c>
      <c r="F137" t="inlineStr">
        <is>
          <t>Sveaskog</t>
        </is>
      </c>
      <c r="G137" t="n">
        <v>3.6</v>
      </c>
      <c r="H137" t="n">
        <v>0</v>
      </c>
      <c r="I137" t="n">
        <v>0</v>
      </c>
      <c r="J137" t="n">
        <v>0</v>
      </c>
      <c r="K137" t="n">
        <v>0</v>
      </c>
      <c r="L137" t="n">
        <v>0</v>
      </c>
      <c r="M137" t="n">
        <v>0</v>
      </c>
      <c r="N137" t="n">
        <v>0</v>
      </c>
      <c r="O137" t="n">
        <v>0</v>
      </c>
      <c r="P137" t="n">
        <v>0</v>
      </c>
      <c r="Q137" t="n">
        <v>0</v>
      </c>
      <c r="R137" s="2" t="inlineStr"/>
    </row>
    <row r="138" ht="15" customHeight="1">
      <c r="A138" t="inlineStr">
        <is>
          <t>A 29662-2022</t>
        </is>
      </c>
      <c r="B138" s="1" t="n">
        <v>44754</v>
      </c>
      <c r="C138" s="1" t="n">
        <v>45932</v>
      </c>
      <c r="D138" t="inlineStr">
        <is>
          <t>ÖREBRO LÄN</t>
        </is>
      </c>
      <c r="E138" t="inlineStr">
        <is>
          <t>HÄLLEFORS</t>
        </is>
      </c>
      <c r="F138" t="inlineStr">
        <is>
          <t>Bergvik skog väst AB</t>
        </is>
      </c>
      <c r="G138" t="n">
        <v>1.8</v>
      </c>
      <c r="H138" t="n">
        <v>0</v>
      </c>
      <c r="I138" t="n">
        <v>0</v>
      </c>
      <c r="J138" t="n">
        <v>0</v>
      </c>
      <c r="K138" t="n">
        <v>0</v>
      </c>
      <c r="L138" t="n">
        <v>0</v>
      </c>
      <c r="M138" t="n">
        <v>0</v>
      </c>
      <c r="N138" t="n">
        <v>0</v>
      </c>
      <c r="O138" t="n">
        <v>0</v>
      </c>
      <c r="P138" t="n">
        <v>0</v>
      </c>
      <c r="Q138" t="n">
        <v>0</v>
      </c>
      <c r="R138" s="2" t="inlineStr"/>
    </row>
    <row r="139" ht="15" customHeight="1">
      <c r="A139" t="inlineStr">
        <is>
          <t>A 49709-2023</t>
        </is>
      </c>
      <c r="B139" s="1" t="n">
        <v>45212</v>
      </c>
      <c r="C139" s="1" t="n">
        <v>45932</v>
      </c>
      <c r="D139" t="inlineStr">
        <is>
          <t>ÖREBRO LÄN</t>
        </is>
      </c>
      <c r="E139" t="inlineStr">
        <is>
          <t>HÄLLEFORS</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20170-2023</t>
        </is>
      </c>
      <c r="B140" s="1" t="n">
        <v>45055</v>
      </c>
      <c r="C140" s="1" t="n">
        <v>45932</v>
      </c>
      <c r="D140" t="inlineStr">
        <is>
          <t>ÖREBRO LÄN</t>
        </is>
      </c>
      <c r="E140" t="inlineStr">
        <is>
          <t>HÄLLEFORS</t>
        </is>
      </c>
      <c r="G140" t="n">
        <v>1.1</v>
      </c>
      <c r="H140" t="n">
        <v>0</v>
      </c>
      <c r="I140" t="n">
        <v>0</v>
      </c>
      <c r="J140" t="n">
        <v>0</v>
      </c>
      <c r="K140" t="n">
        <v>0</v>
      </c>
      <c r="L140" t="n">
        <v>0</v>
      </c>
      <c r="M140" t="n">
        <v>0</v>
      </c>
      <c r="N140" t="n">
        <v>0</v>
      </c>
      <c r="O140" t="n">
        <v>0</v>
      </c>
      <c r="P140" t="n">
        <v>0</v>
      </c>
      <c r="Q140" t="n">
        <v>0</v>
      </c>
      <c r="R140" s="2" t="inlineStr"/>
    </row>
    <row r="141" ht="15" customHeight="1">
      <c r="A141" t="inlineStr">
        <is>
          <t>A 59485-2022</t>
        </is>
      </c>
      <c r="B141" s="1" t="n">
        <v>44907</v>
      </c>
      <c r="C141" s="1" t="n">
        <v>45932</v>
      </c>
      <c r="D141" t="inlineStr">
        <is>
          <t>ÖREBRO LÄN</t>
        </is>
      </c>
      <c r="E141" t="inlineStr">
        <is>
          <t>HÄLLEFORS</t>
        </is>
      </c>
      <c r="F141" t="inlineStr">
        <is>
          <t>Bergvik skog väst AB</t>
        </is>
      </c>
      <c r="G141" t="n">
        <v>1.3</v>
      </c>
      <c r="H141" t="n">
        <v>0</v>
      </c>
      <c r="I141" t="n">
        <v>0</v>
      </c>
      <c r="J141" t="n">
        <v>0</v>
      </c>
      <c r="K141" t="n">
        <v>0</v>
      </c>
      <c r="L141" t="n">
        <v>0</v>
      </c>
      <c r="M141" t="n">
        <v>0</v>
      </c>
      <c r="N141" t="n">
        <v>0</v>
      </c>
      <c r="O141" t="n">
        <v>0</v>
      </c>
      <c r="P141" t="n">
        <v>0</v>
      </c>
      <c r="Q141" t="n">
        <v>0</v>
      </c>
      <c r="R141" s="2" t="inlineStr"/>
    </row>
    <row r="142" ht="15" customHeight="1">
      <c r="A142" t="inlineStr">
        <is>
          <t>A 56298-2024</t>
        </is>
      </c>
      <c r="B142" s="1" t="n">
        <v>45624.68584490741</v>
      </c>
      <c r="C142" s="1" t="n">
        <v>45932</v>
      </c>
      <c r="D142" t="inlineStr">
        <is>
          <t>ÖREBRO LÄN</t>
        </is>
      </c>
      <c r="E142" t="inlineStr">
        <is>
          <t>HÄLLEFORS</t>
        </is>
      </c>
      <c r="F142" t="inlineStr">
        <is>
          <t>Bergvik skog väst AB</t>
        </is>
      </c>
      <c r="G142" t="n">
        <v>4.6</v>
      </c>
      <c r="H142" t="n">
        <v>0</v>
      </c>
      <c r="I142" t="n">
        <v>0</v>
      </c>
      <c r="J142" t="n">
        <v>0</v>
      </c>
      <c r="K142" t="n">
        <v>0</v>
      </c>
      <c r="L142" t="n">
        <v>0</v>
      </c>
      <c r="M142" t="n">
        <v>0</v>
      </c>
      <c r="N142" t="n">
        <v>0</v>
      </c>
      <c r="O142" t="n">
        <v>0</v>
      </c>
      <c r="P142" t="n">
        <v>0</v>
      </c>
      <c r="Q142" t="n">
        <v>0</v>
      </c>
      <c r="R142" s="2" t="inlineStr"/>
    </row>
    <row r="143" ht="15" customHeight="1">
      <c r="A143" t="inlineStr">
        <is>
          <t>A 35860-2024</t>
        </is>
      </c>
      <c r="B143" s="1" t="n">
        <v>45533</v>
      </c>
      <c r="C143" s="1" t="n">
        <v>45932</v>
      </c>
      <c r="D143" t="inlineStr">
        <is>
          <t>ÖREBRO LÄN</t>
        </is>
      </c>
      <c r="E143" t="inlineStr">
        <is>
          <t>HÄLLEFORS</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53344-2024</t>
        </is>
      </c>
      <c r="B144" s="1" t="n">
        <v>45614.44175925926</v>
      </c>
      <c r="C144" s="1" t="n">
        <v>45932</v>
      </c>
      <c r="D144" t="inlineStr">
        <is>
          <t>ÖREBRO LÄN</t>
        </is>
      </c>
      <c r="E144" t="inlineStr">
        <is>
          <t>HÄLLEFORS</t>
        </is>
      </c>
      <c r="G144" t="n">
        <v>0.9</v>
      </c>
      <c r="H144" t="n">
        <v>0</v>
      </c>
      <c r="I144" t="n">
        <v>0</v>
      </c>
      <c r="J144" t="n">
        <v>0</v>
      </c>
      <c r="K144" t="n">
        <v>0</v>
      </c>
      <c r="L144" t="n">
        <v>0</v>
      </c>
      <c r="M144" t="n">
        <v>0</v>
      </c>
      <c r="N144" t="n">
        <v>0</v>
      </c>
      <c r="O144" t="n">
        <v>0</v>
      </c>
      <c r="P144" t="n">
        <v>0</v>
      </c>
      <c r="Q144" t="n">
        <v>0</v>
      </c>
      <c r="R144" s="2" t="inlineStr"/>
    </row>
    <row r="145" ht="15" customHeight="1">
      <c r="A145" t="inlineStr">
        <is>
          <t>A 21315-2024</t>
        </is>
      </c>
      <c r="B145" s="1" t="n">
        <v>45440</v>
      </c>
      <c r="C145" s="1" t="n">
        <v>45932</v>
      </c>
      <c r="D145" t="inlineStr">
        <is>
          <t>ÖREBRO LÄN</t>
        </is>
      </c>
      <c r="E145" t="inlineStr">
        <is>
          <t>HÄLLEFORS</t>
        </is>
      </c>
      <c r="G145" t="n">
        <v>3.1</v>
      </c>
      <c r="H145" t="n">
        <v>0</v>
      </c>
      <c r="I145" t="n">
        <v>0</v>
      </c>
      <c r="J145" t="n">
        <v>0</v>
      </c>
      <c r="K145" t="n">
        <v>0</v>
      </c>
      <c r="L145" t="n">
        <v>0</v>
      </c>
      <c r="M145" t="n">
        <v>0</v>
      </c>
      <c r="N145" t="n">
        <v>0</v>
      </c>
      <c r="O145" t="n">
        <v>0</v>
      </c>
      <c r="P145" t="n">
        <v>0</v>
      </c>
      <c r="Q145" t="n">
        <v>0</v>
      </c>
      <c r="R145" s="2" t="inlineStr"/>
    </row>
    <row r="146" ht="15" customHeight="1">
      <c r="A146" t="inlineStr">
        <is>
          <t>A 13757-2023</t>
        </is>
      </c>
      <c r="B146" s="1" t="n">
        <v>45007.42442129629</v>
      </c>
      <c r="C146" s="1" t="n">
        <v>45932</v>
      </c>
      <c r="D146" t="inlineStr">
        <is>
          <t>ÖREBRO LÄN</t>
        </is>
      </c>
      <c r="E146" t="inlineStr">
        <is>
          <t>HÄLLEFORS</t>
        </is>
      </c>
      <c r="F146" t="inlineStr">
        <is>
          <t>Bergvik skog väst AB</t>
        </is>
      </c>
      <c r="G146" t="n">
        <v>3.6</v>
      </c>
      <c r="H146" t="n">
        <v>0</v>
      </c>
      <c r="I146" t="n">
        <v>0</v>
      </c>
      <c r="J146" t="n">
        <v>0</v>
      </c>
      <c r="K146" t="n">
        <v>0</v>
      </c>
      <c r="L146" t="n">
        <v>0</v>
      </c>
      <c r="M146" t="n">
        <v>0</v>
      </c>
      <c r="N146" t="n">
        <v>0</v>
      </c>
      <c r="O146" t="n">
        <v>0</v>
      </c>
      <c r="P146" t="n">
        <v>0</v>
      </c>
      <c r="Q146" t="n">
        <v>0</v>
      </c>
      <c r="R146" s="2" t="inlineStr"/>
    </row>
    <row r="147" ht="15" customHeight="1">
      <c r="A147" t="inlineStr">
        <is>
          <t>A 30591-2024</t>
        </is>
      </c>
      <c r="B147" s="1" t="n">
        <v>45493.3153125</v>
      </c>
      <c r="C147" s="1" t="n">
        <v>45932</v>
      </c>
      <c r="D147" t="inlineStr">
        <is>
          <t>ÖREBRO LÄN</t>
        </is>
      </c>
      <c r="E147" t="inlineStr">
        <is>
          <t>HÄLLEFORS</t>
        </is>
      </c>
      <c r="G147" t="n">
        <v>12.5</v>
      </c>
      <c r="H147" t="n">
        <v>0</v>
      </c>
      <c r="I147" t="n">
        <v>0</v>
      </c>
      <c r="J147" t="n">
        <v>0</v>
      </c>
      <c r="K147" t="n">
        <v>0</v>
      </c>
      <c r="L147" t="n">
        <v>0</v>
      </c>
      <c r="M147" t="n">
        <v>0</v>
      </c>
      <c r="N147" t="n">
        <v>0</v>
      </c>
      <c r="O147" t="n">
        <v>0</v>
      </c>
      <c r="P147" t="n">
        <v>0</v>
      </c>
      <c r="Q147" t="n">
        <v>0</v>
      </c>
      <c r="R147" s="2" t="inlineStr"/>
    </row>
    <row r="148" ht="15" customHeight="1">
      <c r="A148" t="inlineStr">
        <is>
          <t>A 25059-2024</t>
        </is>
      </c>
      <c r="B148" s="1" t="n">
        <v>45462.35787037037</v>
      </c>
      <c r="C148" s="1" t="n">
        <v>45932</v>
      </c>
      <c r="D148" t="inlineStr">
        <is>
          <t>ÖREBRO LÄN</t>
        </is>
      </c>
      <c r="E148" t="inlineStr">
        <is>
          <t>HÄLLEFORS</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3643-2025</t>
        </is>
      </c>
      <c r="B149" s="1" t="n">
        <v>45681</v>
      </c>
      <c r="C149" s="1" t="n">
        <v>45932</v>
      </c>
      <c r="D149" t="inlineStr">
        <is>
          <t>ÖREBRO LÄN</t>
        </is>
      </c>
      <c r="E149" t="inlineStr">
        <is>
          <t>HÄLLEFORS</t>
        </is>
      </c>
      <c r="G149" t="n">
        <v>20.8</v>
      </c>
      <c r="H149" t="n">
        <v>0</v>
      </c>
      <c r="I149" t="n">
        <v>0</v>
      </c>
      <c r="J149" t="n">
        <v>0</v>
      </c>
      <c r="K149" t="n">
        <v>0</v>
      </c>
      <c r="L149" t="n">
        <v>0</v>
      </c>
      <c r="M149" t="n">
        <v>0</v>
      </c>
      <c r="N149" t="n">
        <v>0</v>
      </c>
      <c r="O149" t="n">
        <v>0</v>
      </c>
      <c r="P149" t="n">
        <v>0</v>
      </c>
      <c r="Q149" t="n">
        <v>0</v>
      </c>
      <c r="R149" s="2" t="inlineStr"/>
    </row>
    <row r="150" ht="15" customHeight="1">
      <c r="A150" t="inlineStr">
        <is>
          <t>A 12545-2023</t>
        </is>
      </c>
      <c r="B150" s="1" t="n">
        <v>45000</v>
      </c>
      <c r="C150" s="1" t="n">
        <v>45932</v>
      </c>
      <c r="D150" t="inlineStr">
        <is>
          <t>ÖREBRO LÄN</t>
        </is>
      </c>
      <c r="E150" t="inlineStr">
        <is>
          <t>HÄLLEFORS</t>
        </is>
      </c>
      <c r="F150" t="inlineStr">
        <is>
          <t>Bergvik skog väst AB</t>
        </is>
      </c>
      <c r="G150" t="n">
        <v>5.6</v>
      </c>
      <c r="H150" t="n">
        <v>0</v>
      </c>
      <c r="I150" t="n">
        <v>0</v>
      </c>
      <c r="J150" t="n">
        <v>0</v>
      </c>
      <c r="K150" t="n">
        <v>0</v>
      </c>
      <c r="L150" t="n">
        <v>0</v>
      </c>
      <c r="M150" t="n">
        <v>0</v>
      </c>
      <c r="N150" t="n">
        <v>0</v>
      </c>
      <c r="O150" t="n">
        <v>0</v>
      </c>
      <c r="P150" t="n">
        <v>0</v>
      </c>
      <c r="Q150" t="n">
        <v>0</v>
      </c>
      <c r="R150" s="2" t="inlineStr"/>
    </row>
    <row r="151" ht="15" customHeight="1">
      <c r="A151" t="inlineStr">
        <is>
          <t>A 60306-2024</t>
        </is>
      </c>
      <c r="B151" s="1" t="n">
        <v>45643.34040509259</v>
      </c>
      <c r="C151" s="1" t="n">
        <v>45932</v>
      </c>
      <c r="D151" t="inlineStr">
        <is>
          <t>ÖREBRO LÄN</t>
        </is>
      </c>
      <c r="E151" t="inlineStr">
        <is>
          <t>HÄLLEFORS</t>
        </is>
      </c>
      <c r="F151" t="inlineStr">
        <is>
          <t>Bergvik skog väst AB</t>
        </is>
      </c>
      <c r="G151" t="n">
        <v>4.5</v>
      </c>
      <c r="H151" t="n">
        <v>0</v>
      </c>
      <c r="I151" t="n">
        <v>0</v>
      </c>
      <c r="J151" t="n">
        <v>0</v>
      </c>
      <c r="K151" t="n">
        <v>0</v>
      </c>
      <c r="L151" t="n">
        <v>0</v>
      </c>
      <c r="M151" t="n">
        <v>0</v>
      </c>
      <c r="N151" t="n">
        <v>0</v>
      </c>
      <c r="O151" t="n">
        <v>0</v>
      </c>
      <c r="P151" t="n">
        <v>0</v>
      </c>
      <c r="Q151" t="n">
        <v>0</v>
      </c>
      <c r="R151" s="2" t="inlineStr"/>
    </row>
    <row r="152" ht="15" customHeight="1">
      <c r="A152" t="inlineStr">
        <is>
          <t>A 15073-2022</t>
        </is>
      </c>
      <c r="B152" s="1" t="n">
        <v>44657</v>
      </c>
      <c r="C152" s="1" t="n">
        <v>45932</v>
      </c>
      <c r="D152" t="inlineStr">
        <is>
          <t>ÖREBRO LÄN</t>
        </is>
      </c>
      <c r="E152" t="inlineStr">
        <is>
          <t>HÄLLEFORS</t>
        </is>
      </c>
      <c r="G152" t="n">
        <v>2.3</v>
      </c>
      <c r="H152" t="n">
        <v>0</v>
      </c>
      <c r="I152" t="n">
        <v>0</v>
      </c>
      <c r="J152" t="n">
        <v>0</v>
      </c>
      <c r="K152" t="n">
        <v>0</v>
      </c>
      <c r="L152" t="n">
        <v>0</v>
      </c>
      <c r="M152" t="n">
        <v>0</v>
      </c>
      <c r="N152" t="n">
        <v>0</v>
      </c>
      <c r="O152" t="n">
        <v>0</v>
      </c>
      <c r="P152" t="n">
        <v>0</v>
      </c>
      <c r="Q152" t="n">
        <v>0</v>
      </c>
      <c r="R152" s="2" t="inlineStr"/>
    </row>
    <row r="153" ht="15" customHeight="1">
      <c r="A153" t="inlineStr">
        <is>
          <t>A 6281-2025</t>
        </is>
      </c>
      <c r="B153" s="1" t="n">
        <v>45698</v>
      </c>
      <c r="C153" s="1" t="n">
        <v>45932</v>
      </c>
      <c r="D153" t="inlineStr">
        <is>
          <t>ÖREBRO LÄN</t>
        </is>
      </c>
      <c r="E153" t="inlineStr">
        <is>
          <t>HÄLLEFORS</t>
        </is>
      </c>
      <c r="F153" t="inlineStr">
        <is>
          <t>Bergvik skog väst AB</t>
        </is>
      </c>
      <c r="G153" t="n">
        <v>0.7</v>
      </c>
      <c r="H153" t="n">
        <v>0</v>
      </c>
      <c r="I153" t="n">
        <v>0</v>
      </c>
      <c r="J153" t="n">
        <v>0</v>
      </c>
      <c r="K153" t="n">
        <v>0</v>
      </c>
      <c r="L153" t="n">
        <v>0</v>
      </c>
      <c r="M153" t="n">
        <v>0</v>
      </c>
      <c r="N153" t="n">
        <v>0</v>
      </c>
      <c r="O153" t="n">
        <v>0</v>
      </c>
      <c r="P153" t="n">
        <v>0</v>
      </c>
      <c r="Q153" t="n">
        <v>0</v>
      </c>
      <c r="R153" s="2" t="inlineStr"/>
    </row>
    <row r="154" ht="15" customHeight="1">
      <c r="A154" t="inlineStr">
        <is>
          <t>A 44052-2024</t>
        </is>
      </c>
      <c r="B154" s="1" t="n">
        <v>45572.59605324074</v>
      </c>
      <c r="C154" s="1" t="n">
        <v>45932</v>
      </c>
      <c r="D154" t="inlineStr">
        <is>
          <t>ÖREBRO LÄN</t>
        </is>
      </c>
      <c r="E154" t="inlineStr">
        <is>
          <t>HÄLLEFORS</t>
        </is>
      </c>
      <c r="G154" t="n">
        <v>2.2</v>
      </c>
      <c r="H154" t="n">
        <v>0</v>
      </c>
      <c r="I154" t="n">
        <v>0</v>
      </c>
      <c r="J154" t="n">
        <v>0</v>
      </c>
      <c r="K154" t="n">
        <v>0</v>
      </c>
      <c r="L154" t="n">
        <v>0</v>
      </c>
      <c r="M154" t="n">
        <v>0</v>
      </c>
      <c r="N154" t="n">
        <v>0</v>
      </c>
      <c r="O154" t="n">
        <v>0</v>
      </c>
      <c r="P154" t="n">
        <v>0</v>
      </c>
      <c r="Q154" t="n">
        <v>0</v>
      </c>
      <c r="R154" s="2" t="inlineStr"/>
    </row>
    <row r="155" ht="15" customHeight="1">
      <c r="A155" t="inlineStr">
        <is>
          <t>A 62501-2022</t>
        </is>
      </c>
      <c r="B155" s="1" t="n">
        <v>44924.593125</v>
      </c>
      <c r="C155" s="1" t="n">
        <v>45932</v>
      </c>
      <c r="D155" t="inlineStr">
        <is>
          <t>ÖREBRO LÄN</t>
        </is>
      </c>
      <c r="E155" t="inlineStr">
        <is>
          <t>HÄLLEFORS</t>
        </is>
      </c>
      <c r="G155" t="n">
        <v>3</v>
      </c>
      <c r="H155" t="n">
        <v>0</v>
      </c>
      <c r="I155" t="n">
        <v>0</v>
      </c>
      <c r="J155" t="n">
        <v>0</v>
      </c>
      <c r="K155" t="n">
        <v>0</v>
      </c>
      <c r="L155" t="n">
        <v>0</v>
      </c>
      <c r="M155" t="n">
        <v>0</v>
      </c>
      <c r="N155" t="n">
        <v>0</v>
      </c>
      <c r="O155" t="n">
        <v>0</v>
      </c>
      <c r="P155" t="n">
        <v>0</v>
      </c>
      <c r="Q155" t="n">
        <v>0</v>
      </c>
      <c r="R155" s="2" t="inlineStr"/>
    </row>
    <row r="156" ht="15" customHeight="1">
      <c r="A156" t="inlineStr">
        <is>
          <t>A 28564-2024</t>
        </is>
      </c>
      <c r="B156" s="1" t="n">
        <v>45478.38640046296</v>
      </c>
      <c r="C156" s="1" t="n">
        <v>45932</v>
      </c>
      <c r="D156" t="inlineStr">
        <is>
          <t>ÖREBRO LÄN</t>
        </is>
      </c>
      <c r="E156" t="inlineStr">
        <is>
          <t>HÄLLEFORS</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36114-2024</t>
        </is>
      </c>
      <c r="B157" s="1" t="n">
        <v>45534.30509259259</v>
      </c>
      <c r="C157" s="1" t="n">
        <v>45932</v>
      </c>
      <c r="D157" t="inlineStr">
        <is>
          <t>ÖREBRO LÄN</t>
        </is>
      </c>
      <c r="E157" t="inlineStr">
        <is>
          <t>HÄLLEFORS</t>
        </is>
      </c>
      <c r="F157" t="inlineStr">
        <is>
          <t>Bergvik skog väst AB</t>
        </is>
      </c>
      <c r="G157" t="n">
        <v>2.7</v>
      </c>
      <c r="H157" t="n">
        <v>0</v>
      </c>
      <c r="I157" t="n">
        <v>0</v>
      </c>
      <c r="J157" t="n">
        <v>0</v>
      </c>
      <c r="K157" t="n">
        <v>0</v>
      </c>
      <c r="L157" t="n">
        <v>0</v>
      </c>
      <c r="M157" t="n">
        <v>0</v>
      </c>
      <c r="N157" t="n">
        <v>0</v>
      </c>
      <c r="O157" t="n">
        <v>0</v>
      </c>
      <c r="P157" t="n">
        <v>0</v>
      </c>
      <c r="Q157" t="n">
        <v>0</v>
      </c>
      <c r="R157" s="2" t="inlineStr"/>
    </row>
    <row r="158" ht="15" customHeight="1">
      <c r="A158" t="inlineStr">
        <is>
          <t>A 32937-2024</t>
        </is>
      </c>
      <c r="B158" s="1" t="n">
        <v>45517.32866898148</v>
      </c>
      <c r="C158" s="1" t="n">
        <v>45932</v>
      </c>
      <c r="D158" t="inlineStr">
        <is>
          <t>ÖREBRO LÄN</t>
        </is>
      </c>
      <c r="E158" t="inlineStr">
        <is>
          <t>HÄLLEFORS</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47811-2024</t>
        </is>
      </c>
      <c r="B159" s="1" t="n">
        <v>45588.61716435185</v>
      </c>
      <c r="C159" s="1" t="n">
        <v>45932</v>
      </c>
      <c r="D159" t="inlineStr">
        <is>
          <t>ÖREBRO LÄN</t>
        </is>
      </c>
      <c r="E159" t="inlineStr">
        <is>
          <t>HÄLLEFORS</t>
        </is>
      </c>
      <c r="F159" t="inlineStr">
        <is>
          <t>Bergvik skog väst AB</t>
        </is>
      </c>
      <c r="G159" t="n">
        <v>5.9</v>
      </c>
      <c r="H159" t="n">
        <v>0</v>
      </c>
      <c r="I159" t="n">
        <v>0</v>
      </c>
      <c r="J159" t="n">
        <v>0</v>
      </c>
      <c r="K159" t="n">
        <v>0</v>
      </c>
      <c r="L159" t="n">
        <v>0</v>
      </c>
      <c r="M159" t="n">
        <v>0</v>
      </c>
      <c r="N159" t="n">
        <v>0</v>
      </c>
      <c r="O159" t="n">
        <v>0</v>
      </c>
      <c r="P159" t="n">
        <v>0</v>
      </c>
      <c r="Q159" t="n">
        <v>0</v>
      </c>
      <c r="R159" s="2" t="inlineStr"/>
    </row>
    <row r="160" ht="15" customHeight="1">
      <c r="A160" t="inlineStr">
        <is>
          <t>A 67843-2021</t>
        </is>
      </c>
      <c r="B160" s="1" t="n">
        <v>44525.47178240741</v>
      </c>
      <c r="C160" s="1" t="n">
        <v>45932</v>
      </c>
      <c r="D160" t="inlineStr">
        <is>
          <t>ÖREBRO LÄN</t>
        </is>
      </c>
      <c r="E160" t="inlineStr">
        <is>
          <t>HÄLLEFORS</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53035-2022</t>
        </is>
      </c>
      <c r="B161" s="1" t="n">
        <v>44876.30667824074</v>
      </c>
      <c r="C161" s="1" t="n">
        <v>45932</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19245-2025</t>
        </is>
      </c>
      <c r="B162" s="1" t="n">
        <v>45769</v>
      </c>
      <c r="C162" s="1" t="n">
        <v>45932</v>
      </c>
      <c r="D162" t="inlineStr">
        <is>
          <t>ÖREBRO LÄN</t>
        </is>
      </c>
      <c r="E162" t="inlineStr">
        <is>
          <t>HÄLLEFORS</t>
        </is>
      </c>
      <c r="F162" t="inlineStr">
        <is>
          <t>Kyrkan</t>
        </is>
      </c>
      <c r="G162" t="n">
        <v>2.7</v>
      </c>
      <c r="H162" t="n">
        <v>0</v>
      </c>
      <c r="I162" t="n">
        <v>0</v>
      </c>
      <c r="J162" t="n">
        <v>0</v>
      </c>
      <c r="K162" t="n">
        <v>0</v>
      </c>
      <c r="L162" t="n">
        <v>0</v>
      </c>
      <c r="M162" t="n">
        <v>0</v>
      </c>
      <c r="N162" t="n">
        <v>0</v>
      </c>
      <c r="O162" t="n">
        <v>0</v>
      </c>
      <c r="P162" t="n">
        <v>0</v>
      </c>
      <c r="Q162" t="n">
        <v>0</v>
      </c>
      <c r="R162" s="2" t="inlineStr"/>
    </row>
    <row r="163" ht="15" customHeight="1">
      <c r="A163" t="inlineStr">
        <is>
          <t>A 74464-2021</t>
        </is>
      </c>
      <c r="B163" s="1" t="n">
        <v>44560.52915509259</v>
      </c>
      <c r="C163" s="1" t="n">
        <v>45932</v>
      </c>
      <c r="D163" t="inlineStr">
        <is>
          <t>ÖREBRO LÄN</t>
        </is>
      </c>
      <c r="E163" t="inlineStr">
        <is>
          <t>HÄLLEFORS</t>
        </is>
      </c>
      <c r="F163" t="inlineStr">
        <is>
          <t>Bergvik skog väst AB</t>
        </is>
      </c>
      <c r="G163" t="n">
        <v>3.2</v>
      </c>
      <c r="H163" t="n">
        <v>0</v>
      </c>
      <c r="I163" t="n">
        <v>0</v>
      </c>
      <c r="J163" t="n">
        <v>0</v>
      </c>
      <c r="K163" t="n">
        <v>0</v>
      </c>
      <c r="L163" t="n">
        <v>0</v>
      </c>
      <c r="M163" t="n">
        <v>0</v>
      </c>
      <c r="N163" t="n">
        <v>0</v>
      </c>
      <c r="O163" t="n">
        <v>0</v>
      </c>
      <c r="P163" t="n">
        <v>0</v>
      </c>
      <c r="Q163" t="n">
        <v>0</v>
      </c>
      <c r="R163" s="2" t="inlineStr"/>
    </row>
    <row r="164" ht="15" customHeight="1">
      <c r="A164" t="inlineStr">
        <is>
          <t>A 38908-2021</t>
        </is>
      </c>
      <c r="B164" s="1" t="n">
        <v>44411</v>
      </c>
      <c r="C164" s="1" t="n">
        <v>45932</v>
      </c>
      <c r="D164" t="inlineStr">
        <is>
          <t>ÖREBRO LÄN</t>
        </is>
      </c>
      <c r="E164" t="inlineStr">
        <is>
          <t>HÄLLEFORS</t>
        </is>
      </c>
      <c r="G164" t="n">
        <v>3.9</v>
      </c>
      <c r="H164" t="n">
        <v>0</v>
      </c>
      <c r="I164" t="n">
        <v>0</v>
      </c>
      <c r="J164" t="n">
        <v>0</v>
      </c>
      <c r="K164" t="n">
        <v>0</v>
      </c>
      <c r="L164" t="n">
        <v>0</v>
      </c>
      <c r="M164" t="n">
        <v>0</v>
      </c>
      <c r="N164" t="n">
        <v>0</v>
      </c>
      <c r="O164" t="n">
        <v>0</v>
      </c>
      <c r="P164" t="n">
        <v>0</v>
      </c>
      <c r="Q164" t="n">
        <v>0</v>
      </c>
      <c r="R164" s="2" t="inlineStr"/>
    </row>
    <row r="165" ht="15" customHeight="1">
      <c r="A165" t="inlineStr">
        <is>
          <t>A 5762-2024</t>
        </is>
      </c>
      <c r="B165" s="1" t="n">
        <v>45335</v>
      </c>
      <c r="C165" s="1" t="n">
        <v>45932</v>
      </c>
      <c r="D165" t="inlineStr">
        <is>
          <t>ÖREBRO LÄN</t>
        </is>
      </c>
      <c r="E165" t="inlineStr">
        <is>
          <t>HÄLLEFORS</t>
        </is>
      </c>
      <c r="G165" t="n">
        <v>12.1</v>
      </c>
      <c r="H165" t="n">
        <v>0</v>
      </c>
      <c r="I165" t="n">
        <v>0</v>
      </c>
      <c r="J165" t="n">
        <v>0</v>
      </c>
      <c r="K165" t="n">
        <v>0</v>
      </c>
      <c r="L165" t="n">
        <v>0</v>
      </c>
      <c r="M165" t="n">
        <v>0</v>
      </c>
      <c r="N165" t="n">
        <v>0</v>
      </c>
      <c r="O165" t="n">
        <v>0</v>
      </c>
      <c r="P165" t="n">
        <v>0</v>
      </c>
      <c r="Q165" t="n">
        <v>0</v>
      </c>
      <c r="R165" s="2" t="inlineStr"/>
    </row>
    <row r="166" ht="15" customHeight="1">
      <c r="A166" t="inlineStr">
        <is>
          <t>A 13758-2023</t>
        </is>
      </c>
      <c r="B166" s="1" t="n">
        <v>45007.42528935185</v>
      </c>
      <c r="C166" s="1" t="n">
        <v>45932</v>
      </c>
      <c r="D166" t="inlineStr">
        <is>
          <t>ÖREBRO LÄN</t>
        </is>
      </c>
      <c r="E166" t="inlineStr">
        <is>
          <t>HÄLLEFORS</t>
        </is>
      </c>
      <c r="F166" t="inlineStr">
        <is>
          <t>Bergvik skog väst AB</t>
        </is>
      </c>
      <c r="G166" t="n">
        <v>3.6</v>
      </c>
      <c r="H166" t="n">
        <v>0</v>
      </c>
      <c r="I166" t="n">
        <v>0</v>
      </c>
      <c r="J166" t="n">
        <v>0</v>
      </c>
      <c r="K166" t="n">
        <v>0</v>
      </c>
      <c r="L166" t="n">
        <v>0</v>
      </c>
      <c r="M166" t="n">
        <v>0</v>
      </c>
      <c r="N166" t="n">
        <v>0</v>
      </c>
      <c r="O166" t="n">
        <v>0</v>
      </c>
      <c r="P166" t="n">
        <v>0</v>
      </c>
      <c r="Q166" t="n">
        <v>0</v>
      </c>
      <c r="R166" s="2" t="inlineStr"/>
    </row>
    <row r="167" ht="15" customHeight="1">
      <c r="A167" t="inlineStr">
        <is>
          <t>A 34898-2021</t>
        </is>
      </c>
      <c r="B167" s="1" t="n">
        <v>44383</v>
      </c>
      <c r="C167" s="1" t="n">
        <v>45932</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18888-2025</t>
        </is>
      </c>
      <c r="B168" s="1" t="n">
        <v>45764.44396990741</v>
      </c>
      <c r="C168" s="1" t="n">
        <v>45932</v>
      </c>
      <c r="D168" t="inlineStr">
        <is>
          <t>ÖREBRO LÄN</t>
        </is>
      </c>
      <c r="E168" t="inlineStr">
        <is>
          <t>HÄLLEFORS</t>
        </is>
      </c>
      <c r="F168" t="inlineStr">
        <is>
          <t>Bergvik skog väst AB</t>
        </is>
      </c>
      <c r="G168" t="n">
        <v>2.2</v>
      </c>
      <c r="H168" t="n">
        <v>0</v>
      </c>
      <c r="I168" t="n">
        <v>0</v>
      </c>
      <c r="J168" t="n">
        <v>0</v>
      </c>
      <c r="K168" t="n">
        <v>0</v>
      </c>
      <c r="L168" t="n">
        <v>0</v>
      </c>
      <c r="M168" t="n">
        <v>0</v>
      </c>
      <c r="N168" t="n">
        <v>0</v>
      </c>
      <c r="O168" t="n">
        <v>0</v>
      </c>
      <c r="P168" t="n">
        <v>0</v>
      </c>
      <c r="Q168" t="n">
        <v>0</v>
      </c>
      <c r="R168" s="2" t="inlineStr"/>
    </row>
    <row r="169" ht="15" customHeight="1">
      <c r="A169" t="inlineStr">
        <is>
          <t>A 28004-2022</t>
        </is>
      </c>
      <c r="B169" s="1" t="n">
        <v>44746.34457175926</v>
      </c>
      <c r="C169" s="1" t="n">
        <v>45932</v>
      </c>
      <c r="D169" t="inlineStr">
        <is>
          <t>ÖREBRO LÄN</t>
        </is>
      </c>
      <c r="E169" t="inlineStr">
        <is>
          <t>HÄLLEFORS</t>
        </is>
      </c>
      <c r="G169" t="n">
        <v>2.9</v>
      </c>
      <c r="H169" t="n">
        <v>0</v>
      </c>
      <c r="I169" t="n">
        <v>0</v>
      </c>
      <c r="J169" t="n">
        <v>0</v>
      </c>
      <c r="K169" t="n">
        <v>0</v>
      </c>
      <c r="L169" t="n">
        <v>0</v>
      </c>
      <c r="M169" t="n">
        <v>0</v>
      </c>
      <c r="N169" t="n">
        <v>0</v>
      </c>
      <c r="O169" t="n">
        <v>0</v>
      </c>
      <c r="P169" t="n">
        <v>0</v>
      </c>
      <c r="Q169" t="n">
        <v>0</v>
      </c>
      <c r="R169" s="2" t="inlineStr"/>
    </row>
    <row r="170" ht="15" customHeight="1">
      <c r="A170" t="inlineStr">
        <is>
          <t>A 67953-2021</t>
        </is>
      </c>
      <c r="B170" s="1" t="n">
        <v>44525.63929398148</v>
      </c>
      <c r="C170" s="1" t="n">
        <v>45932</v>
      </c>
      <c r="D170" t="inlineStr">
        <is>
          <t>ÖREBRO LÄN</t>
        </is>
      </c>
      <c r="E170" t="inlineStr">
        <is>
          <t>HÄLLEFORS</t>
        </is>
      </c>
      <c r="G170" t="n">
        <v>2</v>
      </c>
      <c r="H170" t="n">
        <v>0</v>
      </c>
      <c r="I170" t="n">
        <v>0</v>
      </c>
      <c r="J170" t="n">
        <v>0</v>
      </c>
      <c r="K170" t="n">
        <v>0</v>
      </c>
      <c r="L170" t="n">
        <v>0</v>
      </c>
      <c r="M170" t="n">
        <v>0</v>
      </c>
      <c r="N170" t="n">
        <v>0</v>
      </c>
      <c r="O170" t="n">
        <v>0</v>
      </c>
      <c r="P170" t="n">
        <v>0</v>
      </c>
      <c r="Q170" t="n">
        <v>0</v>
      </c>
      <c r="R170" s="2" t="inlineStr"/>
    </row>
    <row r="171" ht="15" customHeight="1">
      <c r="A171" t="inlineStr">
        <is>
          <t>A 12511-2025</t>
        </is>
      </c>
      <c r="B171" s="1" t="n">
        <v>45730.6371412037</v>
      </c>
      <c r="C171" s="1" t="n">
        <v>45932</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7066-2024</t>
        </is>
      </c>
      <c r="B172" s="1" t="n">
        <v>45343</v>
      </c>
      <c r="C172" s="1" t="n">
        <v>45932</v>
      </c>
      <c r="D172" t="inlineStr">
        <is>
          <t>ÖREBRO LÄN</t>
        </is>
      </c>
      <c r="E172" t="inlineStr">
        <is>
          <t>HÄLLEFORS</t>
        </is>
      </c>
      <c r="G172" t="n">
        <v>1.2</v>
      </c>
      <c r="H172" t="n">
        <v>0</v>
      </c>
      <c r="I172" t="n">
        <v>0</v>
      </c>
      <c r="J172" t="n">
        <v>0</v>
      </c>
      <c r="K172" t="n">
        <v>0</v>
      </c>
      <c r="L172" t="n">
        <v>0</v>
      </c>
      <c r="M172" t="n">
        <v>0</v>
      </c>
      <c r="N172" t="n">
        <v>0</v>
      </c>
      <c r="O172" t="n">
        <v>0</v>
      </c>
      <c r="P172" t="n">
        <v>0</v>
      </c>
      <c r="Q172" t="n">
        <v>0</v>
      </c>
      <c r="R172" s="2" t="inlineStr"/>
    </row>
    <row r="173" ht="15" customHeight="1">
      <c r="A173" t="inlineStr">
        <is>
          <t>A 41822-2023</t>
        </is>
      </c>
      <c r="B173" s="1" t="n">
        <v>45176.56863425926</v>
      </c>
      <c r="C173" s="1" t="n">
        <v>45932</v>
      </c>
      <c r="D173" t="inlineStr">
        <is>
          <t>ÖREBRO LÄN</t>
        </is>
      </c>
      <c r="E173" t="inlineStr">
        <is>
          <t>HÄLLEFORS</t>
        </is>
      </c>
      <c r="F173" t="inlineStr">
        <is>
          <t>Bergvik skog väst AB</t>
        </is>
      </c>
      <c r="G173" t="n">
        <v>5.6</v>
      </c>
      <c r="H173" t="n">
        <v>0</v>
      </c>
      <c r="I173" t="n">
        <v>0</v>
      </c>
      <c r="J173" t="n">
        <v>0</v>
      </c>
      <c r="K173" t="n">
        <v>0</v>
      </c>
      <c r="L173" t="n">
        <v>0</v>
      </c>
      <c r="M173" t="n">
        <v>0</v>
      </c>
      <c r="N173" t="n">
        <v>0</v>
      </c>
      <c r="O173" t="n">
        <v>0</v>
      </c>
      <c r="P173" t="n">
        <v>0</v>
      </c>
      <c r="Q173" t="n">
        <v>0</v>
      </c>
      <c r="R173" s="2" t="inlineStr"/>
    </row>
    <row r="174" ht="15" customHeight="1">
      <c r="A174" t="inlineStr">
        <is>
          <t>A 17764-2023</t>
        </is>
      </c>
      <c r="B174" s="1" t="n">
        <v>45037.50085648148</v>
      </c>
      <c r="C174" s="1" t="n">
        <v>45932</v>
      </c>
      <c r="D174" t="inlineStr">
        <is>
          <t>ÖREBRO LÄN</t>
        </is>
      </c>
      <c r="E174" t="inlineStr">
        <is>
          <t>HÄLLEFORS</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65054-2021</t>
        </is>
      </c>
      <c r="B175" s="1" t="n">
        <v>44515.35802083334</v>
      </c>
      <c r="C175" s="1" t="n">
        <v>45932</v>
      </c>
      <c r="D175" t="inlineStr">
        <is>
          <t>ÖREBRO LÄN</t>
        </is>
      </c>
      <c r="E175" t="inlineStr">
        <is>
          <t>HÄLLEFORS</t>
        </is>
      </c>
      <c r="F175" t="inlineStr">
        <is>
          <t>Bergvik skog väst AB</t>
        </is>
      </c>
      <c r="G175" t="n">
        <v>3.8</v>
      </c>
      <c r="H175" t="n">
        <v>0</v>
      </c>
      <c r="I175" t="n">
        <v>0</v>
      </c>
      <c r="J175" t="n">
        <v>0</v>
      </c>
      <c r="K175" t="n">
        <v>0</v>
      </c>
      <c r="L175" t="n">
        <v>0</v>
      </c>
      <c r="M175" t="n">
        <v>0</v>
      </c>
      <c r="N175" t="n">
        <v>0</v>
      </c>
      <c r="O175" t="n">
        <v>0</v>
      </c>
      <c r="P175" t="n">
        <v>0</v>
      </c>
      <c r="Q175" t="n">
        <v>0</v>
      </c>
      <c r="R175" s="2" t="inlineStr"/>
    </row>
    <row r="176" ht="15" customHeight="1">
      <c r="A176" t="inlineStr">
        <is>
          <t>A 14120-2023</t>
        </is>
      </c>
      <c r="B176" s="1" t="n">
        <v>45009</v>
      </c>
      <c r="C176" s="1" t="n">
        <v>45932</v>
      </c>
      <c r="D176" t="inlineStr">
        <is>
          <t>ÖREBRO LÄN</t>
        </is>
      </c>
      <c r="E176" t="inlineStr">
        <is>
          <t>HÄLLEFORS</t>
        </is>
      </c>
      <c r="F176" t="inlineStr">
        <is>
          <t>Bergvik skog väst AB</t>
        </is>
      </c>
      <c r="G176" t="n">
        <v>4.2</v>
      </c>
      <c r="H176" t="n">
        <v>0</v>
      </c>
      <c r="I176" t="n">
        <v>0</v>
      </c>
      <c r="J176" t="n">
        <v>0</v>
      </c>
      <c r="K176" t="n">
        <v>0</v>
      </c>
      <c r="L176" t="n">
        <v>0</v>
      </c>
      <c r="M176" t="n">
        <v>0</v>
      </c>
      <c r="N176" t="n">
        <v>0</v>
      </c>
      <c r="O176" t="n">
        <v>0</v>
      </c>
      <c r="P176" t="n">
        <v>0</v>
      </c>
      <c r="Q176" t="n">
        <v>0</v>
      </c>
      <c r="R176" s="2" t="inlineStr"/>
    </row>
    <row r="177" ht="15" customHeight="1">
      <c r="A177" t="inlineStr">
        <is>
          <t>A 44105-2024</t>
        </is>
      </c>
      <c r="B177" s="1" t="n">
        <v>45572.62980324074</v>
      </c>
      <c r="C177" s="1" t="n">
        <v>45932</v>
      </c>
      <c r="D177" t="inlineStr">
        <is>
          <t>ÖREBRO LÄN</t>
        </is>
      </c>
      <c r="E177" t="inlineStr">
        <is>
          <t>HÄLLEFORS</t>
        </is>
      </c>
      <c r="F177" t="inlineStr">
        <is>
          <t>Bergvik skog väst AB</t>
        </is>
      </c>
      <c r="G177" t="n">
        <v>5.6</v>
      </c>
      <c r="H177" t="n">
        <v>0</v>
      </c>
      <c r="I177" t="n">
        <v>0</v>
      </c>
      <c r="J177" t="n">
        <v>0</v>
      </c>
      <c r="K177" t="n">
        <v>0</v>
      </c>
      <c r="L177" t="n">
        <v>0</v>
      </c>
      <c r="M177" t="n">
        <v>0</v>
      </c>
      <c r="N177" t="n">
        <v>0</v>
      </c>
      <c r="O177" t="n">
        <v>0</v>
      </c>
      <c r="P177" t="n">
        <v>0</v>
      </c>
      <c r="Q177" t="n">
        <v>0</v>
      </c>
      <c r="R177" s="2" t="inlineStr"/>
    </row>
    <row r="178" ht="15" customHeight="1">
      <c r="A178" t="inlineStr">
        <is>
          <t>A 50571-2024</t>
        </is>
      </c>
      <c r="B178" s="1" t="n">
        <v>45601.60576388889</v>
      </c>
      <c r="C178" s="1" t="n">
        <v>45932</v>
      </c>
      <c r="D178" t="inlineStr">
        <is>
          <t>ÖREBRO LÄN</t>
        </is>
      </c>
      <c r="E178" t="inlineStr">
        <is>
          <t>HÄLLEFORS</t>
        </is>
      </c>
      <c r="F178" t="inlineStr">
        <is>
          <t>Bergvik skog väst AB</t>
        </is>
      </c>
      <c r="G178" t="n">
        <v>4.6</v>
      </c>
      <c r="H178" t="n">
        <v>0</v>
      </c>
      <c r="I178" t="n">
        <v>0</v>
      </c>
      <c r="J178" t="n">
        <v>0</v>
      </c>
      <c r="K178" t="n">
        <v>0</v>
      </c>
      <c r="L178" t="n">
        <v>0</v>
      </c>
      <c r="M178" t="n">
        <v>0</v>
      </c>
      <c r="N178" t="n">
        <v>0</v>
      </c>
      <c r="O178" t="n">
        <v>0</v>
      </c>
      <c r="P178" t="n">
        <v>0</v>
      </c>
      <c r="Q178" t="n">
        <v>0</v>
      </c>
      <c r="R178" s="2" t="inlineStr"/>
    </row>
    <row r="179" ht="15" customHeight="1">
      <c r="A179" t="inlineStr">
        <is>
          <t>A 12648-2025</t>
        </is>
      </c>
      <c r="B179" s="1" t="n">
        <v>45733.39797453704</v>
      </c>
      <c r="C179" s="1" t="n">
        <v>45932</v>
      </c>
      <c r="D179" t="inlineStr">
        <is>
          <t>ÖREBRO LÄN</t>
        </is>
      </c>
      <c r="E179" t="inlineStr">
        <is>
          <t>HÄLLEFORS</t>
        </is>
      </c>
      <c r="F179" t="inlineStr">
        <is>
          <t>Bergvik skog väst AB</t>
        </is>
      </c>
      <c r="G179" t="n">
        <v>5</v>
      </c>
      <c r="H179" t="n">
        <v>0</v>
      </c>
      <c r="I179" t="n">
        <v>0</v>
      </c>
      <c r="J179" t="n">
        <v>0</v>
      </c>
      <c r="K179" t="n">
        <v>0</v>
      </c>
      <c r="L179" t="n">
        <v>0</v>
      </c>
      <c r="M179" t="n">
        <v>0</v>
      </c>
      <c r="N179" t="n">
        <v>0</v>
      </c>
      <c r="O179" t="n">
        <v>0</v>
      </c>
      <c r="P179" t="n">
        <v>0</v>
      </c>
      <c r="Q179" t="n">
        <v>0</v>
      </c>
      <c r="R179" s="2" t="inlineStr"/>
    </row>
    <row r="180" ht="15" customHeight="1">
      <c r="A180" t="inlineStr">
        <is>
          <t>A 43941-2023</t>
        </is>
      </c>
      <c r="B180" s="1" t="n">
        <v>45187</v>
      </c>
      <c r="C180" s="1" t="n">
        <v>45932</v>
      </c>
      <c r="D180" t="inlineStr">
        <is>
          <t>ÖREBRO LÄN</t>
        </is>
      </c>
      <c r="E180" t="inlineStr">
        <is>
          <t>HÄLLEFORS</t>
        </is>
      </c>
      <c r="G180" t="n">
        <v>1.5</v>
      </c>
      <c r="H180" t="n">
        <v>0</v>
      </c>
      <c r="I180" t="n">
        <v>0</v>
      </c>
      <c r="J180" t="n">
        <v>0</v>
      </c>
      <c r="K180" t="n">
        <v>0</v>
      </c>
      <c r="L180" t="n">
        <v>0</v>
      </c>
      <c r="M180" t="n">
        <v>0</v>
      </c>
      <c r="N180" t="n">
        <v>0</v>
      </c>
      <c r="O180" t="n">
        <v>0</v>
      </c>
      <c r="P180" t="n">
        <v>0</v>
      </c>
      <c r="Q180" t="n">
        <v>0</v>
      </c>
      <c r="R180" s="2" t="inlineStr"/>
    </row>
    <row r="181" ht="15" customHeight="1">
      <c r="A181" t="inlineStr">
        <is>
          <t>A 35861-2024</t>
        </is>
      </c>
      <c r="B181" s="1" t="n">
        <v>45533.33751157407</v>
      </c>
      <c r="C181" s="1" t="n">
        <v>45932</v>
      </c>
      <c r="D181" t="inlineStr">
        <is>
          <t>ÖREBRO LÄN</t>
        </is>
      </c>
      <c r="E181" t="inlineStr">
        <is>
          <t>HÄLLEFORS</t>
        </is>
      </c>
      <c r="F181" t="inlineStr">
        <is>
          <t>Bergvik skog väst AB</t>
        </is>
      </c>
      <c r="G181" t="n">
        <v>25.9</v>
      </c>
      <c r="H181" t="n">
        <v>0</v>
      </c>
      <c r="I181" t="n">
        <v>0</v>
      </c>
      <c r="J181" t="n">
        <v>0</v>
      </c>
      <c r="K181" t="n">
        <v>0</v>
      </c>
      <c r="L181" t="n">
        <v>0</v>
      </c>
      <c r="M181" t="n">
        <v>0</v>
      </c>
      <c r="N181" t="n">
        <v>0</v>
      </c>
      <c r="O181" t="n">
        <v>0</v>
      </c>
      <c r="P181" t="n">
        <v>0</v>
      </c>
      <c r="Q181" t="n">
        <v>0</v>
      </c>
      <c r="R181" s="2" t="inlineStr"/>
    </row>
    <row r="182" ht="15" customHeight="1">
      <c r="A182" t="inlineStr">
        <is>
          <t>A 44122-2024</t>
        </is>
      </c>
      <c r="B182" s="1" t="n">
        <v>45572.6396875</v>
      </c>
      <c r="C182" s="1" t="n">
        <v>45932</v>
      </c>
      <c r="D182" t="inlineStr">
        <is>
          <t>ÖREBRO LÄN</t>
        </is>
      </c>
      <c r="E182" t="inlineStr">
        <is>
          <t>HÄLLEFORS</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54995-2024</t>
        </is>
      </c>
      <c r="B183" s="1" t="n">
        <v>45621.28127314815</v>
      </c>
      <c r="C183" s="1" t="n">
        <v>45932</v>
      </c>
      <c r="D183" t="inlineStr">
        <is>
          <t>ÖREBRO LÄN</t>
        </is>
      </c>
      <c r="E183" t="inlineStr">
        <is>
          <t>HÄLLEFORS</t>
        </is>
      </c>
      <c r="F183" t="inlineStr">
        <is>
          <t>Bergvik skog väst AB</t>
        </is>
      </c>
      <c r="G183" t="n">
        <v>3.4</v>
      </c>
      <c r="H183" t="n">
        <v>0</v>
      </c>
      <c r="I183" t="n">
        <v>0</v>
      </c>
      <c r="J183" t="n">
        <v>0</v>
      </c>
      <c r="K183" t="n">
        <v>0</v>
      </c>
      <c r="L183" t="n">
        <v>0</v>
      </c>
      <c r="M183" t="n">
        <v>0</v>
      </c>
      <c r="N183" t="n">
        <v>0</v>
      </c>
      <c r="O183" t="n">
        <v>0</v>
      </c>
      <c r="P183" t="n">
        <v>0</v>
      </c>
      <c r="Q183" t="n">
        <v>0</v>
      </c>
      <c r="R183" s="2" t="inlineStr"/>
    </row>
    <row r="184" ht="15" customHeight="1">
      <c r="A184" t="inlineStr">
        <is>
          <t>A 5237-2025</t>
        </is>
      </c>
      <c r="B184" s="1" t="n">
        <v>45692.30760416666</v>
      </c>
      <c r="C184" s="1" t="n">
        <v>45932</v>
      </c>
      <c r="D184" t="inlineStr">
        <is>
          <t>ÖREBRO LÄN</t>
        </is>
      </c>
      <c r="E184" t="inlineStr">
        <is>
          <t>HÄLLEFORS</t>
        </is>
      </c>
      <c r="F184" t="inlineStr">
        <is>
          <t>Bergvik skog väst AB</t>
        </is>
      </c>
      <c r="G184" t="n">
        <v>4.6</v>
      </c>
      <c r="H184" t="n">
        <v>0</v>
      </c>
      <c r="I184" t="n">
        <v>0</v>
      </c>
      <c r="J184" t="n">
        <v>0</v>
      </c>
      <c r="K184" t="n">
        <v>0</v>
      </c>
      <c r="L184" t="n">
        <v>0</v>
      </c>
      <c r="M184" t="n">
        <v>0</v>
      </c>
      <c r="N184" t="n">
        <v>0</v>
      </c>
      <c r="O184" t="n">
        <v>0</v>
      </c>
      <c r="P184" t="n">
        <v>0</v>
      </c>
      <c r="Q184" t="n">
        <v>0</v>
      </c>
      <c r="R184" s="2" t="inlineStr"/>
    </row>
    <row r="185" ht="15" customHeight="1">
      <c r="A185" t="inlineStr">
        <is>
          <t>A 5042-2025</t>
        </is>
      </c>
      <c r="B185" s="1" t="n">
        <v>45691.43619212963</v>
      </c>
      <c r="C185" s="1" t="n">
        <v>45932</v>
      </c>
      <c r="D185" t="inlineStr">
        <is>
          <t>ÖREBRO LÄN</t>
        </is>
      </c>
      <c r="E185" t="inlineStr">
        <is>
          <t>HÄLLEFORS</t>
        </is>
      </c>
      <c r="F185" t="inlineStr">
        <is>
          <t>Bergvik skog väst AB</t>
        </is>
      </c>
      <c r="G185" t="n">
        <v>3.3</v>
      </c>
      <c r="H185" t="n">
        <v>0</v>
      </c>
      <c r="I185" t="n">
        <v>0</v>
      </c>
      <c r="J185" t="n">
        <v>0</v>
      </c>
      <c r="K185" t="n">
        <v>0</v>
      </c>
      <c r="L185" t="n">
        <v>0</v>
      </c>
      <c r="M185" t="n">
        <v>0</v>
      </c>
      <c r="N185" t="n">
        <v>0</v>
      </c>
      <c r="O185" t="n">
        <v>0</v>
      </c>
      <c r="P185" t="n">
        <v>0</v>
      </c>
      <c r="Q185" t="n">
        <v>0</v>
      </c>
      <c r="R185" s="2" t="inlineStr"/>
    </row>
    <row r="186" ht="15" customHeight="1">
      <c r="A186" t="inlineStr">
        <is>
          <t>A 33617-2022</t>
        </is>
      </c>
      <c r="B186" s="1" t="n">
        <v>44782</v>
      </c>
      <c r="C186" s="1" t="n">
        <v>45932</v>
      </c>
      <c r="D186" t="inlineStr">
        <is>
          <t>ÖREBRO LÄN</t>
        </is>
      </c>
      <c r="E186" t="inlineStr">
        <is>
          <t>HÄLLEFORS</t>
        </is>
      </c>
      <c r="G186" t="n">
        <v>8.6</v>
      </c>
      <c r="H186" t="n">
        <v>0</v>
      </c>
      <c r="I186" t="n">
        <v>0</v>
      </c>
      <c r="J186" t="n">
        <v>0</v>
      </c>
      <c r="K186" t="n">
        <v>0</v>
      </c>
      <c r="L186" t="n">
        <v>0</v>
      </c>
      <c r="M186" t="n">
        <v>0</v>
      </c>
      <c r="N186" t="n">
        <v>0</v>
      </c>
      <c r="O186" t="n">
        <v>0</v>
      </c>
      <c r="P186" t="n">
        <v>0</v>
      </c>
      <c r="Q186" t="n">
        <v>0</v>
      </c>
      <c r="R186" s="2" t="inlineStr"/>
    </row>
    <row r="187" ht="15" customHeight="1">
      <c r="A187" t="inlineStr">
        <is>
          <t>A 16927-2025</t>
        </is>
      </c>
      <c r="B187" s="1" t="n">
        <v>45755.39212962963</v>
      </c>
      <c r="C187" s="1" t="n">
        <v>45932</v>
      </c>
      <c r="D187" t="inlineStr">
        <is>
          <t>ÖREBRO LÄN</t>
        </is>
      </c>
      <c r="E187" t="inlineStr">
        <is>
          <t>HÄLLEFORS</t>
        </is>
      </c>
      <c r="F187" t="inlineStr">
        <is>
          <t>Bergvik skog väst AB</t>
        </is>
      </c>
      <c r="G187" t="n">
        <v>4.1</v>
      </c>
      <c r="H187" t="n">
        <v>0</v>
      </c>
      <c r="I187" t="n">
        <v>0</v>
      </c>
      <c r="J187" t="n">
        <v>0</v>
      </c>
      <c r="K187" t="n">
        <v>0</v>
      </c>
      <c r="L187" t="n">
        <v>0</v>
      </c>
      <c r="M187" t="n">
        <v>0</v>
      </c>
      <c r="N187" t="n">
        <v>0</v>
      </c>
      <c r="O187" t="n">
        <v>0</v>
      </c>
      <c r="P187" t="n">
        <v>0</v>
      </c>
      <c r="Q187" t="n">
        <v>0</v>
      </c>
      <c r="R187" s="2" t="inlineStr"/>
    </row>
    <row r="188" ht="15" customHeight="1">
      <c r="A188" t="inlineStr">
        <is>
          <t>A 50754-2023</t>
        </is>
      </c>
      <c r="B188" s="1" t="n">
        <v>45217</v>
      </c>
      <c r="C188" s="1" t="n">
        <v>45932</v>
      </c>
      <c r="D188" t="inlineStr">
        <is>
          <t>ÖREBRO LÄN</t>
        </is>
      </c>
      <c r="E188" t="inlineStr">
        <is>
          <t>HÄLLEFORS</t>
        </is>
      </c>
      <c r="F188" t="inlineStr">
        <is>
          <t>Bergvik skog väst AB</t>
        </is>
      </c>
      <c r="G188" t="n">
        <v>5.8</v>
      </c>
      <c r="H188" t="n">
        <v>0</v>
      </c>
      <c r="I188" t="n">
        <v>0</v>
      </c>
      <c r="J188" t="n">
        <v>0</v>
      </c>
      <c r="K188" t="n">
        <v>0</v>
      </c>
      <c r="L188" t="n">
        <v>0</v>
      </c>
      <c r="M188" t="n">
        <v>0</v>
      </c>
      <c r="N188" t="n">
        <v>0</v>
      </c>
      <c r="O188" t="n">
        <v>0</v>
      </c>
      <c r="P188" t="n">
        <v>0</v>
      </c>
      <c r="Q188" t="n">
        <v>0</v>
      </c>
      <c r="R188" s="2" t="inlineStr"/>
    </row>
    <row r="189" ht="15" customHeight="1">
      <c r="A189" t="inlineStr">
        <is>
          <t>A 55453-2023</t>
        </is>
      </c>
      <c r="B189" s="1" t="n">
        <v>45238</v>
      </c>
      <c r="C189" s="1" t="n">
        <v>45932</v>
      </c>
      <c r="D189" t="inlineStr">
        <is>
          <t>ÖREBRO LÄN</t>
        </is>
      </c>
      <c r="E189" t="inlineStr">
        <is>
          <t>HÄLLEFORS</t>
        </is>
      </c>
      <c r="G189" t="n">
        <v>0.8</v>
      </c>
      <c r="H189" t="n">
        <v>0</v>
      </c>
      <c r="I189" t="n">
        <v>0</v>
      </c>
      <c r="J189" t="n">
        <v>0</v>
      </c>
      <c r="K189" t="n">
        <v>0</v>
      </c>
      <c r="L189" t="n">
        <v>0</v>
      </c>
      <c r="M189" t="n">
        <v>0</v>
      </c>
      <c r="N189" t="n">
        <v>0</v>
      </c>
      <c r="O189" t="n">
        <v>0</v>
      </c>
      <c r="P189" t="n">
        <v>0</v>
      </c>
      <c r="Q189" t="n">
        <v>0</v>
      </c>
      <c r="R189" s="2" t="inlineStr"/>
    </row>
    <row r="190" ht="15" customHeight="1">
      <c r="A190" t="inlineStr">
        <is>
          <t>A 42918-2024</t>
        </is>
      </c>
      <c r="B190" s="1" t="n">
        <v>45567.27908564815</v>
      </c>
      <c r="C190" s="1" t="n">
        <v>45932</v>
      </c>
      <c r="D190" t="inlineStr">
        <is>
          <t>ÖREBRO LÄN</t>
        </is>
      </c>
      <c r="E190" t="inlineStr">
        <is>
          <t>HÄLLEFORS</t>
        </is>
      </c>
      <c r="F190" t="inlineStr">
        <is>
          <t>Bergvik skog väst AB</t>
        </is>
      </c>
      <c r="G190" t="n">
        <v>3.8</v>
      </c>
      <c r="H190" t="n">
        <v>0</v>
      </c>
      <c r="I190" t="n">
        <v>0</v>
      </c>
      <c r="J190" t="n">
        <v>0</v>
      </c>
      <c r="K190" t="n">
        <v>0</v>
      </c>
      <c r="L190" t="n">
        <v>0</v>
      </c>
      <c r="M190" t="n">
        <v>0</v>
      </c>
      <c r="N190" t="n">
        <v>0</v>
      </c>
      <c r="O190" t="n">
        <v>0</v>
      </c>
      <c r="P190" t="n">
        <v>0</v>
      </c>
      <c r="Q190" t="n">
        <v>0</v>
      </c>
      <c r="R190" s="2" t="inlineStr"/>
    </row>
    <row r="191" ht="15" customHeight="1">
      <c r="A191" t="inlineStr">
        <is>
          <t>A 38429-2023</t>
        </is>
      </c>
      <c r="B191" s="1" t="n">
        <v>45162</v>
      </c>
      <c r="C191" s="1" t="n">
        <v>45932</v>
      </c>
      <c r="D191" t="inlineStr">
        <is>
          <t>ÖREBRO LÄN</t>
        </is>
      </c>
      <c r="E191" t="inlineStr">
        <is>
          <t>HÄLLEFORS</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65856-2020</t>
        </is>
      </c>
      <c r="B192" s="1" t="n">
        <v>44174</v>
      </c>
      <c r="C192" s="1" t="n">
        <v>45932</v>
      </c>
      <c r="D192" t="inlineStr">
        <is>
          <t>ÖREBRO LÄN</t>
        </is>
      </c>
      <c r="E192" t="inlineStr">
        <is>
          <t>HÄLLEFORS</t>
        </is>
      </c>
      <c r="G192" t="n">
        <v>1</v>
      </c>
      <c r="H192" t="n">
        <v>0</v>
      </c>
      <c r="I192" t="n">
        <v>0</v>
      </c>
      <c r="J192" t="n">
        <v>0</v>
      </c>
      <c r="K192" t="n">
        <v>0</v>
      </c>
      <c r="L192" t="n">
        <v>0</v>
      </c>
      <c r="M192" t="n">
        <v>0</v>
      </c>
      <c r="N192" t="n">
        <v>0</v>
      </c>
      <c r="O192" t="n">
        <v>0</v>
      </c>
      <c r="P192" t="n">
        <v>0</v>
      </c>
      <c r="Q192" t="n">
        <v>0</v>
      </c>
      <c r="R192" s="2" t="inlineStr"/>
    </row>
    <row r="193" ht="15" customHeight="1">
      <c r="A193" t="inlineStr">
        <is>
          <t>A 46912-2023</t>
        </is>
      </c>
      <c r="B193" s="1" t="n">
        <v>45201</v>
      </c>
      <c r="C193" s="1" t="n">
        <v>45932</v>
      </c>
      <c r="D193" t="inlineStr">
        <is>
          <t>ÖREBRO LÄN</t>
        </is>
      </c>
      <c r="E193" t="inlineStr">
        <is>
          <t>HÄLLEFORS</t>
        </is>
      </c>
      <c r="G193" t="n">
        <v>1</v>
      </c>
      <c r="H193" t="n">
        <v>0</v>
      </c>
      <c r="I193" t="n">
        <v>0</v>
      </c>
      <c r="J193" t="n">
        <v>0</v>
      </c>
      <c r="K193" t="n">
        <v>0</v>
      </c>
      <c r="L193" t="n">
        <v>0</v>
      </c>
      <c r="M193" t="n">
        <v>0</v>
      </c>
      <c r="N193" t="n">
        <v>0</v>
      </c>
      <c r="O193" t="n">
        <v>0</v>
      </c>
      <c r="P193" t="n">
        <v>0</v>
      </c>
      <c r="Q193" t="n">
        <v>0</v>
      </c>
      <c r="R193" s="2" t="inlineStr"/>
    </row>
    <row r="194" ht="15" customHeight="1">
      <c r="A194" t="inlineStr">
        <is>
          <t>A 48429-2024</t>
        </is>
      </c>
      <c r="B194" s="1" t="n">
        <v>45590</v>
      </c>
      <c r="C194" s="1" t="n">
        <v>45932</v>
      </c>
      <c r="D194" t="inlineStr">
        <is>
          <t>ÖREBRO LÄN</t>
        </is>
      </c>
      <c r="E194" t="inlineStr">
        <is>
          <t>HÄLLEFORS</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4716-2022</t>
        </is>
      </c>
      <c r="B195" s="1" t="n">
        <v>44592</v>
      </c>
      <c r="C195" s="1" t="n">
        <v>45932</v>
      </c>
      <c r="D195" t="inlineStr">
        <is>
          <t>ÖREBRO LÄN</t>
        </is>
      </c>
      <c r="E195" t="inlineStr">
        <is>
          <t>HÄLLEFORS</t>
        </is>
      </c>
      <c r="G195" t="n">
        <v>1.5</v>
      </c>
      <c r="H195" t="n">
        <v>0</v>
      </c>
      <c r="I195" t="n">
        <v>0</v>
      </c>
      <c r="J195" t="n">
        <v>0</v>
      </c>
      <c r="K195" t="n">
        <v>0</v>
      </c>
      <c r="L195" t="n">
        <v>0</v>
      </c>
      <c r="M195" t="n">
        <v>0</v>
      </c>
      <c r="N195" t="n">
        <v>0</v>
      </c>
      <c r="O195" t="n">
        <v>0</v>
      </c>
      <c r="P195" t="n">
        <v>0</v>
      </c>
      <c r="Q195" t="n">
        <v>0</v>
      </c>
      <c r="R195" s="2" t="inlineStr"/>
    </row>
    <row r="196" ht="15" customHeight="1">
      <c r="A196" t="inlineStr">
        <is>
          <t>A 50714-2022</t>
        </is>
      </c>
      <c r="B196" s="1" t="n">
        <v>44867.35501157407</v>
      </c>
      <c r="C196" s="1" t="n">
        <v>45932</v>
      </c>
      <c r="D196" t="inlineStr">
        <is>
          <t>ÖREBRO LÄN</t>
        </is>
      </c>
      <c r="E196" t="inlineStr">
        <is>
          <t>HÄLLEFORS</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42863-2022</t>
        </is>
      </c>
      <c r="B197" s="1" t="n">
        <v>44832.73646990741</v>
      </c>
      <c r="C197" s="1" t="n">
        <v>45932</v>
      </c>
      <c r="D197" t="inlineStr">
        <is>
          <t>ÖREBRO LÄN</t>
        </is>
      </c>
      <c r="E197" t="inlineStr">
        <is>
          <t>HÄLLEFORS</t>
        </is>
      </c>
      <c r="G197" t="n">
        <v>7.2</v>
      </c>
      <c r="H197" t="n">
        <v>0</v>
      </c>
      <c r="I197" t="n">
        <v>0</v>
      </c>
      <c r="J197" t="n">
        <v>0</v>
      </c>
      <c r="K197" t="n">
        <v>0</v>
      </c>
      <c r="L197" t="n">
        <v>0</v>
      </c>
      <c r="M197" t="n">
        <v>0</v>
      </c>
      <c r="N197" t="n">
        <v>0</v>
      </c>
      <c r="O197" t="n">
        <v>0</v>
      </c>
      <c r="P197" t="n">
        <v>0</v>
      </c>
      <c r="Q197" t="n">
        <v>0</v>
      </c>
      <c r="R197" s="2" t="inlineStr"/>
    </row>
    <row r="198" ht="15" customHeight="1">
      <c r="A198" t="inlineStr">
        <is>
          <t>A 9906-2024</t>
        </is>
      </c>
      <c r="B198" s="1" t="n">
        <v>45363.53322916666</v>
      </c>
      <c r="C198" s="1" t="n">
        <v>45932</v>
      </c>
      <c r="D198" t="inlineStr">
        <is>
          <t>ÖREBRO LÄN</t>
        </is>
      </c>
      <c r="E198" t="inlineStr">
        <is>
          <t>HÄLLEFORS</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4353-2023</t>
        </is>
      </c>
      <c r="B199" s="1" t="n">
        <v>44954.27407407408</v>
      </c>
      <c r="C199" s="1" t="n">
        <v>45932</v>
      </c>
      <c r="D199" t="inlineStr">
        <is>
          <t>ÖREBRO LÄN</t>
        </is>
      </c>
      <c r="E199" t="inlineStr">
        <is>
          <t>HÄLLEFORS</t>
        </is>
      </c>
      <c r="G199" t="n">
        <v>0.5</v>
      </c>
      <c r="H199" t="n">
        <v>0</v>
      </c>
      <c r="I199" t="n">
        <v>0</v>
      </c>
      <c r="J199" t="n">
        <v>0</v>
      </c>
      <c r="K199" t="n">
        <v>0</v>
      </c>
      <c r="L199" t="n">
        <v>0</v>
      </c>
      <c r="M199" t="n">
        <v>0</v>
      </c>
      <c r="N199" t="n">
        <v>0</v>
      </c>
      <c r="O199" t="n">
        <v>0</v>
      </c>
      <c r="P199" t="n">
        <v>0</v>
      </c>
      <c r="Q199" t="n">
        <v>0</v>
      </c>
      <c r="R199" s="2" t="inlineStr"/>
    </row>
    <row r="200" ht="15" customHeight="1">
      <c r="A200" t="inlineStr">
        <is>
          <t>A 30282-2023</t>
        </is>
      </c>
      <c r="B200" s="1" t="n">
        <v>45110.90550925926</v>
      </c>
      <c r="C200" s="1" t="n">
        <v>45932</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16135-2025</t>
        </is>
      </c>
      <c r="B201" s="1" t="n">
        <v>45750.44355324074</v>
      </c>
      <c r="C201" s="1" t="n">
        <v>45932</v>
      </c>
      <c r="D201" t="inlineStr">
        <is>
          <t>ÖREBRO LÄN</t>
        </is>
      </c>
      <c r="E201" t="inlineStr">
        <is>
          <t>HÄLLEFORS</t>
        </is>
      </c>
      <c r="F201" t="inlineStr">
        <is>
          <t>Kyrkan</t>
        </is>
      </c>
      <c r="G201" t="n">
        <v>4.6</v>
      </c>
      <c r="H201" t="n">
        <v>0</v>
      </c>
      <c r="I201" t="n">
        <v>0</v>
      </c>
      <c r="J201" t="n">
        <v>0</v>
      </c>
      <c r="K201" t="n">
        <v>0</v>
      </c>
      <c r="L201" t="n">
        <v>0</v>
      </c>
      <c r="M201" t="n">
        <v>0</v>
      </c>
      <c r="N201" t="n">
        <v>0</v>
      </c>
      <c r="O201" t="n">
        <v>0</v>
      </c>
      <c r="P201" t="n">
        <v>0</v>
      </c>
      <c r="Q201" t="n">
        <v>0</v>
      </c>
      <c r="R201" s="2" t="inlineStr"/>
    </row>
    <row r="202" ht="15" customHeight="1">
      <c r="A202" t="inlineStr">
        <is>
          <t>A 16999-2024</t>
        </is>
      </c>
      <c r="B202" s="1" t="n">
        <v>45412.35543981481</v>
      </c>
      <c r="C202" s="1" t="n">
        <v>45932</v>
      </c>
      <c r="D202" t="inlineStr">
        <is>
          <t>ÖREBRO LÄN</t>
        </is>
      </c>
      <c r="E202" t="inlineStr">
        <is>
          <t>HÄLLEFORS</t>
        </is>
      </c>
      <c r="G202" t="n">
        <v>3.5</v>
      </c>
      <c r="H202" t="n">
        <v>0</v>
      </c>
      <c r="I202" t="n">
        <v>0</v>
      </c>
      <c r="J202" t="n">
        <v>0</v>
      </c>
      <c r="K202" t="n">
        <v>0</v>
      </c>
      <c r="L202" t="n">
        <v>0</v>
      </c>
      <c r="M202" t="n">
        <v>0</v>
      </c>
      <c r="N202" t="n">
        <v>0</v>
      </c>
      <c r="O202" t="n">
        <v>0</v>
      </c>
      <c r="P202" t="n">
        <v>0</v>
      </c>
      <c r="Q202" t="n">
        <v>0</v>
      </c>
      <c r="R202" s="2" t="inlineStr"/>
    </row>
    <row r="203" ht="15" customHeight="1">
      <c r="A203" t="inlineStr">
        <is>
          <t>A 18555-2025</t>
        </is>
      </c>
      <c r="B203" s="1" t="n">
        <v>45763</v>
      </c>
      <c r="C203" s="1" t="n">
        <v>45932</v>
      </c>
      <c r="D203" t="inlineStr">
        <is>
          <t>ÖREBRO LÄN</t>
        </is>
      </c>
      <c r="E203" t="inlineStr">
        <is>
          <t>HÄLLEFORS</t>
        </is>
      </c>
      <c r="F203" t="inlineStr">
        <is>
          <t>Bergvik skog väst AB</t>
        </is>
      </c>
      <c r="G203" t="n">
        <v>4.5</v>
      </c>
      <c r="H203" t="n">
        <v>0</v>
      </c>
      <c r="I203" t="n">
        <v>0</v>
      </c>
      <c r="J203" t="n">
        <v>0</v>
      </c>
      <c r="K203" t="n">
        <v>0</v>
      </c>
      <c r="L203" t="n">
        <v>0</v>
      </c>
      <c r="M203" t="n">
        <v>0</v>
      </c>
      <c r="N203" t="n">
        <v>0</v>
      </c>
      <c r="O203" t="n">
        <v>0</v>
      </c>
      <c r="P203" t="n">
        <v>0</v>
      </c>
      <c r="Q203" t="n">
        <v>0</v>
      </c>
      <c r="R203" s="2" t="inlineStr"/>
    </row>
    <row r="204" ht="15" customHeight="1">
      <c r="A204" t="inlineStr">
        <is>
          <t>A 59955-2024</t>
        </is>
      </c>
      <c r="B204" s="1" t="n">
        <v>45642.34987268518</v>
      </c>
      <c r="C204" s="1" t="n">
        <v>45932</v>
      </c>
      <c r="D204" t="inlineStr">
        <is>
          <t>ÖREBRO LÄN</t>
        </is>
      </c>
      <c r="E204" t="inlineStr">
        <is>
          <t>HÄLLEFORS</t>
        </is>
      </c>
      <c r="F204" t="inlineStr">
        <is>
          <t>Bergvik skog väst AB</t>
        </is>
      </c>
      <c r="G204" t="n">
        <v>3.4</v>
      </c>
      <c r="H204" t="n">
        <v>0</v>
      </c>
      <c r="I204" t="n">
        <v>0</v>
      </c>
      <c r="J204" t="n">
        <v>0</v>
      </c>
      <c r="K204" t="n">
        <v>0</v>
      </c>
      <c r="L204" t="n">
        <v>0</v>
      </c>
      <c r="M204" t="n">
        <v>0</v>
      </c>
      <c r="N204" t="n">
        <v>0</v>
      </c>
      <c r="O204" t="n">
        <v>0</v>
      </c>
      <c r="P204" t="n">
        <v>0</v>
      </c>
      <c r="Q204" t="n">
        <v>0</v>
      </c>
      <c r="R204" s="2" t="inlineStr"/>
    </row>
    <row r="205" ht="15" customHeight="1">
      <c r="A205" t="inlineStr">
        <is>
          <t>A 39327-2022</t>
        </is>
      </c>
      <c r="B205" s="1" t="n">
        <v>44817</v>
      </c>
      <c r="C205" s="1" t="n">
        <v>45932</v>
      </c>
      <c r="D205" t="inlineStr">
        <is>
          <t>ÖREBRO LÄN</t>
        </is>
      </c>
      <c r="E205" t="inlineStr">
        <is>
          <t>HÄLLEFORS</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52367-2022</t>
        </is>
      </c>
      <c r="B206" s="1" t="n">
        <v>44874</v>
      </c>
      <c r="C206" s="1" t="n">
        <v>45932</v>
      </c>
      <c r="D206" t="inlineStr">
        <is>
          <t>ÖREBRO LÄN</t>
        </is>
      </c>
      <c r="E206" t="inlineStr">
        <is>
          <t>HÄLLEFORS</t>
        </is>
      </c>
      <c r="F206" t="inlineStr">
        <is>
          <t>Bergvik skog väst AB</t>
        </is>
      </c>
      <c r="G206" t="n">
        <v>1</v>
      </c>
      <c r="H206" t="n">
        <v>0</v>
      </c>
      <c r="I206" t="n">
        <v>0</v>
      </c>
      <c r="J206" t="n">
        <v>0</v>
      </c>
      <c r="K206" t="n">
        <v>0</v>
      </c>
      <c r="L206" t="n">
        <v>0</v>
      </c>
      <c r="M206" t="n">
        <v>0</v>
      </c>
      <c r="N206" t="n">
        <v>0</v>
      </c>
      <c r="O206" t="n">
        <v>0</v>
      </c>
      <c r="P206" t="n">
        <v>0</v>
      </c>
      <c r="Q206" t="n">
        <v>0</v>
      </c>
      <c r="R206" s="2" t="inlineStr"/>
    </row>
    <row r="207" ht="15" customHeight="1">
      <c r="A207" t="inlineStr">
        <is>
          <t>A 9518-2023</t>
        </is>
      </c>
      <c r="B207" s="1" t="n">
        <v>44981</v>
      </c>
      <c r="C207" s="1" t="n">
        <v>45932</v>
      </c>
      <c r="D207" t="inlineStr">
        <is>
          <t>ÖREBRO LÄN</t>
        </is>
      </c>
      <c r="E207" t="inlineStr">
        <is>
          <t>HÄLLEFORS</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19033-2021</t>
        </is>
      </c>
      <c r="B208" s="1" t="n">
        <v>44308</v>
      </c>
      <c r="C208" s="1" t="n">
        <v>45932</v>
      </c>
      <c r="D208" t="inlineStr">
        <is>
          <t>ÖREBRO LÄN</t>
        </is>
      </c>
      <c r="E208" t="inlineStr">
        <is>
          <t>HÄLLEFORS</t>
        </is>
      </c>
      <c r="G208" t="n">
        <v>7.8</v>
      </c>
      <c r="H208" t="n">
        <v>0</v>
      </c>
      <c r="I208" t="n">
        <v>0</v>
      </c>
      <c r="J208" t="n">
        <v>0</v>
      </c>
      <c r="K208" t="n">
        <v>0</v>
      </c>
      <c r="L208" t="n">
        <v>0</v>
      </c>
      <c r="M208" t="n">
        <v>0</v>
      </c>
      <c r="N208" t="n">
        <v>0</v>
      </c>
      <c r="O208" t="n">
        <v>0</v>
      </c>
      <c r="P208" t="n">
        <v>0</v>
      </c>
      <c r="Q208" t="n">
        <v>0</v>
      </c>
      <c r="R208" s="2" t="inlineStr"/>
    </row>
    <row r="209" ht="15" customHeight="1">
      <c r="A209" t="inlineStr">
        <is>
          <t>A 36276-2024</t>
        </is>
      </c>
      <c r="B209" s="1" t="n">
        <v>45534.58140046296</v>
      </c>
      <c r="C209" s="1" t="n">
        <v>45932</v>
      </c>
      <c r="D209" t="inlineStr">
        <is>
          <t>ÖREBRO LÄN</t>
        </is>
      </c>
      <c r="E209" t="inlineStr">
        <is>
          <t>HÄLLEFORS</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39031-2022</t>
        </is>
      </c>
      <c r="B210" s="1" t="n">
        <v>44817.34144675926</v>
      </c>
      <c r="C210" s="1" t="n">
        <v>45932</v>
      </c>
      <c r="D210" t="inlineStr">
        <is>
          <t>ÖREBRO LÄN</t>
        </is>
      </c>
      <c r="E210" t="inlineStr">
        <is>
          <t>HÄLLEFORS</t>
        </is>
      </c>
      <c r="F210" t="inlineStr">
        <is>
          <t>Sveaskog</t>
        </is>
      </c>
      <c r="G210" t="n">
        <v>2.3</v>
      </c>
      <c r="H210" t="n">
        <v>0</v>
      </c>
      <c r="I210" t="n">
        <v>0</v>
      </c>
      <c r="J210" t="n">
        <v>0</v>
      </c>
      <c r="K210" t="n">
        <v>0</v>
      </c>
      <c r="L210" t="n">
        <v>0</v>
      </c>
      <c r="M210" t="n">
        <v>0</v>
      </c>
      <c r="N210" t="n">
        <v>0</v>
      </c>
      <c r="O210" t="n">
        <v>0</v>
      </c>
      <c r="P210" t="n">
        <v>0</v>
      </c>
      <c r="Q210" t="n">
        <v>0</v>
      </c>
      <c r="R210" s="2" t="inlineStr"/>
    </row>
    <row r="211" ht="15" customHeight="1">
      <c r="A211" t="inlineStr">
        <is>
          <t>A 18889-2024</t>
        </is>
      </c>
      <c r="B211" s="1" t="n">
        <v>45427.26467592592</v>
      </c>
      <c r="C211" s="1" t="n">
        <v>45932</v>
      </c>
      <c r="D211" t="inlineStr">
        <is>
          <t>ÖREBRO LÄN</t>
        </is>
      </c>
      <c r="E211" t="inlineStr">
        <is>
          <t>HÄLLEFORS</t>
        </is>
      </c>
      <c r="G211" t="n">
        <v>8.5</v>
      </c>
      <c r="H211" t="n">
        <v>0</v>
      </c>
      <c r="I211" t="n">
        <v>0</v>
      </c>
      <c r="J211" t="n">
        <v>0</v>
      </c>
      <c r="K211" t="n">
        <v>0</v>
      </c>
      <c r="L211" t="n">
        <v>0</v>
      </c>
      <c r="M211" t="n">
        <v>0</v>
      </c>
      <c r="N211" t="n">
        <v>0</v>
      </c>
      <c r="O211" t="n">
        <v>0</v>
      </c>
      <c r="P211" t="n">
        <v>0</v>
      </c>
      <c r="Q211" t="n">
        <v>0</v>
      </c>
      <c r="R211" s="2" t="inlineStr"/>
    </row>
    <row r="212" ht="15" customHeight="1">
      <c r="A212" t="inlineStr">
        <is>
          <t>A 51488-2021</t>
        </is>
      </c>
      <c r="B212" s="1" t="n">
        <v>44460</v>
      </c>
      <c r="C212" s="1" t="n">
        <v>45932</v>
      </c>
      <c r="D212" t="inlineStr">
        <is>
          <t>ÖREBRO LÄN</t>
        </is>
      </c>
      <c r="E212" t="inlineStr">
        <is>
          <t>HÄLLEFORS</t>
        </is>
      </c>
      <c r="G212" t="n">
        <v>2.8</v>
      </c>
      <c r="H212" t="n">
        <v>0</v>
      </c>
      <c r="I212" t="n">
        <v>0</v>
      </c>
      <c r="J212" t="n">
        <v>0</v>
      </c>
      <c r="K212" t="n">
        <v>0</v>
      </c>
      <c r="L212" t="n">
        <v>0</v>
      </c>
      <c r="M212" t="n">
        <v>0</v>
      </c>
      <c r="N212" t="n">
        <v>0</v>
      </c>
      <c r="O212" t="n">
        <v>0</v>
      </c>
      <c r="P212" t="n">
        <v>0</v>
      </c>
      <c r="Q212" t="n">
        <v>0</v>
      </c>
      <c r="R212" s="2" t="inlineStr"/>
    </row>
    <row r="213" ht="15" customHeight="1">
      <c r="A213" t="inlineStr">
        <is>
          <t>A 28788-2022</t>
        </is>
      </c>
      <c r="B213" s="1" t="n">
        <v>44749.39806712963</v>
      </c>
      <c r="C213" s="1" t="n">
        <v>45932</v>
      </c>
      <c r="D213" t="inlineStr">
        <is>
          <t>ÖREBRO LÄN</t>
        </is>
      </c>
      <c r="E213" t="inlineStr">
        <is>
          <t>HÄLLEFORS</t>
        </is>
      </c>
      <c r="G213" t="n">
        <v>1.1</v>
      </c>
      <c r="H213" t="n">
        <v>0</v>
      </c>
      <c r="I213" t="n">
        <v>0</v>
      </c>
      <c r="J213" t="n">
        <v>0</v>
      </c>
      <c r="K213" t="n">
        <v>0</v>
      </c>
      <c r="L213" t="n">
        <v>0</v>
      </c>
      <c r="M213" t="n">
        <v>0</v>
      </c>
      <c r="N213" t="n">
        <v>0</v>
      </c>
      <c r="O213" t="n">
        <v>0</v>
      </c>
      <c r="P213" t="n">
        <v>0</v>
      </c>
      <c r="Q213" t="n">
        <v>0</v>
      </c>
      <c r="R213" s="2" t="inlineStr"/>
    </row>
    <row r="214" ht="15" customHeight="1">
      <c r="A214" t="inlineStr">
        <is>
          <t>A 55477-2023</t>
        </is>
      </c>
      <c r="B214" s="1" t="n">
        <v>45238</v>
      </c>
      <c r="C214" s="1" t="n">
        <v>45932</v>
      </c>
      <c r="D214" t="inlineStr">
        <is>
          <t>ÖREBRO LÄN</t>
        </is>
      </c>
      <c r="E214" t="inlineStr">
        <is>
          <t>HÄLLEFORS</t>
        </is>
      </c>
      <c r="F214" t="inlineStr">
        <is>
          <t>Bergvik skog väst AB</t>
        </is>
      </c>
      <c r="G214" t="n">
        <v>6.6</v>
      </c>
      <c r="H214" t="n">
        <v>0</v>
      </c>
      <c r="I214" t="n">
        <v>0</v>
      </c>
      <c r="J214" t="n">
        <v>0</v>
      </c>
      <c r="K214" t="n">
        <v>0</v>
      </c>
      <c r="L214" t="n">
        <v>0</v>
      </c>
      <c r="M214" t="n">
        <v>0</v>
      </c>
      <c r="N214" t="n">
        <v>0</v>
      </c>
      <c r="O214" t="n">
        <v>0</v>
      </c>
      <c r="P214" t="n">
        <v>0</v>
      </c>
      <c r="Q214" t="n">
        <v>0</v>
      </c>
      <c r="R214" s="2" t="inlineStr"/>
    </row>
    <row r="215" ht="15" customHeight="1">
      <c r="A215" t="inlineStr">
        <is>
          <t>A 9537-2025</t>
        </is>
      </c>
      <c r="B215" s="1" t="n">
        <v>45715.57903935185</v>
      </c>
      <c r="C215" s="1" t="n">
        <v>45932</v>
      </c>
      <c r="D215" t="inlineStr">
        <is>
          <t>ÖREBRO LÄN</t>
        </is>
      </c>
      <c r="E215" t="inlineStr">
        <is>
          <t>HÄLLEFORS</t>
        </is>
      </c>
      <c r="G215" t="n">
        <v>2.7</v>
      </c>
      <c r="H215" t="n">
        <v>0</v>
      </c>
      <c r="I215" t="n">
        <v>0</v>
      </c>
      <c r="J215" t="n">
        <v>0</v>
      </c>
      <c r="K215" t="n">
        <v>0</v>
      </c>
      <c r="L215" t="n">
        <v>0</v>
      </c>
      <c r="M215" t="n">
        <v>0</v>
      </c>
      <c r="N215" t="n">
        <v>0</v>
      </c>
      <c r="O215" t="n">
        <v>0</v>
      </c>
      <c r="P215" t="n">
        <v>0</v>
      </c>
      <c r="Q215" t="n">
        <v>0</v>
      </c>
      <c r="R215" s="2" t="inlineStr"/>
    </row>
    <row r="216" ht="15" customHeight="1">
      <c r="A216" t="inlineStr">
        <is>
          <t>A 20128-2024</t>
        </is>
      </c>
      <c r="B216" s="1" t="n">
        <v>45434.5571412037</v>
      </c>
      <c r="C216" s="1" t="n">
        <v>45932</v>
      </c>
      <c r="D216" t="inlineStr">
        <is>
          <t>ÖREBRO LÄN</t>
        </is>
      </c>
      <c r="E216" t="inlineStr">
        <is>
          <t>HÄLLEFORS</t>
        </is>
      </c>
      <c r="G216" t="n">
        <v>2.4</v>
      </c>
      <c r="H216" t="n">
        <v>0</v>
      </c>
      <c r="I216" t="n">
        <v>0</v>
      </c>
      <c r="J216" t="n">
        <v>0</v>
      </c>
      <c r="K216" t="n">
        <v>0</v>
      </c>
      <c r="L216" t="n">
        <v>0</v>
      </c>
      <c r="M216" t="n">
        <v>0</v>
      </c>
      <c r="N216" t="n">
        <v>0</v>
      </c>
      <c r="O216" t="n">
        <v>0</v>
      </c>
      <c r="P216" t="n">
        <v>0</v>
      </c>
      <c r="Q216" t="n">
        <v>0</v>
      </c>
      <c r="R216" s="2" t="inlineStr"/>
    </row>
    <row r="217" ht="15" customHeight="1">
      <c r="A217" t="inlineStr">
        <is>
          <t>A 15771-2022</t>
        </is>
      </c>
      <c r="B217" s="1" t="n">
        <v>44663.63033564815</v>
      </c>
      <c r="C217" s="1" t="n">
        <v>45932</v>
      </c>
      <c r="D217" t="inlineStr">
        <is>
          <t>ÖREBRO LÄN</t>
        </is>
      </c>
      <c r="E217" t="inlineStr">
        <is>
          <t>HÄLLEFORS</t>
        </is>
      </c>
      <c r="F217" t="inlineStr">
        <is>
          <t>Bergvik skog väst AB</t>
        </is>
      </c>
      <c r="G217" t="n">
        <v>4.4</v>
      </c>
      <c r="H217" t="n">
        <v>0</v>
      </c>
      <c r="I217" t="n">
        <v>0</v>
      </c>
      <c r="J217" t="n">
        <v>0</v>
      </c>
      <c r="K217" t="n">
        <v>0</v>
      </c>
      <c r="L217" t="n">
        <v>0</v>
      </c>
      <c r="M217" t="n">
        <v>0</v>
      </c>
      <c r="N217" t="n">
        <v>0</v>
      </c>
      <c r="O217" t="n">
        <v>0</v>
      </c>
      <c r="P217" t="n">
        <v>0</v>
      </c>
      <c r="Q217" t="n">
        <v>0</v>
      </c>
      <c r="R217" s="2" t="inlineStr"/>
    </row>
    <row r="218" ht="15" customHeight="1">
      <c r="A218" t="inlineStr">
        <is>
          <t>A 58768-2024</t>
        </is>
      </c>
      <c r="B218" s="1" t="n">
        <v>45635</v>
      </c>
      <c r="C218" s="1" t="n">
        <v>45932</v>
      </c>
      <c r="D218" t="inlineStr">
        <is>
          <t>ÖREBRO LÄN</t>
        </is>
      </c>
      <c r="E218" t="inlineStr">
        <is>
          <t>HÄLLEFORS</t>
        </is>
      </c>
      <c r="G218" t="n">
        <v>0.9</v>
      </c>
      <c r="H218" t="n">
        <v>0</v>
      </c>
      <c r="I218" t="n">
        <v>0</v>
      </c>
      <c r="J218" t="n">
        <v>0</v>
      </c>
      <c r="K218" t="n">
        <v>0</v>
      </c>
      <c r="L218" t="n">
        <v>0</v>
      </c>
      <c r="M218" t="n">
        <v>0</v>
      </c>
      <c r="N218" t="n">
        <v>0</v>
      </c>
      <c r="O218" t="n">
        <v>0</v>
      </c>
      <c r="P218" t="n">
        <v>0</v>
      </c>
      <c r="Q218" t="n">
        <v>0</v>
      </c>
      <c r="R218" s="2" t="inlineStr"/>
    </row>
    <row r="219" ht="15" customHeight="1">
      <c r="A219" t="inlineStr">
        <is>
          <t>A 51159-2023</t>
        </is>
      </c>
      <c r="B219" s="1" t="n">
        <v>45219.37791666666</v>
      </c>
      <c r="C219" s="1" t="n">
        <v>45932</v>
      </c>
      <c r="D219" t="inlineStr">
        <is>
          <t>ÖREBRO LÄN</t>
        </is>
      </c>
      <c r="E219" t="inlineStr">
        <is>
          <t>HÄLLEFORS</t>
        </is>
      </c>
      <c r="G219" t="n">
        <v>0.4</v>
      </c>
      <c r="H219" t="n">
        <v>0</v>
      </c>
      <c r="I219" t="n">
        <v>0</v>
      </c>
      <c r="J219" t="n">
        <v>0</v>
      </c>
      <c r="K219" t="n">
        <v>0</v>
      </c>
      <c r="L219" t="n">
        <v>0</v>
      </c>
      <c r="M219" t="n">
        <v>0</v>
      </c>
      <c r="N219" t="n">
        <v>0</v>
      </c>
      <c r="O219" t="n">
        <v>0</v>
      </c>
      <c r="P219" t="n">
        <v>0</v>
      </c>
      <c r="Q219" t="n">
        <v>0</v>
      </c>
      <c r="R219" s="2" t="inlineStr"/>
    </row>
    <row r="220" ht="15" customHeight="1">
      <c r="A220" t="inlineStr">
        <is>
          <t>A 43966-2024</t>
        </is>
      </c>
      <c r="B220" s="1" t="n">
        <v>45572.48516203704</v>
      </c>
      <c r="C220" s="1" t="n">
        <v>45932</v>
      </c>
      <c r="D220" t="inlineStr">
        <is>
          <t>ÖREBRO LÄN</t>
        </is>
      </c>
      <c r="E220" t="inlineStr">
        <is>
          <t>HÄLLEFORS</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39513-2024</t>
        </is>
      </c>
      <c r="B221" s="1" t="n">
        <v>45551</v>
      </c>
      <c r="C221" s="1" t="n">
        <v>45932</v>
      </c>
      <c r="D221" t="inlineStr">
        <is>
          <t>ÖREBRO LÄN</t>
        </is>
      </c>
      <c r="E221" t="inlineStr">
        <is>
          <t>HÄLLEFORS</t>
        </is>
      </c>
      <c r="G221" t="n">
        <v>0.7</v>
      </c>
      <c r="H221" t="n">
        <v>0</v>
      </c>
      <c r="I221" t="n">
        <v>0</v>
      </c>
      <c r="J221" t="n">
        <v>0</v>
      </c>
      <c r="K221" t="n">
        <v>0</v>
      </c>
      <c r="L221" t="n">
        <v>0</v>
      </c>
      <c r="M221" t="n">
        <v>0</v>
      </c>
      <c r="N221" t="n">
        <v>0</v>
      </c>
      <c r="O221" t="n">
        <v>0</v>
      </c>
      <c r="P221" t="n">
        <v>0</v>
      </c>
      <c r="Q221" t="n">
        <v>0</v>
      </c>
      <c r="R221" s="2" t="inlineStr"/>
    </row>
    <row r="222" ht="15" customHeight="1">
      <c r="A222" t="inlineStr">
        <is>
          <t>A 28024-2025</t>
        </is>
      </c>
      <c r="B222" s="1" t="n">
        <v>45817.62070601852</v>
      </c>
      <c r="C222" s="1" t="n">
        <v>45932</v>
      </c>
      <c r="D222" t="inlineStr">
        <is>
          <t>ÖREBRO LÄN</t>
        </is>
      </c>
      <c r="E222" t="inlineStr">
        <is>
          <t>HÄLLEFORS</t>
        </is>
      </c>
      <c r="G222" t="n">
        <v>1.7</v>
      </c>
      <c r="H222" t="n">
        <v>0</v>
      </c>
      <c r="I222" t="n">
        <v>0</v>
      </c>
      <c r="J222" t="n">
        <v>0</v>
      </c>
      <c r="K222" t="n">
        <v>0</v>
      </c>
      <c r="L222" t="n">
        <v>0</v>
      </c>
      <c r="M222" t="n">
        <v>0</v>
      </c>
      <c r="N222" t="n">
        <v>0</v>
      </c>
      <c r="O222" t="n">
        <v>0</v>
      </c>
      <c r="P222" t="n">
        <v>0</v>
      </c>
      <c r="Q222" t="n">
        <v>0</v>
      </c>
      <c r="R222" s="2" t="inlineStr"/>
    </row>
    <row r="223" ht="15" customHeight="1">
      <c r="A223" t="inlineStr">
        <is>
          <t>A 1018-2025</t>
        </is>
      </c>
      <c r="B223" s="1" t="n">
        <v>45666.49185185185</v>
      </c>
      <c r="C223" s="1" t="n">
        <v>45932</v>
      </c>
      <c r="D223" t="inlineStr">
        <is>
          <t>ÖREBRO LÄN</t>
        </is>
      </c>
      <c r="E223" t="inlineStr">
        <is>
          <t>HÄLLEFORS</t>
        </is>
      </c>
      <c r="G223" t="n">
        <v>0.8</v>
      </c>
      <c r="H223" t="n">
        <v>0</v>
      </c>
      <c r="I223" t="n">
        <v>0</v>
      </c>
      <c r="J223" t="n">
        <v>0</v>
      </c>
      <c r="K223" t="n">
        <v>0</v>
      </c>
      <c r="L223" t="n">
        <v>0</v>
      </c>
      <c r="M223" t="n">
        <v>0</v>
      </c>
      <c r="N223" t="n">
        <v>0</v>
      </c>
      <c r="O223" t="n">
        <v>0</v>
      </c>
      <c r="P223" t="n">
        <v>0</v>
      </c>
      <c r="Q223" t="n">
        <v>0</v>
      </c>
      <c r="R223" s="2" t="inlineStr"/>
    </row>
    <row r="224" ht="15" customHeight="1">
      <c r="A224" t="inlineStr">
        <is>
          <t>A 62265-2022</t>
        </is>
      </c>
      <c r="B224" s="1" t="n">
        <v>44923</v>
      </c>
      <c r="C224" s="1" t="n">
        <v>45932</v>
      </c>
      <c r="D224" t="inlineStr">
        <is>
          <t>ÖREBRO LÄN</t>
        </is>
      </c>
      <c r="E224" t="inlineStr">
        <is>
          <t>HÄLLEFORS</t>
        </is>
      </c>
      <c r="G224" t="n">
        <v>0.6</v>
      </c>
      <c r="H224" t="n">
        <v>0</v>
      </c>
      <c r="I224" t="n">
        <v>0</v>
      </c>
      <c r="J224" t="n">
        <v>0</v>
      </c>
      <c r="K224" t="n">
        <v>0</v>
      </c>
      <c r="L224" t="n">
        <v>0</v>
      </c>
      <c r="M224" t="n">
        <v>0</v>
      </c>
      <c r="N224" t="n">
        <v>0</v>
      </c>
      <c r="O224" t="n">
        <v>0</v>
      </c>
      <c r="P224" t="n">
        <v>0</v>
      </c>
      <c r="Q224" t="n">
        <v>0</v>
      </c>
      <c r="R224" s="2" t="inlineStr"/>
    </row>
    <row r="225" ht="15" customHeight="1">
      <c r="A225" t="inlineStr">
        <is>
          <t>A 29280-2025</t>
        </is>
      </c>
      <c r="B225" s="1" t="n">
        <v>45824</v>
      </c>
      <c r="C225" s="1" t="n">
        <v>45932</v>
      </c>
      <c r="D225" t="inlineStr">
        <is>
          <t>ÖREBRO LÄN</t>
        </is>
      </c>
      <c r="E225" t="inlineStr">
        <is>
          <t>HÄLLEFORS</t>
        </is>
      </c>
      <c r="F225" t="inlineStr">
        <is>
          <t>Bergvik skog väst AB</t>
        </is>
      </c>
      <c r="G225" t="n">
        <v>2.9</v>
      </c>
      <c r="H225" t="n">
        <v>0</v>
      </c>
      <c r="I225" t="n">
        <v>0</v>
      </c>
      <c r="J225" t="n">
        <v>0</v>
      </c>
      <c r="K225" t="n">
        <v>0</v>
      </c>
      <c r="L225" t="n">
        <v>0</v>
      </c>
      <c r="M225" t="n">
        <v>0</v>
      </c>
      <c r="N225" t="n">
        <v>0</v>
      </c>
      <c r="O225" t="n">
        <v>0</v>
      </c>
      <c r="P225" t="n">
        <v>0</v>
      </c>
      <c r="Q225" t="n">
        <v>0</v>
      </c>
      <c r="R225" s="2" t="inlineStr"/>
    </row>
    <row r="226" ht="15" customHeight="1">
      <c r="A226" t="inlineStr">
        <is>
          <t>A 4583-2025</t>
        </is>
      </c>
      <c r="B226" s="1" t="n">
        <v>45687.51539351852</v>
      </c>
      <c r="C226" s="1" t="n">
        <v>45932</v>
      </c>
      <c r="D226" t="inlineStr">
        <is>
          <t>ÖREBRO LÄN</t>
        </is>
      </c>
      <c r="E226" t="inlineStr">
        <is>
          <t>HÄLLEFORS</t>
        </is>
      </c>
      <c r="G226" t="n">
        <v>3.3</v>
      </c>
      <c r="H226" t="n">
        <v>0</v>
      </c>
      <c r="I226" t="n">
        <v>0</v>
      </c>
      <c r="J226" t="n">
        <v>0</v>
      </c>
      <c r="K226" t="n">
        <v>0</v>
      </c>
      <c r="L226" t="n">
        <v>0</v>
      </c>
      <c r="M226" t="n">
        <v>0</v>
      </c>
      <c r="N226" t="n">
        <v>0</v>
      </c>
      <c r="O226" t="n">
        <v>0</v>
      </c>
      <c r="P226" t="n">
        <v>0</v>
      </c>
      <c r="Q226" t="n">
        <v>0</v>
      </c>
      <c r="R226" s="2" t="inlineStr"/>
    </row>
    <row r="227" ht="15" customHeight="1">
      <c r="A227" t="inlineStr">
        <is>
          <t>A 28975-2025</t>
        </is>
      </c>
      <c r="B227" s="1" t="n">
        <v>45821</v>
      </c>
      <c r="C227" s="1" t="n">
        <v>45932</v>
      </c>
      <c r="D227" t="inlineStr">
        <is>
          <t>ÖREBRO LÄN</t>
        </is>
      </c>
      <c r="E227" t="inlineStr">
        <is>
          <t>HÄLLEFORS</t>
        </is>
      </c>
      <c r="G227" t="n">
        <v>1.9</v>
      </c>
      <c r="H227" t="n">
        <v>0</v>
      </c>
      <c r="I227" t="n">
        <v>0</v>
      </c>
      <c r="J227" t="n">
        <v>0</v>
      </c>
      <c r="K227" t="n">
        <v>0</v>
      </c>
      <c r="L227" t="n">
        <v>0</v>
      </c>
      <c r="M227" t="n">
        <v>0</v>
      </c>
      <c r="N227" t="n">
        <v>0</v>
      </c>
      <c r="O227" t="n">
        <v>0</v>
      </c>
      <c r="P227" t="n">
        <v>0</v>
      </c>
      <c r="Q227" t="n">
        <v>0</v>
      </c>
      <c r="R227" s="2" t="inlineStr"/>
    </row>
    <row r="228" ht="15" customHeight="1">
      <c r="A228" t="inlineStr">
        <is>
          <t>A 17072-2025</t>
        </is>
      </c>
      <c r="B228" s="1" t="n">
        <v>45755.61793981482</v>
      </c>
      <c r="C228" s="1" t="n">
        <v>45932</v>
      </c>
      <c r="D228" t="inlineStr">
        <is>
          <t>ÖREBRO LÄN</t>
        </is>
      </c>
      <c r="E228" t="inlineStr">
        <is>
          <t>HÄLLEFORS</t>
        </is>
      </c>
      <c r="F228" t="inlineStr">
        <is>
          <t>Bergvik skog väst AB</t>
        </is>
      </c>
      <c r="G228" t="n">
        <v>1.1</v>
      </c>
      <c r="H228" t="n">
        <v>0</v>
      </c>
      <c r="I228" t="n">
        <v>0</v>
      </c>
      <c r="J228" t="n">
        <v>0</v>
      </c>
      <c r="K228" t="n">
        <v>0</v>
      </c>
      <c r="L228" t="n">
        <v>0</v>
      </c>
      <c r="M228" t="n">
        <v>0</v>
      </c>
      <c r="N228" t="n">
        <v>0</v>
      </c>
      <c r="O228" t="n">
        <v>0</v>
      </c>
      <c r="P228" t="n">
        <v>0</v>
      </c>
      <c r="Q228" t="n">
        <v>0</v>
      </c>
      <c r="R228" s="2" t="inlineStr"/>
    </row>
    <row r="229" ht="15" customHeight="1">
      <c r="A229" t="inlineStr">
        <is>
          <t>A 28979-2025</t>
        </is>
      </c>
      <c r="B229" s="1" t="n">
        <v>45821.35136574074</v>
      </c>
      <c r="C229" s="1" t="n">
        <v>45932</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46980-2023</t>
        </is>
      </c>
      <c r="B230" s="1" t="n">
        <v>45201</v>
      </c>
      <c r="C230" s="1" t="n">
        <v>45932</v>
      </c>
      <c r="D230" t="inlineStr">
        <is>
          <t>ÖREBRO LÄN</t>
        </is>
      </c>
      <c r="E230" t="inlineStr">
        <is>
          <t>HÄLLEFORS</t>
        </is>
      </c>
      <c r="F230" t="inlineStr">
        <is>
          <t>Bergvik skog väst AB</t>
        </is>
      </c>
      <c r="G230" t="n">
        <v>7.5</v>
      </c>
      <c r="H230" t="n">
        <v>0</v>
      </c>
      <c r="I230" t="n">
        <v>0</v>
      </c>
      <c r="J230" t="n">
        <v>0</v>
      </c>
      <c r="K230" t="n">
        <v>0</v>
      </c>
      <c r="L230" t="n">
        <v>0</v>
      </c>
      <c r="M230" t="n">
        <v>0</v>
      </c>
      <c r="N230" t="n">
        <v>0</v>
      </c>
      <c r="O230" t="n">
        <v>0</v>
      </c>
      <c r="P230" t="n">
        <v>0</v>
      </c>
      <c r="Q230" t="n">
        <v>0</v>
      </c>
      <c r="R230" s="2" t="inlineStr"/>
    </row>
    <row r="231" ht="15" customHeight="1">
      <c r="A231" t="inlineStr">
        <is>
          <t>A 12082-2025</t>
        </is>
      </c>
      <c r="B231" s="1" t="n">
        <v>45728</v>
      </c>
      <c r="C231" s="1" t="n">
        <v>45932</v>
      </c>
      <c r="D231" t="inlineStr">
        <is>
          <t>ÖREBRO LÄN</t>
        </is>
      </c>
      <c r="E231" t="inlineStr">
        <is>
          <t>HÄLLEFORS</t>
        </is>
      </c>
      <c r="F231" t="inlineStr">
        <is>
          <t>Bergvik skog väst AB</t>
        </is>
      </c>
      <c r="G231" t="n">
        <v>3.4</v>
      </c>
      <c r="H231" t="n">
        <v>0</v>
      </c>
      <c r="I231" t="n">
        <v>0</v>
      </c>
      <c r="J231" t="n">
        <v>0</v>
      </c>
      <c r="K231" t="n">
        <v>0</v>
      </c>
      <c r="L231" t="n">
        <v>0</v>
      </c>
      <c r="M231" t="n">
        <v>0</v>
      </c>
      <c r="N231" t="n">
        <v>0</v>
      </c>
      <c r="O231" t="n">
        <v>0</v>
      </c>
      <c r="P231" t="n">
        <v>0</v>
      </c>
      <c r="Q231" t="n">
        <v>0</v>
      </c>
      <c r="R231" s="2" t="inlineStr"/>
    </row>
    <row r="232" ht="15" customHeight="1">
      <c r="A232" t="inlineStr">
        <is>
          <t>A 60518-2021</t>
        </is>
      </c>
      <c r="B232" s="1" t="n">
        <v>44496.5028125</v>
      </c>
      <c r="C232" s="1" t="n">
        <v>45932</v>
      </c>
      <c r="D232" t="inlineStr">
        <is>
          <t>ÖREBRO LÄN</t>
        </is>
      </c>
      <c r="E232" t="inlineStr">
        <is>
          <t>HÄLLEFORS</t>
        </is>
      </c>
      <c r="G232" t="n">
        <v>1.9</v>
      </c>
      <c r="H232" t="n">
        <v>0</v>
      </c>
      <c r="I232" t="n">
        <v>0</v>
      </c>
      <c r="J232" t="n">
        <v>0</v>
      </c>
      <c r="K232" t="n">
        <v>0</v>
      </c>
      <c r="L232" t="n">
        <v>0</v>
      </c>
      <c r="M232" t="n">
        <v>0</v>
      </c>
      <c r="N232" t="n">
        <v>0</v>
      </c>
      <c r="O232" t="n">
        <v>0</v>
      </c>
      <c r="P232" t="n">
        <v>0</v>
      </c>
      <c r="Q232" t="n">
        <v>0</v>
      </c>
      <c r="R232" s="2" t="inlineStr"/>
    </row>
    <row r="233" ht="15" customHeight="1">
      <c r="A233" t="inlineStr">
        <is>
          <t>A 21901-2023</t>
        </is>
      </c>
      <c r="B233" s="1" t="n">
        <v>45068.53265046296</v>
      </c>
      <c r="C233" s="1" t="n">
        <v>45932</v>
      </c>
      <c r="D233" t="inlineStr">
        <is>
          <t>ÖREBRO LÄN</t>
        </is>
      </c>
      <c r="E233" t="inlineStr">
        <is>
          <t>HÄLLEFORS</t>
        </is>
      </c>
      <c r="G233" t="n">
        <v>1.3</v>
      </c>
      <c r="H233" t="n">
        <v>0</v>
      </c>
      <c r="I233" t="n">
        <v>0</v>
      </c>
      <c r="J233" t="n">
        <v>0</v>
      </c>
      <c r="K233" t="n">
        <v>0</v>
      </c>
      <c r="L233" t="n">
        <v>0</v>
      </c>
      <c r="M233" t="n">
        <v>0</v>
      </c>
      <c r="N233" t="n">
        <v>0</v>
      </c>
      <c r="O233" t="n">
        <v>0</v>
      </c>
      <c r="P233" t="n">
        <v>0</v>
      </c>
      <c r="Q233" t="n">
        <v>0</v>
      </c>
      <c r="R233" s="2" t="inlineStr"/>
    </row>
    <row r="234" ht="15" customHeight="1">
      <c r="A234" t="inlineStr">
        <is>
          <t>A 17104-2025</t>
        </is>
      </c>
      <c r="B234" s="1" t="n">
        <v>45755.66199074074</v>
      </c>
      <c r="C234" s="1" t="n">
        <v>45932</v>
      </c>
      <c r="D234" t="inlineStr">
        <is>
          <t>ÖREBRO LÄN</t>
        </is>
      </c>
      <c r="E234" t="inlineStr">
        <is>
          <t>HÄLLEFORS</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29027-2024</t>
        </is>
      </c>
      <c r="B235" s="1" t="n">
        <v>45481.58833333333</v>
      </c>
      <c r="C235" s="1" t="n">
        <v>45932</v>
      </c>
      <c r="D235" t="inlineStr">
        <is>
          <t>ÖREBRO LÄN</t>
        </is>
      </c>
      <c r="E235" t="inlineStr">
        <is>
          <t>HÄLLEFORS</t>
        </is>
      </c>
      <c r="G235" t="n">
        <v>1.5</v>
      </c>
      <c r="H235" t="n">
        <v>0</v>
      </c>
      <c r="I235" t="n">
        <v>0</v>
      </c>
      <c r="J235" t="n">
        <v>0</v>
      </c>
      <c r="K235" t="n">
        <v>0</v>
      </c>
      <c r="L235" t="n">
        <v>0</v>
      </c>
      <c r="M235" t="n">
        <v>0</v>
      </c>
      <c r="N235" t="n">
        <v>0</v>
      </c>
      <c r="O235" t="n">
        <v>0</v>
      </c>
      <c r="P235" t="n">
        <v>0</v>
      </c>
      <c r="Q235" t="n">
        <v>0</v>
      </c>
      <c r="R235" s="2" t="inlineStr"/>
    </row>
    <row r="236" ht="15" customHeight="1">
      <c r="A236" t="inlineStr">
        <is>
          <t>A 18582-2025</t>
        </is>
      </c>
      <c r="B236" s="1" t="n">
        <v>45763</v>
      </c>
      <c r="C236" s="1" t="n">
        <v>45932</v>
      </c>
      <c r="D236" t="inlineStr">
        <is>
          <t>ÖREBRO LÄN</t>
        </is>
      </c>
      <c r="E236" t="inlineStr">
        <is>
          <t>HÄLLEFORS</t>
        </is>
      </c>
      <c r="F236" t="inlineStr">
        <is>
          <t>Bergvik skog väst AB</t>
        </is>
      </c>
      <c r="G236" t="n">
        <v>4.1</v>
      </c>
      <c r="H236" t="n">
        <v>0</v>
      </c>
      <c r="I236" t="n">
        <v>0</v>
      </c>
      <c r="J236" t="n">
        <v>0</v>
      </c>
      <c r="K236" t="n">
        <v>0</v>
      </c>
      <c r="L236" t="n">
        <v>0</v>
      </c>
      <c r="M236" t="n">
        <v>0</v>
      </c>
      <c r="N236" t="n">
        <v>0</v>
      </c>
      <c r="O236" t="n">
        <v>0</v>
      </c>
      <c r="P236" t="n">
        <v>0</v>
      </c>
      <c r="Q236" t="n">
        <v>0</v>
      </c>
      <c r="R236" s="2" t="inlineStr"/>
    </row>
    <row r="237" ht="15" customHeight="1">
      <c r="A237" t="inlineStr">
        <is>
          <t>A 5684-2025</t>
        </is>
      </c>
      <c r="B237" s="1" t="n">
        <v>45694</v>
      </c>
      <c r="C237" s="1" t="n">
        <v>45932</v>
      </c>
      <c r="D237" t="inlineStr">
        <is>
          <t>ÖREBRO LÄN</t>
        </is>
      </c>
      <c r="E237" t="inlineStr">
        <is>
          <t>HÄLLEFORS</t>
        </is>
      </c>
      <c r="F237" t="inlineStr">
        <is>
          <t>Bergvik skog väst AB</t>
        </is>
      </c>
      <c r="G237" t="n">
        <v>2.1</v>
      </c>
      <c r="H237" t="n">
        <v>0</v>
      </c>
      <c r="I237" t="n">
        <v>0</v>
      </c>
      <c r="J237" t="n">
        <v>0</v>
      </c>
      <c r="K237" t="n">
        <v>0</v>
      </c>
      <c r="L237" t="n">
        <v>0</v>
      </c>
      <c r="M237" t="n">
        <v>0</v>
      </c>
      <c r="N237" t="n">
        <v>0</v>
      </c>
      <c r="O237" t="n">
        <v>0</v>
      </c>
      <c r="P237" t="n">
        <v>0</v>
      </c>
      <c r="Q237" t="n">
        <v>0</v>
      </c>
      <c r="R237" s="2" t="inlineStr"/>
    </row>
    <row r="238" ht="15" customHeight="1">
      <c r="A238" t="inlineStr">
        <is>
          <t>A 9539-2025</t>
        </is>
      </c>
      <c r="B238" s="1" t="n">
        <v>45715.57984953704</v>
      </c>
      <c r="C238" s="1" t="n">
        <v>45932</v>
      </c>
      <c r="D238" t="inlineStr">
        <is>
          <t>ÖREBRO LÄN</t>
        </is>
      </c>
      <c r="E238" t="inlineStr">
        <is>
          <t>HÄLLEFORS</t>
        </is>
      </c>
      <c r="G238" t="n">
        <v>1.4</v>
      </c>
      <c r="H238" t="n">
        <v>0</v>
      </c>
      <c r="I238" t="n">
        <v>0</v>
      </c>
      <c r="J238" t="n">
        <v>0</v>
      </c>
      <c r="K238" t="n">
        <v>0</v>
      </c>
      <c r="L238" t="n">
        <v>0</v>
      </c>
      <c r="M238" t="n">
        <v>0</v>
      </c>
      <c r="N238" t="n">
        <v>0</v>
      </c>
      <c r="O238" t="n">
        <v>0</v>
      </c>
      <c r="P238" t="n">
        <v>0</v>
      </c>
      <c r="Q238" t="n">
        <v>0</v>
      </c>
      <c r="R238" s="2" t="inlineStr"/>
    </row>
    <row r="239" ht="15" customHeight="1">
      <c r="A239" t="inlineStr">
        <is>
          <t>A 27935-2023</t>
        </is>
      </c>
      <c r="B239" s="1" t="n">
        <v>45098.65641203704</v>
      </c>
      <c r="C239" s="1" t="n">
        <v>45932</v>
      </c>
      <c r="D239" t="inlineStr">
        <is>
          <t>ÖREBRO LÄN</t>
        </is>
      </c>
      <c r="E239" t="inlineStr">
        <is>
          <t>HÄLLEFORS</t>
        </is>
      </c>
      <c r="G239" t="n">
        <v>1.1</v>
      </c>
      <c r="H239" t="n">
        <v>0</v>
      </c>
      <c r="I239" t="n">
        <v>0</v>
      </c>
      <c r="J239" t="n">
        <v>0</v>
      </c>
      <c r="K239" t="n">
        <v>0</v>
      </c>
      <c r="L239" t="n">
        <v>0</v>
      </c>
      <c r="M239" t="n">
        <v>0</v>
      </c>
      <c r="N239" t="n">
        <v>0</v>
      </c>
      <c r="O239" t="n">
        <v>0</v>
      </c>
      <c r="P239" t="n">
        <v>0</v>
      </c>
      <c r="Q239" t="n">
        <v>0</v>
      </c>
      <c r="R239" s="2" t="inlineStr"/>
    </row>
    <row r="240" ht="15" customHeight="1">
      <c r="A240" t="inlineStr">
        <is>
          <t>A 30747-2025</t>
        </is>
      </c>
      <c r="B240" s="1" t="n">
        <v>45831.58487268518</v>
      </c>
      <c r="C240" s="1" t="n">
        <v>45932</v>
      </c>
      <c r="D240" t="inlineStr">
        <is>
          <t>ÖREBRO LÄN</t>
        </is>
      </c>
      <c r="E240" t="inlineStr">
        <is>
          <t>HÄLLEFORS</t>
        </is>
      </c>
      <c r="G240" t="n">
        <v>2.9</v>
      </c>
      <c r="H240" t="n">
        <v>0</v>
      </c>
      <c r="I240" t="n">
        <v>0</v>
      </c>
      <c r="J240" t="n">
        <v>0</v>
      </c>
      <c r="K240" t="n">
        <v>0</v>
      </c>
      <c r="L240" t="n">
        <v>0</v>
      </c>
      <c r="M240" t="n">
        <v>0</v>
      </c>
      <c r="N240" t="n">
        <v>0</v>
      </c>
      <c r="O240" t="n">
        <v>0</v>
      </c>
      <c r="P240" t="n">
        <v>0</v>
      </c>
      <c r="Q240" t="n">
        <v>0</v>
      </c>
      <c r="R240" s="2" t="inlineStr"/>
    </row>
    <row r="241" ht="15" customHeight="1">
      <c r="A241" t="inlineStr">
        <is>
          <t>A 38532-2025</t>
        </is>
      </c>
      <c r="B241" s="1" t="n">
        <v>45884</v>
      </c>
      <c r="C241" s="1" t="n">
        <v>45932</v>
      </c>
      <c r="D241" t="inlineStr">
        <is>
          <t>ÖREBRO LÄN</t>
        </is>
      </c>
      <c r="E241" t="inlineStr">
        <is>
          <t>HÄLLEFORS</t>
        </is>
      </c>
      <c r="F241" t="inlineStr">
        <is>
          <t>Bergvik skog väst AB</t>
        </is>
      </c>
      <c r="G241" t="n">
        <v>6.6</v>
      </c>
      <c r="H241" t="n">
        <v>0</v>
      </c>
      <c r="I241" t="n">
        <v>0</v>
      </c>
      <c r="J241" t="n">
        <v>0</v>
      </c>
      <c r="K241" t="n">
        <v>0</v>
      </c>
      <c r="L241" t="n">
        <v>0</v>
      </c>
      <c r="M241" t="n">
        <v>0</v>
      </c>
      <c r="N241" t="n">
        <v>0</v>
      </c>
      <c r="O241" t="n">
        <v>0</v>
      </c>
      <c r="P241" t="n">
        <v>0</v>
      </c>
      <c r="Q241" t="n">
        <v>0</v>
      </c>
      <c r="R241" s="2" t="inlineStr"/>
    </row>
    <row r="242" ht="15" customHeight="1">
      <c r="A242" t="inlineStr">
        <is>
          <t>A 23036-2024</t>
        </is>
      </c>
      <c r="B242" s="1" t="n">
        <v>45450.39145833333</v>
      </c>
      <c r="C242" s="1" t="n">
        <v>45932</v>
      </c>
      <c r="D242" t="inlineStr">
        <is>
          <t>ÖREBRO LÄN</t>
        </is>
      </c>
      <c r="E242" t="inlineStr">
        <is>
          <t>HÄLLEFORS</t>
        </is>
      </c>
      <c r="G242" t="n">
        <v>1.5</v>
      </c>
      <c r="H242" t="n">
        <v>0</v>
      </c>
      <c r="I242" t="n">
        <v>0</v>
      </c>
      <c r="J242" t="n">
        <v>0</v>
      </c>
      <c r="K242" t="n">
        <v>0</v>
      </c>
      <c r="L242" t="n">
        <v>0</v>
      </c>
      <c r="M242" t="n">
        <v>0</v>
      </c>
      <c r="N242" t="n">
        <v>0</v>
      </c>
      <c r="O242" t="n">
        <v>0</v>
      </c>
      <c r="P242" t="n">
        <v>0</v>
      </c>
      <c r="Q242" t="n">
        <v>0</v>
      </c>
      <c r="R242" s="2" t="inlineStr"/>
    </row>
    <row r="243" ht="15" customHeight="1">
      <c r="A243" t="inlineStr">
        <is>
          <t>A 60312-2024</t>
        </is>
      </c>
      <c r="B243" s="1" t="n">
        <v>45643</v>
      </c>
      <c r="C243" s="1" t="n">
        <v>45932</v>
      </c>
      <c r="D243" t="inlineStr">
        <is>
          <t>ÖREBRO LÄN</t>
        </is>
      </c>
      <c r="E243" t="inlineStr">
        <is>
          <t>HÄLLEFORS</t>
        </is>
      </c>
      <c r="F243" t="inlineStr">
        <is>
          <t>Bergvik skog väst AB</t>
        </is>
      </c>
      <c r="G243" t="n">
        <v>1.6</v>
      </c>
      <c r="H243" t="n">
        <v>0</v>
      </c>
      <c r="I243" t="n">
        <v>0</v>
      </c>
      <c r="J243" t="n">
        <v>0</v>
      </c>
      <c r="K243" t="n">
        <v>0</v>
      </c>
      <c r="L243" t="n">
        <v>0</v>
      </c>
      <c r="M243" t="n">
        <v>0</v>
      </c>
      <c r="N243" t="n">
        <v>0</v>
      </c>
      <c r="O243" t="n">
        <v>0</v>
      </c>
      <c r="P243" t="n">
        <v>0</v>
      </c>
      <c r="Q243" t="n">
        <v>0</v>
      </c>
      <c r="R243" s="2" t="inlineStr"/>
    </row>
    <row r="244" ht="15" customHeight="1">
      <c r="A244" t="inlineStr">
        <is>
          <t>A 44905-2021</t>
        </is>
      </c>
      <c r="B244" s="1" t="n">
        <v>44438.65045138889</v>
      </c>
      <c r="C244" s="1" t="n">
        <v>45932</v>
      </c>
      <c r="D244" t="inlineStr">
        <is>
          <t>ÖREBRO LÄN</t>
        </is>
      </c>
      <c r="E244" t="inlineStr">
        <is>
          <t>HÄLLEFORS</t>
        </is>
      </c>
      <c r="F244" t="inlineStr">
        <is>
          <t>Sveaskog</t>
        </is>
      </c>
      <c r="G244" t="n">
        <v>5.3</v>
      </c>
      <c r="H244" t="n">
        <v>0</v>
      </c>
      <c r="I244" t="n">
        <v>0</v>
      </c>
      <c r="J244" t="n">
        <v>0</v>
      </c>
      <c r="K244" t="n">
        <v>0</v>
      </c>
      <c r="L244" t="n">
        <v>0</v>
      </c>
      <c r="M244" t="n">
        <v>0</v>
      </c>
      <c r="N244" t="n">
        <v>0</v>
      </c>
      <c r="O244" t="n">
        <v>0</v>
      </c>
      <c r="P244" t="n">
        <v>0</v>
      </c>
      <c r="Q244" t="n">
        <v>0</v>
      </c>
      <c r="R244" s="2" t="inlineStr"/>
    </row>
    <row r="245" ht="15" customHeight="1">
      <c r="A245" t="inlineStr">
        <is>
          <t>A 67027-2021</t>
        </is>
      </c>
      <c r="B245" s="1" t="n">
        <v>44522.66836805556</v>
      </c>
      <c r="C245" s="1" t="n">
        <v>45932</v>
      </c>
      <c r="D245" t="inlineStr">
        <is>
          <t>ÖREBRO LÄN</t>
        </is>
      </c>
      <c r="E245" t="inlineStr">
        <is>
          <t>HÄLLEFORS</t>
        </is>
      </c>
      <c r="G245" t="n">
        <v>1.7</v>
      </c>
      <c r="H245" t="n">
        <v>0</v>
      </c>
      <c r="I245" t="n">
        <v>0</v>
      </c>
      <c r="J245" t="n">
        <v>0</v>
      </c>
      <c r="K245" t="n">
        <v>0</v>
      </c>
      <c r="L245" t="n">
        <v>0</v>
      </c>
      <c r="M245" t="n">
        <v>0</v>
      </c>
      <c r="N245" t="n">
        <v>0</v>
      </c>
      <c r="O245" t="n">
        <v>0</v>
      </c>
      <c r="P245" t="n">
        <v>0</v>
      </c>
      <c r="Q245" t="n">
        <v>0</v>
      </c>
      <c r="R245" s="2" t="inlineStr"/>
    </row>
    <row r="246" ht="15" customHeight="1">
      <c r="A246" t="inlineStr">
        <is>
          <t>A 51213-2023</t>
        </is>
      </c>
      <c r="B246" s="1" t="n">
        <v>45219.44515046296</v>
      </c>
      <c r="C246" s="1" t="n">
        <v>45932</v>
      </c>
      <c r="D246" t="inlineStr">
        <is>
          <t>ÖREBRO LÄN</t>
        </is>
      </c>
      <c r="E246" t="inlineStr">
        <is>
          <t>HÄLLEFORS</t>
        </is>
      </c>
      <c r="F246" t="inlineStr">
        <is>
          <t>Bergvik skog väst AB</t>
        </is>
      </c>
      <c r="G246" t="n">
        <v>3.5</v>
      </c>
      <c r="H246" t="n">
        <v>0</v>
      </c>
      <c r="I246" t="n">
        <v>0</v>
      </c>
      <c r="J246" t="n">
        <v>0</v>
      </c>
      <c r="K246" t="n">
        <v>0</v>
      </c>
      <c r="L246" t="n">
        <v>0</v>
      </c>
      <c r="M246" t="n">
        <v>0</v>
      </c>
      <c r="N246" t="n">
        <v>0</v>
      </c>
      <c r="O246" t="n">
        <v>0</v>
      </c>
      <c r="P246" t="n">
        <v>0</v>
      </c>
      <c r="Q246" t="n">
        <v>0</v>
      </c>
      <c r="R246" s="2" t="inlineStr"/>
    </row>
    <row r="247" ht="15" customHeight="1">
      <c r="A247" t="inlineStr">
        <is>
          <t>A 18715-2025</t>
        </is>
      </c>
      <c r="B247" s="1" t="n">
        <v>45763.64383101852</v>
      </c>
      <c r="C247" s="1" t="n">
        <v>45932</v>
      </c>
      <c r="D247" t="inlineStr">
        <is>
          <t>ÖREBRO LÄN</t>
        </is>
      </c>
      <c r="E247" t="inlineStr">
        <is>
          <t>HÄLLEFORS</t>
        </is>
      </c>
      <c r="F247" t="inlineStr">
        <is>
          <t>Bergvik skog väst AB</t>
        </is>
      </c>
      <c r="G247" t="n">
        <v>4.1</v>
      </c>
      <c r="H247" t="n">
        <v>0</v>
      </c>
      <c r="I247" t="n">
        <v>0</v>
      </c>
      <c r="J247" t="n">
        <v>0</v>
      </c>
      <c r="K247" t="n">
        <v>0</v>
      </c>
      <c r="L247" t="n">
        <v>0</v>
      </c>
      <c r="M247" t="n">
        <v>0</v>
      </c>
      <c r="N247" t="n">
        <v>0</v>
      </c>
      <c r="O247" t="n">
        <v>0</v>
      </c>
      <c r="P247" t="n">
        <v>0</v>
      </c>
      <c r="Q247" t="n">
        <v>0</v>
      </c>
      <c r="R247" s="2" t="inlineStr"/>
    </row>
    <row r="248" ht="15" customHeight="1">
      <c r="A248" t="inlineStr">
        <is>
          <t>A 5263-2025</t>
        </is>
      </c>
      <c r="B248" s="1" t="n">
        <v>45692.37509259259</v>
      </c>
      <c r="C248" s="1" t="n">
        <v>45932</v>
      </c>
      <c r="D248" t="inlineStr">
        <is>
          <t>ÖREBRO LÄN</t>
        </is>
      </c>
      <c r="E248" t="inlineStr">
        <is>
          <t>HÄLLEFORS</t>
        </is>
      </c>
      <c r="F248" t="inlineStr">
        <is>
          <t>Bergvik skog väst AB</t>
        </is>
      </c>
      <c r="G248" t="n">
        <v>2.1</v>
      </c>
      <c r="H248" t="n">
        <v>0</v>
      </c>
      <c r="I248" t="n">
        <v>0</v>
      </c>
      <c r="J248" t="n">
        <v>0</v>
      </c>
      <c r="K248" t="n">
        <v>0</v>
      </c>
      <c r="L248" t="n">
        <v>0</v>
      </c>
      <c r="M248" t="n">
        <v>0</v>
      </c>
      <c r="N248" t="n">
        <v>0</v>
      </c>
      <c r="O248" t="n">
        <v>0</v>
      </c>
      <c r="P248" t="n">
        <v>0</v>
      </c>
      <c r="Q248" t="n">
        <v>0</v>
      </c>
      <c r="R248" s="2" t="inlineStr"/>
    </row>
    <row r="249" ht="15" customHeight="1">
      <c r="A249" t="inlineStr">
        <is>
          <t>A 29884-2022</t>
        </is>
      </c>
      <c r="B249" s="1" t="n">
        <v>44756</v>
      </c>
      <c r="C249" s="1" t="n">
        <v>45932</v>
      </c>
      <c r="D249" t="inlineStr">
        <is>
          <t>ÖREBRO LÄN</t>
        </is>
      </c>
      <c r="E249" t="inlineStr">
        <is>
          <t>HÄLLEFORS</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41193-2023</t>
        </is>
      </c>
      <c r="B250" s="1" t="n">
        <v>45174</v>
      </c>
      <c r="C250" s="1" t="n">
        <v>45932</v>
      </c>
      <c r="D250" t="inlineStr">
        <is>
          <t>ÖREBRO LÄN</t>
        </is>
      </c>
      <c r="E250" t="inlineStr">
        <is>
          <t>HÄLLEFORS</t>
        </is>
      </c>
      <c r="F250" t="inlineStr">
        <is>
          <t>Bergvik skog väst AB</t>
        </is>
      </c>
      <c r="G250" t="n">
        <v>10.9</v>
      </c>
      <c r="H250" t="n">
        <v>0</v>
      </c>
      <c r="I250" t="n">
        <v>0</v>
      </c>
      <c r="J250" t="n">
        <v>0</v>
      </c>
      <c r="K250" t="n">
        <v>0</v>
      </c>
      <c r="L250" t="n">
        <v>0</v>
      </c>
      <c r="M250" t="n">
        <v>0</v>
      </c>
      <c r="N250" t="n">
        <v>0</v>
      </c>
      <c r="O250" t="n">
        <v>0</v>
      </c>
      <c r="P250" t="n">
        <v>0</v>
      </c>
      <c r="Q250" t="n">
        <v>0</v>
      </c>
      <c r="R250" s="2" t="inlineStr"/>
    </row>
    <row r="251" ht="15" customHeight="1">
      <c r="A251" t="inlineStr">
        <is>
          <t>A 41810-2023</t>
        </is>
      </c>
      <c r="B251" s="1" t="n">
        <v>45176</v>
      </c>
      <c r="C251" s="1" t="n">
        <v>45932</v>
      </c>
      <c r="D251" t="inlineStr">
        <is>
          <t>ÖREBRO LÄN</t>
        </is>
      </c>
      <c r="E251" t="inlineStr">
        <is>
          <t>HÄLLEFORS</t>
        </is>
      </c>
      <c r="F251" t="inlineStr">
        <is>
          <t>Bergvik skog väst AB</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55300-2023</t>
        </is>
      </c>
      <c r="B252" s="1" t="n">
        <v>45237.83621527778</v>
      </c>
      <c r="C252" s="1" t="n">
        <v>45932</v>
      </c>
      <c r="D252" t="inlineStr">
        <is>
          <t>ÖREBRO LÄN</t>
        </is>
      </c>
      <c r="E252" t="inlineStr">
        <is>
          <t>HÄLLEFORS</t>
        </is>
      </c>
      <c r="F252" t="inlineStr">
        <is>
          <t>Bergvik skog väst AB</t>
        </is>
      </c>
      <c r="G252" t="n">
        <v>5.1</v>
      </c>
      <c r="H252" t="n">
        <v>0</v>
      </c>
      <c r="I252" t="n">
        <v>0</v>
      </c>
      <c r="J252" t="n">
        <v>0</v>
      </c>
      <c r="K252" t="n">
        <v>0</v>
      </c>
      <c r="L252" t="n">
        <v>0</v>
      </c>
      <c r="M252" t="n">
        <v>0</v>
      </c>
      <c r="N252" t="n">
        <v>0</v>
      </c>
      <c r="O252" t="n">
        <v>0</v>
      </c>
      <c r="P252" t="n">
        <v>0</v>
      </c>
      <c r="Q252" t="n">
        <v>0</v>
      </c>
      <c r="R252" s="2" t="inlineStr"/>
    </row>
    <row r="253" ht="15" customHeight="1">
      <c r="A253" t="inlineStr">
        <is>
          <t>A 32217-2025</t>
        </is>
      </c>
      <c r="B253" s="1" t="n">
        <v>45835.58846064815</v>
      </c>
      <c r="C253" s="1" t="n">
        <v>45932</v>
      </c>
      <c r="D253" t="inlineStr">
        <is>
          <t>ÖREBRO LÄN</t>
        </is>
      </c>
      <c r="E253" t="inlineStr">
        <is>
          <t>HÄLLEFORS</t>
        </is>
      </c>
      <c r="F253" t="inlineStr">
        <is>
          <t>Bergvik skog väst AB</t>
        </is>
      </c>
      <c r="G253" t="n">
        <v>4.4</v>
      </c>
      <c r="H253" t="n">
        <v>0</v>
      </c>
      <c r="I253" t="n">
        <v>0</v>
      </c>
      <c r="J253" t="n">
        <v>0</v>
      </c>
      <c r="K253" t="n">
        <v>0</v>
      </c>
      <c r="L253" t="n">
        <v>0</v>
      </c>
      <c r="M253" t="n">
        <v>0</v>
      </c>
      <c r="N253" t="n">
        <v>0</v>
      </c>
      <c r="O253" t="n">
        <v>0</v>
      </c>
      <c r="P253" t="n">
        <v>0</v>
      </c>
      <c r="Q253" t="n">
        <v>0</v>
      </c>
      <c r="R253" s="2" t="inlineStr"/>
    </row>
    <row r="254" ht="15" customHeight="1">
      <c r="A254" t="inlineStr">
        <is>
          <t>A 18535-2025</t>
        </is>
      </c>
      <c r="B254" s="1" t="n">
        <v>45763</v>
      </c>
      <c r="C254" s="1" t="n">
        <v>45932</v>
      </c>
      <c r="D254" t="inlineStr">
        <is>
          <t>ÖREBRO LÄN</t>
        </is>
      </c>
      <c r="E254" t="inlineStr">
        <is>
          <t>HÄLLEFORS</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46667-2025</t>
        </is>
      </c>
      <c r="B255" s="1" t="n">
        <v>45926.52738425926</v>
      </c>
      <c r="C255" s="1" t="n">
        <v>45932</v>
      </c>
      <c r="D255" t="inlineStr">
        <is>
          <t>ÖREBRO LÄN</t>
        </is>
      </c>
      <c r="E255" t="inlineStr">
        <is>
          <t>HÄLLEFORS</t>
        </is>
      </c>
      <c r="G255" t="n">
        <v>3.9</v>
      </c>
      <c r="H255" t="n">
        <v>0</v>
      </c>
      <c r="I255" t="n">
        <v>0</v>
      </c>
      <c r="J255" t="n">
        <v>0</v>
      </c>
      <c r="K255" t="n">
        <v>0</v>
      </c>
      <c r="L255" t="n">
        <v>0</v>
      </c>
      <c r="M255" t="n">
        <v>0</v>
      </c>
      <c r="N255" t="n">
        <v>0</v>
      </c>
      <c r="O255" t="n">
        <v>0</v>
      </c>
      <c r="P255" t="n">
        <v>0</v>
      </c>
      <c r="Q255" t="n">
        <v>0</v>
      </c>
      <c r="R255" s="2" t="inlineStr"/>
    </row>
    <row r="256" ht="15" customHeight="1">
      <c r="A256" t="inlineStr">
        <is>
          <t>A 2079-2024</t>
        </is>
      </c>
      <c r="B256" s="1" t="n">
        <v>45309</v>
      </c>
      <c r="C256" s="1" t="n">
        <v>45932</v>
      </c>
      <c r="D256" t="inlineStr">
        <is>
          <t>ÖREBRO LÄN</t>
        </is>
      </c>
      <c r="E256" t="inlineStr">
        <is>
          <t>HÄLLEFORS</t>
        </is>
      </c>
      <c r="G256" t="n">
        <v>0.4</v>
      </c>
      <c r="H256" t="n">
        <v>0</v>
      </c>
      <c r="I256" t="n">
        <v>0</v>
      </c>
      <c r="J256" t="n">
        <v>0</v>
      </c>
      <c r="K256" t="n">
        <v>0</v>
      </c>
      <c r="L256" t="n">
        <v>0</v>
      </c>
      <c r="M256" t="n">
        <v>0</v>
      </c>
      <c r="N256" t="n">
        <v>0</v>
      </c>
      <c r="O256" t="n">
        <v>0</v>
      </c>
      <c r="P256" t="n">
        <v>0</v>
      </c>
      <c r="Q256" t="n">
        <v>0</v>
      </c>
      <c r="R256" s="2" t="inlineStr"/>
    </row>
    <row r="257" ht="15" customHeight="1">
      <c r="A257" t="inlineStr">
        <is>
          <t>A 59976-2024</t>
        </is>
      </c>
      <c r="B257" s="1" t="n">
        <v>45642.37226851852</v>
      </c>
      <c r="C257" s="1" t="n">
        <v>45932</v>
      </c>
      <c r="D257" t="inlineStr">
        <is>
          <t>ÖREBRO LÄN</t>
        </is>
      </c>
      <c r="E257" t="inlineStr">
        <is>
          <t>HÄLLEFORS</t>
        </is>
      </c>
      <c r="F257" t="inlineStr">
        <is>
          <t>Bergvik skog väst AB</t>
        </is>
      </c>
      <c r="G257" t="n">
        <v>8.9</v>
      </c>
      <c r="H257" t="n">
        <v>0</v>
      </c>
      <c r="I257" t="n">
        <v>0</v>
      </c>
      <c r="J257" t="n">
        <v>0</v>
      </c>
      <c r="K257" t="n">
        <v>0</v>
      </c>
      <c r="L257" t="n">
        <v>0</v>
      </c>
      <c r="M257" t="n">
        <v>0</v>
      </c>
      <c r="N257" t="n">
        <v>0</v>
      </c>
      <c r="O257" t="n">
        <v>0</v>
      </c>
      <c r="P257" t="n">
        <v>0</v>
      </c>
      <c r="Q257" t="n">
        <v>0</v>
      </c>
      <c r="R257" s="2" t="inlineStr"/>
    </row>
    <row r="258" ht="15" customHeight="1">
      <c r="A258" t="inlineStr">
        <is>
          <t>A 67439-2021</t>
        </is>
      </c>
      <c r="B258" s="1" t="n">
        <v>44523</v>
      </c>
      <c r="C258" s="1" t="n">
        <v>45932</v>
      </c>
      <c r="D258" t="inlineStr">
        <is>
          <t>ÖREBRO LÄN</t>
        </is>
      </c>
      <c r="E258" t="inlineStr">
        <is>
          <t>HÄLLEFORS</t>
        </is>
      </c>
      <c r="G258" t="n">
        <v>1.9</v>
      </c>
      <c r="H258" t="n">
        <v>0</v>
      </c>
      <c r="I258" t="n">
        <v>0</v>
      </c>
      <c r="J258" t="n">
        <v>0</v>
      </c>
      <c r="K258" t="n">
        <v>0</v>
      </c>
      <c r="L258" t="n">
        <v>0</v>
      </c>
      <c r="M258" t="n">
        <v>0</v>
      </c>
      <c r="N258" t="n">
        <v>0</v>
      </c>
      <c r="O258" t="n">
        <v>0</v>
      </c>
      <c r="P258" t="n">
        <v>0</v>
      </c>
      <c r="Q258" t="n">
        <v>0</v>
      </c>
      <c r="R258" s="2" t="inlineStr"/>
    </row>
    <row r="259" ht="15" customHeight="1">
      <c r="A259" t="inlineStr">
        <is>
          <t>A 18979-2025</t>
        </is>
      </c>
      <c r="B259" s="1" t="n">
        <v>45764.55017361111</v>
      </c>
      <c r="C259" s="1" t="n">
        <v>45932</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32808-2025</t>
        </is>
      </c>
      <c r="B260" s="1" t="n">
        <v>45839.50719907408</v>
      </c>
      <c r="C260" s="1" t="n">
        <v>45932</v>
      </c>
      <c r="D260" t="inlineStr">
        <is>
          <t>ÖREBRO LÄN</t>
        </is>
      </c>
      <c r="E260" t="inlineStr">
        <is>
          <t>HÄLLEFORS</t>
        </is>
      </c>
      <c r="G260" t="n">
        <v>4.3</v>
      </c>
      <c r="H260" t="n">
        <v>0</v>
      </c>
      <c r="I260" t="n">
        <v>0</v>
      </c>
      <c r="J260" t="n">
        <v>0</v>
      </c>
      <c r="K260" t="n">
        <v>0</v>
      </c>
      <c r="L260" t="n">
        <v>0</v>
      </c>
      <c r="M260" t="n">
        <v>0</v>
      </c>
      <c r="N260" t="n">
        <v>0</v>
      </c>
      <c r="O260" t="n">
        <v>0</v>
      </c>
      <c r="P260" t="n">
        <v>0</v>
      </c>
      <c r="Q260" t="n">
        <v>0</v>
      </c>
      <c r="R260" s="2" t="inlineStr"/>
    </row>
    <row r="261" ht="15" customHeight="1">
      <c r="A261" t="inlineStr">
        <is>
          <t>A 6761-2025</t>
        </is>
      </c>
      <c r="B261" s="1" t="n">
        <v>45700.62762731482</v>
      </c>
      <c r="C261" s="1" t="n">
        <v>45932</v>
      </c>
      <c r="D261" t="inlineStr">
        <is>
          <t>ÖREBRO LÄN</t>
        </is>
      </c>
      <c r="E261" t="inlineStr">
        <is>
          <t>HÄLLEFORS</t>
        </is>
      </c>
      <c r="G261" t="n">
        <v>2.4</v>
      </c>
      <c r="H261" t="n">
        <v>0</v>
      </c>
      <c r="I261" t="n">
        <v>0</v>
      </c>
      <c r="J261" t="n">
        <v>0</v>
      </c>
      <c r="K261" t="n">
        <v>0</v>
      </c>
      <c r="L261" t="n">
        <v>0</v>
      </c>
      <c r="M261" t="n">
        <v>0</v>
      </c>
      <c r="N261" t="n">
        <v>0</v>
      </c>
      <c r="O261" t="n">
        <v>0</v>
      </c>
      <c r="P261" t="n">
        <v>0</v>
      </c>
      <c r="Q261" t="n">
        <v>0</v>
      </c>
      <c r="R261" s="2" t="inlineStr"/>
    </row>
    <row r="262" ht="15" customHeight="1">
      <c r="A262" t="inlineStr">
        <is>
          <t>A 32813-2025</t>
        </is>
      </c>
      <c r="B262" s="1" t="n">
        <v>45839.51949074074</v>
      </c>
      <c r="C262" s="1" t="n">
        <v>45932</v>
      </c>
      <c r="D262" t="inlineStr">
        <is>
          <t>ÖREBRO LÄN</t>
        </is>
      </c>
      <c r="E262" t="inlineStr">
        <is>
          <t>HÄLLEFORS</t>
        </is>
      </c>
      <c r="G262" t="n">
        <v>3.5</v>
      </c>
      <c r="H262" t="n">
        <v>0</v>
      </c>
      <c r="I262" t="n">
        <v>0</v>
      </c>
      <c r="J262" t="n">
        <v>0</v>
      </c>
      <c r="K262" t="n">
        <v>0</v>
      </c>
      <c r="L262" t="n">
        <v>0</v>
      </c>
      <c r="M262" t="n">
        <v>0</v>
      </c>
      <c r="N262" t="n">
        <v>0</v>
      </c>
      <c r="O262" t="n">
        <v>0</v>
      </c>
      <c r="P262" t="n">
        <v>0</v>
      </c>
      <c r="Q262" t="n">
        <v>0</v>
      </c>
      <c r="R262" s="2" t="inlineStr"/>
    </row>
    <row r="263" ht="15" customHeight="1">
      <c r="A263" t="inlineStr">
        <is>
          <t>A 23561-2023</t>
        </is>
      </c>
      <c r="B263" s="1" t="n">
        <v>45077.39368055556</v>
      </c>
      <c r="C263" s="1" t="n">
        <v>45932</v>
      </c>
      <c r="D263" t="inlineStr">
        <is>
          <t>ÖREBRO LÄN</t>
        </is>
      </c>
      <c r="E263" t="inlineStr">
        <is>
          <t>HÄLLEFORS</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35862-2024</t>
        </is>
      </c>
      <c r="B264" s="1" t="n">
        <v>45533.33909722222</v>
      </c>
      <c r="C264" s="1" t="n">
        <v>45932</v>
      </c>
      <c r="D264" t="inlineStr">
        <is>
          <t>ÖREBRO LÄN</t>
        </is>
      </c>
      <c r="E264" t="inlineStr">
        <is>
          <t>HÄLLEFORS</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51088-2022</t>
        </is>
      </c>
      <c r="B265" s="1" t="n">
        <v>44868.3935300926</v>
      </c>
      <c r="C265" s="1" t="n">
        <v>45932</v>
      </c>
      <c r="D265" t="inlineStr">
        <is>
          <t>ÖREBRO LÄN</t>
        </is>
      </c>
      <c r="E265" t="inlineStr">
        <is>
          <t>HÄLLEFORS</t>
        </is>
      </c>
      <c r="F265" t="inlineStr">
        <is>
          <t>Bergvik skog väst AB</t>
        </is>
      </c>
      <c r="G265" t="n">
        <v>3.1</v>
      </c>
      <c r="H265" t="n">
        <v>0</v>
      </c>
      <c r="I265" t="n">
        <v>0</v>
      </c>
      <c r="J265" t="n">
        <v>0</v>
      </c>
      <c r="K265" t="n">
        <v>0</v>
      </c>
      <c r="L265" t="n">
        <v>0</v>
      </c>
      <c r="M265" t="n">
        <v>0</v>
      </c>
      <c r="N265" t="n">
        <v>0</v>
      </c>
      <c r="O265" t="n">
        <v>0</v>
      </c>
      <c r="P265" t="n">
        <v>0</v>
      </c>
      <c r="Q265" t="n">
        <v>0</v>
      </c>
      <c r="R265" s="2" t="inlineStr"/>
    </row>
    <row r="266" ht="15" customHeight="1">
      <c r="A266" t="inlineStr">
        <is>
          <t>A 54843-2023</t>
        </is>
      </c>
      <c r="B266" s="1" t="n">
        <v>45236.58434027778</v>
      </c>
      <c r="C266" s="1" t="n">
        <v>45932</v>
      </c>
      <c r="D266" t="inlineStr">
        <is>
          <t>ÖREBRO LÄN</t>
        </is>
      </c>
      <c r="E266" t="inlineStr">
        <is>
          <t>HÄLLEFORS</t>
        </is>
      </c>
      <c r="G266" t="n">
        <v>1.6</v>
      </c>
      <c r="H266" t="n">
        <v>0</v>
      </c>
      <c r="I266" t="n">
        <v>0</v>
      </c>
      <c r="J266" t="n">
        <v>0</v>
      </c>
      <c r="K266" t="n">
        <v>0</v>
      </c>
      <c r="L266" t="n">
        <v>0</v>
      </c>
      <c r="M266" t="n">
        <v>0</v>
      </c>
      <c r="N266" t="n">
        <v>0</v>
      </c>
      <c r="O266" t="n">
        <v>0</v>
      </c>
      <c r="P266" t="n">
        <v>0</v>
      </c>
      <c r="Q266" t="n">
        <v>0</v>
      </c>
      <c r="R266" s="2" t="inlineStr"/>
    </row>
    <row r="267" ht="15" customHeight="1">
      <c r="A267" t="inlineStr">
        <is>
          <t>A 34033-2025</t>
        </is>
      </c>
      <c r="B267" s="1" t="n">
        <v>45845.36700231482</v>
      </c>
      <c r="C267" s="1" t="n">
        <v>45932</v>
      </c>
      <c r="D267" t="inlineStr">
        <is>
          <t>ÖREBRO LÄN</t>
        </is>
      </c>
      <c r="E267" t="inlineStr">
        <is>
          <t>HÄLLEFORS</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34037-2025</t>
        </is>
      </c>
      <c r="B268" s="1" t="n">
        <v>45845.37002314815</v>
      </c>
      <c r="C268" s="1" t="n">
        <v>45932</v>
      </c>
      <c r="D268" t="inlineStr">
        <is>
          <t>ÖREBRO LÄN</t>
        </is>
      </c>
      <c r="E268" t="inlineStr">
        <is>
          <t>HÄLLEFORS</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34018-2025</t>
        </is>
      </c>
      <c r="B269" s="1" t="n">
        <v>45845.34341435185</v>
      </c>
      <c r="C269" s="1" t="n">
        <v>45932</v>
      </c>
      <c r="D269" t="inlineStr">
        <is>
          <t>ÖREBRO LÄN</t>
        </is>
      </c>
      <c r="E269" t="inlineStr">
        <is>
          <t>HÄLLEFORS</t>
        </is>
      </c>
      <c r="G269" t="n">
        <v>6.4</v>
      </c>
      <c r="H269" t="n">
        <v>0</v>
      </c>
      <c r="I269" t="n">
        <v>0</v>
      </c>
      <c r="J269" t="n">
        <v>0</v>
      </c>
      <c r="K269" t="n">
        <v>0</v>
      </c>
      <c r="L269" t="n">
        <v>0</v>
      </c>
      <c r="M269" t="n">
        <v>0</v>
      </c>
      <c r="N269" t="n">
        <v>0</v>
      </c>
      <c r="O269" t="n">
        <v>0</v>
      </c>
      <c r="P269" t="n">
        <v>0</v>
      </c>
      <c r="Q269" t="n">
        <v>0</v>
      </c>
      <c r="R269" s="2" t="inlineStr"/>
    </row>
    <row r="270" ht="15" customHeight="1">
      <c r="A270" t="inlineStr">
        <is>
          <t>A 34020-2025</t>
        </is>
      </c>
      <c r="B270" s="1" t="n">
        <v>45845.34695601852</v>
      </c>
      <c r="C270" s="1" t="n">
        <v>45932</v>
      </c>
      <c r="D270" t="inlineStr">
        <is>
          <t>ÖREBRO LÄN</t>
        </is>
      </c>
      <c r="E270" t="inlineStr">
        <is>
          <t>HÄLLEFORS</t>
        </is>
      </c>
      <c r="F270" t="inlineStr">
        <is>
          <t>Bergvik skog väst AB</t>
        </is>
      </c>
      <c r="G270" t="n">
        <v>1.9</v>
      </c>
      <c r="H270" t="n">
        <v>0</v>
      </c>
      <c r="I270" t="n">
        <v>0</v>
      </c>
      <c r="J270" t="n">
        <v>0</v>
      </c>
      <c r="K270" t="n">
        <v>0</v>
      </c>
      <c r="L270" t="n">
        <v>0</v>
      </c>
      <c r="M270" t="n">
        <v>0</v>
      </c>
      <c r="N270" t="n">
        <v>0</v>
      </c>
      <c r="O270" t="n">
        <v>0</v>
      </c>
      <c r="P270" t="n">
        <v>0</v>
      </c>
      <c r="Q270" t="n">
        <v>0</v>
      </c>
      <c r="R270" s="2" t="inlineStr"/>
    </row>
    <row r="271" ht="15" customHeight="1">
      <c r="A271" t="inlineStr">
        <is>
          <t>A 34042-2025</t>
        </is>
      </c>
      <c r="B271" s="1" t="n">
        <v>45845.37733796296</v>
      </c>
      <c r="C271" s="1" t="n">
        <v>45932</v>
      </c>
      <c r="D271" t="inlineStr">
        <is>
          <t>ÖREBRO LÄN</t>
        </is>
      </c>
      <c r="E271" t="inlineStr">
        <is>
          <t>HÄLLEFORS</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34045-2025</t>
        </is>
      </c>
      <c r="B272" s="1" t="n">
        <v>45845.38480324074</v>
      </c>
      <c r="C272" s="1" t="n">
        <v>45932</v>
      </c>
      <c r="D272" t="inlineStr">
        <is>
          <t>ÖREBRO LÄN</t>
        </is>
      </c>
      <c r="E272" t="inlineStr">
        <is>
          <t>HÄLLEFORS</t>
        </is>
      </c>
      <c r="F272" t="inlineStr">
        <is>
          <t>Bergvik skog väst AB</t>
        </is>
      </c>
      <c r="G272" t="n">
        <v>4</v>
      </c>
      <c r="H272" t="n">
        <v>0</v>
      </c>
      <c r="I272" t="n">
        <v>0</v>
      </c>
      <c r="J272" t="n">
        <v>0</v>
      </c>
      <c r="K272" t="n">
        <v>0</v>
      </c>
      <c r="L272" t="n">
        <v>0</v>
      </c>
      <c r="M272" t="n">
        <v>0</v>
      </c>
      <c r="N272" t="n">
        <v>0</v>
      </c>
      <c r="O272" t="n">
        <v>0</v>
      </c>
      <c r="P272" t="n">
        <v>0</v>
      </c>
      <c r="Q272" t="n">
        <v>0</v>
      </c>
      <c r="R272" s="2" t="inlineStr"/>
    </row>
    <row r="273" ht="15" customHeight="1">
      <c r="A273" t="inlineStr">
        <is>
          <t>A 34052-2025</t>
        </is>
      </c>
      <c r="B273" s="1" t="n">
        <v>45845.40813657407</v>
      </c>
      <c r="C273" s="1" t="n">
        <v>45932</v>
      </c>
      <c r="D273" t="inlineStr">
        <is>
          <t>ÖREBRO LÄN</t>
        </is>
      </c>
      <c r="E273" t="inlineStr">
        <is>
          <t>HÄLLEFORS</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34059-2025</t>
        </is>
      </c>
      <c r="B274" s="1" t="n">
        <v>45845.41988425926</v>
      </c>
      <c r="C274" s="1" t="n">
        <v>45932</v>
      </c>
      <c r="D274" t="inlineStr">
        <is>
          <t>ÖREBRO LÄN</t>
        </is>
      </c>
      <c r="E274" t="inlineStr">
        <is>
          <t>HÄLLEFORS</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3619-2021</t>
        </is>
      </c>
      <c r="B275" s="1" t="n">
        <v>44221</v>
      </c>
      <c r="C275" s="1" t="n">
        <v>45932</v>
      </c>
      <c r="D275" t="inlineStr">
        <is>
          <t>ÖREBRO LÄN</t>
        </is>
      </c>
      <c r="E275" t="inlineStr">
        <is>
          <t>HÄLLEFORS</t>
        </is>
      </c>
      <c r="F275" t="inlineStr">
        <is>
          <t>Kyrkan</t>
        </is>
      </c>
      <c r="G275" t="n">
        <v>0.6</v>
      </c>
      <c r="H275" t="n">
        <v>0</v>
      </c>
      <c r="I275" t="n">
        <v>0</v>
      </c>
      <c r="J275" t="n">
        <v>0</v>
      </c>
      <c r="K275" t="n">
        <v>0</v>
      </c>
      <c r="L275" t="n">
        <v>0</v>
      </c>
      <c r="M275" t="n">
        <v>0</v>
      </c>
      <c r="N275" t="n">
        <v>0</v>
      </c>
      <c r="O275" t="n">
        <v>0</v>
      </c>
      <c r="P275" t="n">
        <v>0</v>
      </c>
      <c r="Q275" t="n">
        <v>0</v>
      </c>
      <c r="R275" s="2" t="inlineStr"/>
    </row>
    <row r="276" ht="15" customHeight="1">
      <c r="A276" t="inlineStr">
        <is>
          <t>A 37542-2024</t>
        </is>
      </c>
      <c r="B276" s="1" t="n">
        <v>45541.42298611111</v>
      </c>
      <c r="C276" s="1" t="n">
        <v>45932</v>
      </c>
      <c r="D276" t="inlineStr">
        <is>
          <t>ÖREBRO LÄN</t>
        </is>
      </c>
      <c r="E276" t="inlineStr">
        <is>
          <t>HÄLLEFORS</t>
        </is>
      </c>
      <c r="G276" t="n">
        <v>1.6</v>
      </c>
      <c r="H276" t="n">
        <v>0</v>
      </c>
      <c r="I276" t="n">
        <v>0</v>
      </c>
      <c r="J276" t="n">
        <v>0</v>
      </c>
      <c r="K276" t="n">
        <v>0</v>
      </c>
      <c r="L276" t="n">
        <v>0</v>
      </c>
      <c r="M276" t="n">
        <v>0</v>
      </c>
      <c r="N276" t="n">
        <v>0</v>
      </c>
      <c r="O276" t="n">
        <v>0</v>
      </c>
      <c r="P276" t="n">
        <v>0</v>
      </c>
      <c r="Q276" t="n">
        <v>0</v>
      </c>
      <c r="R276" s="2" t="inlineStr"/>
    </row>
    <row r="277" ht="15" customHeight="1">
      <c r="A277" t="inlineStr">
        <is>
          <t>A 5583-2023</t>
        </is>
      </c>
      <c r="B277" s="1" t="n">
        <v>44960.50733796296</v>
      </c>
      <c r="C277" s="1" t="n">
        <v>45932</v>
      </c>
      <c r="D277" t="inlineStr">
        <is>
          <t>ÖREBRO LÄN</t>
        </is>
      </c>
      <c r="E277" t="inlineStr">
        <is>
          <t>HÄLLEFORS</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34023-2025</t>
        </is>
      </c>
      <c r="B278" s="1" t="n">
        <v>45845.35355324074</v>
      </c>
      <c r="C278" s="1" t="n">
        <v>45932</v>
      </c>
      <c r="D278" t="inlineStr">
        <is>
          <t>ÖREBRO LÄN</t>
        </is>
      </c>
      <c r="E278" t="inlineStr">
        <is>
          <t>HÄLLEFORS</t>
        </is>
      </c>
      <c r="F278" t="inlineStr">
        <is>
          <t>Bergvik skog väst AB</t>
        </is>
      </c>
      <c r="G278" t="n">
        <v>0.9</v>
      </c>
      <c r="H278" t="n">
        <v>0</v>
      </c>
      <c r="I278" t="n">
        <v>0</v>
      </c>
      <c r="J278" t="n">
        <v>0</v>
      </c>
      <c r="K278" t="n">
        <v>0</v>
      </c>
      <c r="L278" t="n">
        <v>0</v>
      </c>
      <c r="M278" t="n">
        <v>0</v>
      </c>
      <c r="N278" t="n">
        <v>0</v>
      </c>
      <c r="O278" t="n">
        <v>0</v>
      </c>
      <c r="P278" t="n">
        <v>0</v>
      </c>
      <c r="Q278" t="n">
        <v>0</v>
      </c>
      <c r="R278" s="2" t="inlineStr"/>
    </row>
    <row r="279" ht="15" customHeight="1">
      <c r="A279" t="inlineStr">
        <is>
          <t>A 34057-2025</t>
        </is>
      </c>
      <c r="B279" s="1" t="n">
        <v>45845.41581018519</v>
      </c>
      <c r="C279" s="1" t="n">
        <v>45932</v>
      </c>
      <c r="D279" t="inlineStr">
        <is>
          <t>ÖREBRO LÄN</t>
        </is>
      </c>
      <c r="E279" t="inlineStr">
        <is>
          <t>HÄLLEFORS</t>
        </is>
      </c>
      <c r="G279" t="n">
        <v>2.1</v>
      </c>
      <c r="H279" t="n">
        <v>0</v>
      </c>
      <c r="I279" t="n">
        <v>0</v>
      </c>
      <c r="J279" t="n">
        <v>0</v>
      </c>
      <c r="K279" t="n">
        <v>0</v>
      </c>
      <c r="L279" t="n">
        <v>0</v>
      </c>
      <c r="M279" t="n">
        <v>0</v>
      </c>
      <c r="N279" t="n">
        <v>0</v>
      </c>
      <c r="O279" t="n">
        <v>0</v>
      </c>
      <c r="P279" t="n">
        <v>0</v>
      </c>
      <c r="Q279" t="n">
        <v>0</v>
      </c>
      <c r="R279" s="2" t="inlineStr"/>
    </row>
    <row r="280" ht="15" customHeight="1">
      <c r="A280" t="inlineStr">
        <is>
          <t>A 44091-2024</t>
        </is>
      </c>
      <c r="B280" s="1" t="n">
        <v>45572.6216087963</v>
      </c>
      <c r="C280" s="1" t="n">
        <v>45932</v>
      </c>
      <c r="D280" t="inlineStr">
        <is>
          <t>ÖREBRO LÄN</t>
        </is>
      </c>
      <c r="E280" t="inlineStr">
        <is>
          <t>HÄLLEFORS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46642-2024</t>
        </is>
      </c>
      <c r="B281" s="1" t="n">
        <v>45583.34902777777</v>
      </c>
      <c r="C281" s="1" t="n">
        <v>45932</v>
      </c>
      <c r="D281" t="inlineStr">
        <is>
          <t>ÖREBRO LÄN</t>
        </is>
      </c>
      <c r="E281" t="inlineStr">
        <is>
          <t>HÄLLEFORS</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34029-2025</t>
        </is>
      </c>
      <c r="B282" s="1" t="n">
        <v>45845.36309027778</v>
      </c>
      <c r="C282" s="1" t="n">
        <v>45932</v>
      </c>
      <c r="D282" t="inlineStr">
        <is>
          <t>ÖREBRO LÄN</t>
        </is>
      </c>
      <c r="E282" t="inlineStr">
        <is>
          <t>HÄLLEFORS</t>
        </is>
      </c>
      <c r="F282" t="inlineStr">
        <is>
          <t>Bergvik skog väst AB</t>
        </is>
      </c>
      <c r="G282" t="n">
        <v>4</v>
      </c>
      <c r="H282" t="n">
        <v>0</v>
      </c>
      <c r="I282" t="n">
        <v>0</v>
      </c>
      <c r="J282" t="n">
        <v>0</v>
      </c>
      <c r="K282" t="n">
        <v>0</v>
      </c>
      <c r="L282" t="n">
        <v>0</v>
      </c>
      <c r="M282" t="n">
        <v>0</v>
      </c>
      <c r="N282" t="n">
        <v>0</v>
      </c>
      <c r="O282" t="n">
        <v>0</v>
      </c>
      <c r="P282" t="n">
        <v>0</v>
      </c>
      <c r="Q282" t="n">
        <v>0</v>
      </c>
      <c r="R282" s="2" t="inlineStr"/>
    </row>
    <row r="283" ht="15" customHeight="1">
      <c r="A283" t="inlineStr">
        <is>
          <t>A 34022-2025</t>
        </is>
      </c>
      <c r="B283" s="1" t="n">
        <v>45845.34983796296</v>
      </c>
      <c r="C283" s="1" t="n">
        <v>45932</v>
      </c>
      <c r="D283" t="inlineStr">
        <is>
          <t>ÖREBRO LÄN</t>
        </is>
      </c>
      <c r="E283" t="inlineStr">
        <is>
          <t>HÄLLEFORS</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34025-2025</t>
        </is>
      </c>
      <c r="B284" s="1" t="n">
        <v>45845.35546296297</v>
      </c>
      <c r="C284" s="1" t="n">
        <v>45932</v>
      </c>
      <c r="D284" t="inlineStr">
        <is>
          <t>ÖREBRO LÄN</t>
        </is>
      </c>
      <c r="E284" t="inlineStr">
        <is>
          <t>HÄLLEFORS</t>
        </is>
      </c>
      <c r="F284" t="inlineStr">
        <is>
          <t>Bergvik skog väst AB</t>
        </is>
      </c>
      <c r="G284" t="n">
        <v>1.4</v>
      </c>
      <c r="H284" t="n">
        <v>0</v>
      </c>
      <c r="I284" t="n">
        <v>0</v>
      </c>
      <c r="J284" t="n">
        <v>0</v>
      </c>
      <c r="K284" t="n">
        <v>0</v>
      </c>
      <c r="L284" t="n">
        <v>0</v>
      </c>
      <c r="M284" t="n">
        <v>0</v>
      </c>
      <c r="N284" t="n">
        <v>0</v>
      </c>
      <c r="O284" t="n">
        <v>0</v>
      </c>
      <c r="P284" t="n">
        <v>0</v>
      </c>
      <c r="Q284" t="n">
        <v>0</v>
      </c>
      <c r="R284" s="2" t="inlineStr"/>
    </row>
    <row r="285" ht="15" customHeight="1">
      <c r="A285" t="inlineStr">
        <is>
          <t>A 34093-2025</t>
        </is>
      </c>
      <c r="B285" s="1" t="n">
        <v>45845.47775462963</v>
      </c>
      <c r="C285" s="1" t="n">
        <v>45932</v>
      </c>
      <c r="D285" t="inlineStr">
        <is>
          <t>ÖREBRO LÄN</t>
        </is>
      </c>
      <c r="E285" t="inlineStr">
        <is>
          <t>HÄLLEFORS</t>
        </is>
      </c>
      <c r="F285" t="inlineStr">
        <is>
          <t>Bergvik skog väst AB</t>
        </is>
      </c>
      <c r="G285" t="n">
        <v>1.5</v>
      </c>
      <c r="H285" t="n">
        <v>0</v>
      </c>
      <c r="I285" t="n">
        <v>0</v>
      </c>
      <c r="J285" t="n">
        <v>0</v>
      </c>
      <c r="K285" t="n">
        <v>0</v>
      </c>
      <c r="L285" t="n">
        <v>0</v>
      </c>
      <c r="M285" t="n">
        <v>0</v>
      </c>
      <c r="N285" t="n">
        <v>0</v>
      </c>
      <c r="O285" t="n">
        <v>0</v>
      </c>
      <c r="P285" t="n">
        <v>0</v>
      </c>
      <c r="Q285" t="n">
        <v>0</v>
      </c>
      <c r="R285" s="2" t="inlineStr"/>
    </row>
    <row r="286" ht="15" customHeight="1">
      <c r="A286" t="inlineStr">
        <is>
          <t>A 34062-2025</t>
        </is>
      </c>
      <c r="B286" s="1" t="n">
        <v>45845.4264699074</v>
      </c>
      <c r="C286" s="1" t="n">
        <v>45932</v>
      </c>
      <c r="D286" t="inlineStr">
        <is>
          <t>ÖREBRO LÄN</t>
        </is>
      </c>
      <c r="E286" t="inlineStr">
        <is>
          <t>HÄLLEFORS</t>
        </is>
      </c>
      <c r="G286" t="n">
        <v>1.3</v>
      </c>
      <c r="H286" t="n">
        <v>0</v>
      </c>
      <c r="I286" t="n">
        <v>0</v>
      </c>
      <c r="J286" t="n">
        <v>0</v>
      </c>
      <c r="K286" t="n">
        <v>0</v>
      </c>
      <c r="L286" t="n">
        <v>0</v>
      </c>
      <c r="M286" t="n">
        <v>0</v>
      </c>
      <c r="N286" t="n">
        <v>0</v>
      </c>
      <c r="O286" t="n">
        <v>0</v>
      </c>
      <c r="P286" t="n">
        <v>0</v>
      </c>
      <c r="Q286" t="n">
        <v>0</v>
      </c>
      <c r="R286" s="2" t="inlineStr"/>
    </row>
    <row r="287" ht="15" customHeight="1">
      <c r="A287" t="inlineStr">
        <is>
          <t>A 24359-2023</t>
        </is>
      </c>
      <c r="B287" s="1" t="n">
        <v>45082</v>
      </c>
      <c r="C287" s="1" t="n">
        <v>45932</v>
      </c>
      <c r="D287" t="inlineStr">
        <is>
          <t>ÖREBRO LÄN</t>
        </is>
      </c>
      <c r="E287" t="inlineStr">
        <is>
          <t>HÄLLEFORS</t>
        </is>
      </c>
      <c r="F287" t="inlineStr">
        <is>
          <t>Sveaskog</t>
        </is>
      </c>
      <c r="G287" t="n">
        <v>2</v>
      </c>
      <c r="H287" t="n">
        <v>0</v>
      </c>
      <c r="I287" t="n">
        <v>0</v>
      </c>
      <c r="J287" t="n">
        <v>0</v>
      </c>
      <c r="K287" t="n">
        <v>0</v>
      </c>
      <c r="L287" t="n">
        <v>0</v>
      </c>
      <c r="M287" t="n">
        <v>0</v>
      </c>
      <c r="N287" t="n">
        <v>0</v>
      </c>
      <c r="O287" t="n">
        <v>0</v>
      </c>
      <c r="P287" t="n">
        <v>0</v>
      </c>
      <c r="Q287" t="n">
        <v>0</v>
      </c>
      <c r="R287" s="2" t="inlineStr"/>
    </row>
    <row r="288" ht="15" customHeight="1">
      <c r="A288" t="inlineStr">
        <is>
          <t>A 1288-2024</t>
        </is>
      </c>
      <c r="B288" s="1" t="n">
        <v>45303</v>
      </c>
      <c r="C288" s="1" t="n">
        <v>45932</v>
      </c>
      <c r="D288" t="inlineStr">
        <is>
          <t>ÖREBRO LÄN</t>
        </is>
      </c>
      <c r="E288" t="inlineStr">
        <is>
          <t>HÄLLEFORS</t>
        </is>
      </c>
      <c r="G288" t="n">
        <v>1.2</v>
      </c>
      <c r="H288" t="n">
        <v>0</v>
      </c>
      <c r="I288" t="n">
        <v>0</v>
      </c>
      <c r="J288" t="n">
        <v>0</v>
      </c>
      <c r="K288" t="n">
        <v>0</v>
      </c>
      <c r="L288" t="n">
        <v>0</v>
      </c>
      <c r="M288" t="n">
        <v>0</v>
      </c>
      <c r="N288" t="n">
        <v>0</v>
      </c>
      <c r="O288" t="n">
        <v>0</v>
      </c>
      <c r="P288" t="n">
        <v>0</v>
      </c>
      <c r="Q288" t="n">
        <v>0</v>
      </c>
      <c r="R288" s="2" t="inlineStr"/>
    </row>
    <row r="289" ht="15" customHeight="1">
      <c r="A289" t="inlineStr">
        <is>
          <t>A 39926-2025</t>
        </is>
      </c>
      <c r="B289" s="1" t="n">
        <v>45891.68451388889</v>
      </c>
      <c r="C289" s="1" t="n">
        <v>45932</v>
      </c>
      <c r="D289" t="inlineStr">
        <is>
          <t>ÖREBRO LÄN</t>
        </is>
      </c>
      <c r="E289" t="inlineStr">
        <is>
          <t>HÄLLEFORS</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55099-2024</t>
        </is>
      </c>
      <c r="B290" s="1" t="n">
        <v>45621</v>
      </c>
      <c r="C290" s="1" t="n">
        <v>45932</v>
      </c>
      <c r="D290" t="inlineStr">
        <is>
          <t>ÖREBRO LÄN</t>
        </is>
      </c>
      <c r="E290" t="inlineStr">
        <is>
          <t>HÄLLEFORS</t>
        </is>
      </c>
      <c r="G290" t="n">
        <v>0.8</v>
      </c>
      <c r="H290" t="n">
        <v>0</v>
      </c>
      <c r="I290" t="n">
        <v>0</v>
      </c>
      <c r="J290" t="n">
        <v>0</v>
      </c>
      <c r="K290" t="n">
        <v>0</v>
      </c>
      <c r="L290" t="n">
        <v>0</v>
      </c>
      <c r="M290" t="n">
        <v>0</v>
      </c>
      <c r="N290" t="n">
        <v>0</v>
      </c>
      <c r="O290" t="n">
        <v>0</v>
      </c>
      <c r="P290" t="n">
        <v>0</v>
      </c>
      <c r="Q290" t="n">
        <v>0</v>
      </c>
      <c r="R290" s="2" t="inlineStr"/>
    </row>
    <row r="291" ht="15" customHeight="1">
      <c r="A291" t="inlineStr">
        <is>
          <t>A 8615-2025</t>
        </is>
      </c>
      <c r="B291" s="1" t="n">
        <v>45710.81305555555</v>
      </c>
      <c r="C291" s="1" t="n">
        <v>45932</v>
      </c>
      <c r="D291" t="inlineStr">
        <is>
          <t>ÖREBRO LÄN</t>
        </is>
      </c>
      <c r="E291" t="inlineStr">
        <is>
          <t>HÄLLEFORS</t>
        </is>
      </c>
      <c r="G291" t="n">
        <v>6.2</v>
      </c>
      <c r="H291" t="n">
        <v>0</v>
      </c>
      <c r="I291" t="n">
        <v>0</v>
      </c>
      <c r="J291" t="n">
        <v>0</v>
      </c>
      <c r="K291" t="n">
        <v>0</v>
      </c>
      <c r="L291" t="n">
        <v>0</v>
      </c>
      <c r="M291" t="n">
        <v>0</v>
      </c>
      <c r="N291" t="n">
        <v>0</v>
      </c>
      <c r="O291" t="n">
        <v>0</v>
      </c>
      <c r="P291" t="n">
        <v>0</v>
      </c>
      <c r="Q291" t="n">
        <v>0</v>
      </c>
      <c r="R291" s="2" t="inlineStr"/>
    </row>
    <row r="292" ht="15" customHeight="1">
      <c r="A292" t="inlineStr">
        <is>
          <t>A 17075-2025</t>
        </is>
      </c>
      <c r="B292" s="1" t="n">
        <v>45755.62278935185</v>
      </c>
      <c r="C292" s="1" t="n">
        <v>45932</v>
      </c>
      <c r="D292" t="inlineStr">
        <is>
          <t>ÖREBRO LÄN</t>
        </is>
      </c>
      <c r="E292" t="inlineStr">
        <is>
          <t>HÄLLEFORS</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40485-2025</t>
        </is>
      </c>
      <c r="B293" s="1" t="n">
        <v>45895.85320601852</v>
      </c>
      <c r="C293" s="1" t="n">
        <v>45932</v>
      </c>
      <c r="D293" t="inlineStr">
        <is>
          <t>ÖREBRO LÄN</t>
        </is>
      </c>
      <c r="E293" t="inlineStr">
        <is>
          <t>HÄLLEFORS</t>
        </is>
      </c>
      <c r="F293" t="inlineStr">
        <is>
          <t>Bergvik skog väst AB</t>
        </is>
      </c>
      <c r="G293" t="n">
        <v>2.2</v>
      </c>
      <c r="H293" t="n">
        <v>0</v>
      </c>
      <c r="I293" t="n">
        <v>0</v>
      </c>
      <c r="J293" t="n">
        <v>0</v>
      </c>
      <c r="K293" t="n">
        <v>0</v>
      </c>
      <c r="L293" t="n">
        <v>0</v>
      </c>
      <c r="M293" t="n">
        <v>0</v>
      </c>
      <c r="N293" t="n">
        <v>0</v>
      </c>
      <c r="O293" t="n">
        <v>0</v>
      </c>
      <c r="P293" t="n">
        <v>0</v>
      </c>
      <c r="Q293" t="n">
        <v>0</v>
      </c>
      <c r="R293" s="2" t="inlineStr"/>
    </row>
    <row r="294" ht="15" customHeight="1">
      <c r="A294" t="inlineStr">
        <is>
          <t>A 58499-2022</t>
        </is>
      </c>
      <c r="B294" s="1" t="n">
        <v>44902.3759375</v>
      </c>
      <c r="C294" s="1" t="n">
        <v>45932</v>
      </c>
      <c r="D294" t="inlineStr">
        <is>
          <t>ÖREBRO LÄN</t>
        </is>
      </c>
      <c r="E294" t="inlineStr">
        <is>
          <t>HÄLLEFORS</t>
        </is>
      </c>
      <c r="F294" t="inlineStr">
        <is>
          <t>Bergvik skog väst AB</t>
        </is>
      </c>
      <c r="G294" t="n">
        <v>4.2</v>
      </c>
      <c r="H294" t="n">
        <v>0</v>
      </c>
      <c r="I294" t="n">
        <v>0</v>
      </c>
      <c r="J294" t="n">
        <v>0</v>
      </c>
      <c r="K294" t="n">
        <v>0</v>
      </c>
      <c r="L294" t="n">
        <v>0</v>
      </c>
      <c r="M294" t="n">
        <v>0</v>
      </c>
      <c r="N294" t="n">
        <v>0</v>
      </c>
      <c r="O294" t="n">
        <v>0</v>
      </c>
      <c r="P294" t="n">
        <v>0</v>
      </c>
      <c r="Q294" t="n">
        <v>0</v>
      </c>
      <c r="R294" s="2" t="inlineStr"/>
    </row>
    <row r="295" ht="15" customHeight="1">
      <c r="A295" t="inlineStr">
        <is>
          <t>A 5033-2025</t>
        </is>
      </c>
      <c r="B295" s="1" t="n">
        <v>45691.425625</v>
      </c>
      <c r="C295" s="1" t="n">
        <v>45932</v>
      </c>
      <c r="D295" t="inlineStr">
        <is>
          <t>ÖREBRO LÄN</t>
        </is>
      </c>
      <c r="E295" t="inlineStr">
        <is>
          <t>HÄLLEFORS</t>
        </is>
      </c>
      <c r="F295" t="inlineStr">
        <is>
          <t>Bergvik skog väst AB</t>
        </is>
      </c>
      <c r="G295" t="n">
        <v>5.6</v>
      </c>
      <c r="H295" t="n">
        <v>0</v>
      </c>
      <c r="I295" t="n">
        <v>0</v>
      </c>
      <c r="J295" t="n">
        <v>0</v>
      </c>
      <c r="K295" t="n">
        <v>0</v>
      </c>
      <c r="L295" t="n">
        <v>0</v>
      </c>
      <c r="M295" t="n">
        <v>0</v>
      </c>
      <c r="N295" t="n">
        <v>0</v>
      </c>
      <c r="O295" t="n">
        <v>0</v>
      </c>
      <c r="P295" t="n">
        <v>0</v>
      </c>
      <c r="Q295" t="n">
        <v>0</v>
      </c>
      <c r="R295" s="2" t="inlineStr"/>
    </row>
    <row r="296" ht="15" customHeight="1">
      <c r="A296" t="inlineStr">
        <is>
          <t>A 17350-2025</t>
        </is>
      </c>
      <c r="B296" s="1" t="n">
        <v>45756.68074074074</v>
      </c>
      <c r="C296" s="1" t="n">
        <v>45932</v>
      </c>
      <c r="D296" t="inlineStr">
        <is>
          <t>ÖREBRO LÄN</t>
        </is>
      </c>
      <c r="E296" t="inlineStr">
        <is>
          <t>HÄLLEFORS</t>
        </is>
      </c>
      <c r="F296" t="inlineStr">
        <is>
          <t>Bergvik skog väst AB</t>
        </is>
      </c>
      <c r="G296" t="n">
        <v>6.9</v>
      </c>
      <c r="H296" t="n">
        <v>0</v>
      </c>
      <c r="I296" t="n">
        <v>0</v>
      </c>
      <c r="J296" t="n">
        <v>0</v>
      </c>
      <c r="K296" t="n">
        <v>0</v>
      </c>
      <c r="L296" t="n">
        <v>0</v>
      </c>
      <c r="M296" t="n">
        <v>0</v>
      </c>
      <c r="N296" t="n">
        <v>0</v>
      </c>
      <c r="O296" t="n">
        <v>0</v>
      </c>
      <c r="P296" t="n">
        <v>0</v>
      </c>
      <c r="Q296" t="n">
        <v>0</v>
      </c>
      <c r="R296" s="2" t="inlineStr"/>
    </row>
    <row r="297" ht="15" customHeight="1">
      <c r="A297" t="inlineStr">
        <is>
          <t>A 9411-2022</t>
        </is>
      </c>
      <c r="B297" s="1" t="n">
        <v>44616</v>
      </c>
      <c r="C297" s="1" t="n">
        <v>45932</v>
      </c>
      <c r="D297" t="inlineStr">
        <is>
          <t>ÖREBRO LÄN</t>
        </is>
      </c>
      <c r="E297" t="inlineStr">
        <is>
          <t>HÄLLEFORS</t>
        </is>
      </c>
      <c r="G297" t="n">
        <v>2.4</v>
      </c>
      <c r="H297" t="n">
        <v>0</v>
      </c>
      <c r="I297" t="n">
        <v>0</v>
      </c>
      <c r="J297" t="n">
        <v>0</v>
      </c>
      <c r="K297" t="n">
        <v>0</v>
      </c>
      <c r="L297" t="n">
        <v>0</v>
      </c>
      <c r="M297" t="n">
        <v>0</v>
      </c>
      <c r="N297" t="n">
        <v>0</v>
      </c>
      <c r="O297" t="n">
        <v>0</v>
      </c>
      <c r="P297" t="n">
        <v>0</v>
      </c>
      <c r="Q297" t="n">
        <v>0</v>
      </c>
      <c r="R297" s="2" t="inlineStr"/>
    </row>
    <row r="298" ht="15" customHeight="1">
      <c r="A298" t="inlineStr">
        <is>
          <t>A 18503-2025</t>
        </is>
      </c>
      <c r="B298" s="1" t="n">
        <v>45763.37480324074</v>
      </c>
      <c r="C298" s="1" t="n">
        <v>45932</v>
      </c>
      <c r="D298" t="inlineStr">
        <is>
          <t>ÖREBRO LÄN</t>
        </is>
      </c>
      <c r="E298" t="inlineStr">
        <is>
          <t>HÄLLEFORS</t>
        </is>
      </c>
      <c r="F298" t="inlineStr">
        <is>
          <t>Bergvik skog väst AB</t>
        </is>
      </c>
      <c r="G298" t="n">
        <v>2</v>
      </c>
      <c r="H298" t="n">
        <v>0</v>
      </c>
      <c r="I298" t="n">
        <v>0</v>
      </c>
      <c r="J298" t="n">
        <v>0</v>
      </c>
      <c r="K298" t="n">
        <v>0</v>
      </c>
      <c r="L298" t="n">
        <v>0</v>
      </c>
      <c r="M298" t="n">
        <v>0</v>
      </c>
      <c r="N298" t="n">
        <v>0</v>
      </c>
      <c r="O298" t="n">
        <v>0</v>
      </c>
      <c r="P298" t="n">
        <v>0</v>
      </c>
      <c r="Q298" t="n">
        <v>0</v>
      </c>
      <c r="R298" s="2" t="inlineStr"/>
    </row>
    <row r="299" ht="15" customHeight="1">
      <c r="A299" t="inlineStr">
        <is>
          <t>A 38402-2023</t>
        </is>
      </c>
      <c r="B299" s="1" t="n">
        <v>45162</v>
      </c>
      <c r="C299" s="1" t="n">
        <v>45932</v>
      </c>
      <c r="D299" t="inlineStr">
        <is>
          <t>ÖREBRO LÄN</t>
        </is>
      </c>
      <c r="E299" t="inlineStr">
        <is>
          <t>HÄLLEFORS</t>
        </is>
      </c>
      <c r="F299" t="inlineStr">
        <is>
          <t>Bergvik skog väst AB</t>
        </is>
      </c>
      <c r="G299" t="n">
        <v>8.5</v>
      </c>
      <c r="H299" t="n">
        <v>0</v>
      </c>
      <c r="I299" t="n">
        <v>0</v>
      </c>
      <c r="J299" t="n">
        <v>0</v>
      </c>
      <c r="K299" t="n">
        <v>0</v>
      </c>
      <c r="L299" t="n">
        <v>0</v>
      </c>
      <c r="M299" t="n">
        <v>0</v>
      </c>
      <c r="N299" t="n">
        <v>0</v>
      </c>
      <c r="O299" t="n">
        <v>0</v>
      </c>
      <c r="P299" t="n">
        <v>0</v>
      </c>
      <c r="Q299" t="n">
        <v>0</v>
      </c>
      <c r="R299" s="2" t="inlineStr"/>
    </row>
    <row r="300" ht="15" customHeight="1">
      <c r="A300" t="inlineStr">
        <is>
          <t>A 11459-2024</t>
        </is>
      </c>
      <c r="B300" s="1" t="n">
        <v>45372.58425925926</v>
      </c>
      <c r="C300" s="1" t="n">
        <v>45932</v>
      </c>
      <c r="D300" t="inlineStr">
        <is>
          <t>ÖREBRO LÄN</t>
        </is>
      </c>
      <c r="E300" t="inlineStr">
        <is>
          <t>HÄLLEFORS</t>
        </is>
      </c>
      <c r="G300" t="n">
        <v>2.2</v>
      </c>
      <c r="H300" t="n">
        <v>0</v>
      </c>
      <c r="I300" t="n">
        <v>0</v>
      </c>
      <c r="J300" t="n">
        <v>0</v>
      </c>
      <c r="K300" t="n">
        <v>0</v>
      </c>
      <c r="L300" t="n">
        <v>0</v>
      </c>
      <c r="M300" t="n">
        <v>0</v>
      </c>
      <c r="N300" t="n">
        <v>0</v>
      </c>
      <c r="O300" t="n">
        <v>0</v>
      </c>
      <c r="P300" t="n">
        <v>0</v>
      </c>
      <c r="Q300" t="n">
        <v>0</v>
      </c>
      <c r="R300" s="2" t="inlineStr"/>
    </row>
    <row r="301" ht="15" customHeight="1">
      <c r="A301" t="inlineStr">
        <is>
          <t>A 12559-2025</t>
        </is>
      </c>
      <c r="B301" s="1" t="n">
        <v>45731.47399305556</v>
      </c>
      <c r="C301" s="1" t="n">
        <v>45932</v>
      </c>
      <c r="D301" t="inlineStr">
        <is>
          <t>ÖREBRO LÄN</t>
        </is>
      </c>
      <c r="E301" t="inlineStr">
        <is>
          <t>HÄLLEFORS</t>
        </is>
      </c>
      <c r="G301" t="n">
        <v>2.4</v>
      </c>
      <c r="H301" t="n">
        <v>0</v>
      </c>
      <c r="I301" t="n">
        <v>0</v>
      </c>
      <c r="J301" t="n">
        <v>0</v>
      </c>
      <c r="K301" t="n">
        <v>0</v>
      </c>
      <c r="L301" t="n">
        <v>0</v>
      </c>
      <c r="M301" t="n">
        <v>0</v>
      </c>
      <c r="N301" t="n">
        <v>0</v>
      </c>
      <c r="O301" t="n">
        <v>0</v>
      </c>
      <c r="P301" t="n">
        <v>0</v>
      </c>
      <c r="Q301" t="n">
        <v>0</v>
      </c>
      <c r="R301" s="2" t="inlineStr"/>
    </row>
    <row r="302" ht="15" customHeight="1">
      <c r="A302" t="inlineStr">
        <is>
          <t>A 17811-2025</t>
        </is>
      </c>
      <c r="B302" s="1" t="n">
        <v>45758.5594212963</v>
      </c>
      <c r="C302" s="1" t="n">
        <v>45932</v>
      </c>
      <c r="D302" t="inlineStr">
        <is>
          <t>ÖREBRO LÄN</t>
        </is>
      </c>
      <c r="E302" t="inlineStr">
        <is>
          <t>HÄLLEFORS</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33944-2024</t>
        </is>
      </c>
      <c r="B303" s="1" t="n">
        <v>45523</v>
      </c>
      <c r="C303" s="1" t="n">
        <v>45932</v>
      </c>
      <c r="D303" t="inlineStr">
        <is>
          <t>ÖREBRO LÄN</t>
        </is>
      </c>
      <c r="E303" t="inlineStr">
        <is>
          <t>HÄLLEFORS</t>
        </is>
      </c>
      <c r="G303" t="n">
        <v>5.9</v>
      </c>
      <c r="H303" t="n">
        <v>0</v>
      </c>
      <c r="I303" t="n">
        <v>0</v>
      </c>
      <c r="J303" t="n">
        <v>0</v>
      </c>
      <c r="K303" t="n">
        <v>0</v>
      </c>
      <c r="L303" t="n">
        <v>0</v>
      </c>
      <c r="M303" t="n">
        <v>0</v>
      </c>
      <c r="N303" t="n">
        <v>0</v>
      </c>
      <c r="O303" t="n">
        <v>0</v>
      </c>
      <c r="P303" t="n">
        <v>0</v>
      </c>
      <c r="Q303" t="n">
        <v>0</v>
      </c>
      <c r="R303" s="2" t="inlineStr"/>
    </row>
    <row r="304" ht="15" customHeight="1">
      <c r="A304" t="inlineStr">
        <is>
          <t>A 14669-2025</t>
        </is>
      </c>
      <c r="B304" s="1" t="n">
        <v>45742.55043981481</v>
      </c>
      <c r="C304" s="1" t="n">
        <v>45932</v>
      </c>
      <c r="D304" t="inlineStr">
        <is>
          <t>ÖREBRO LÄN</t>
        </is>
      </c>
      <c r="E304" t="inlineStr">
        <is>
          <t>HÄLLEFORS</t>
        </is>
      </c>
      <c r="G304" t="n">
        <v>0.8</v>
      </c>
      <c r="H304" t="n">
        <v>0</v>
      </c>
      <c r="I304" t="n">
        <v>0</v>
      </c>
      <c r="J304" t="n">
        <v>0</v>
      </c>
      <c r="K304" t="n">
        <v>0</v>
      </c>
      <c r="L304" t="n">
        <v>0</v>
      </c>
      <c r="M304" t="n">
        <v>0</v>
      </c>
      <c r="N304" t="n">
        <v>0</v>
      </c>
      <c r="O304" t="n">
        <v>0</v>
      </c>
      <c r="P304" t="n">
        <v>0</v>
      </c>
      <c r="Q304" t="n">
        <v>0</v>
      </c>
      <c r="R304" s="2" t="inlineStr"/>
    </row>
    <row r="305" ht="15" customHeight="1">
      <c r="A305" t="inlineStr">
        <is>
          <t>A 41152-2025</t>
        </is>
      </c>
      <c r="B305" s="1" t="n">
        <v>45898.5128587963</v>
      </c>
      <c r="C305" s="1" t="n">
        <v>45932</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11044-2021</t>
        </is>
      </c>
      <c r="B306" s="1" t="n">
        <v>44260</v>
      </c>
      <c r="C306" s="1" t="n">
        <v>45932</v>
      </c>
      <c r="D306" t="inlineStr">
        <is>
          <t>ÖREBRO LÄN</t>
        </is>
      </c>
      <c r="E306" t="inlineStr">
        <is>
          <t>HÄLLEFORS</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17333-2025</t>
        </is>
      </c>
      <c r="B307" s="1" t="n">
        <v>45756</v>
      </c>
      <c r="C307" s="1" t="n">
        <v>45932</v>
      </c>
      <c r="D307" t="inlineStr">
        <is>
          <t>ÖREBRO LÄN</t>
        </is>
      </c>
      <c r="E307" t="inlineStr">
        <is>
          <t>HÄLLEFORS</t>
        </is>
      </c>
      <c r="G307" t="n">
        <v>1</v>
      </c>
      <c r="H307" t="n">
        <v>0</v>
      </c>
      <c r="I307" t="n">
        <v>0</v>
      </c>
      <c r="J307" t="n">
        <v>0</v>
      </c>
      <c r="K307" t="n">
        <v>0</v>
      </c>
      <c r="L307" t="n">
        <v>0</v>
      </c>
      <c r="M307" t="n">
        <v>0</v>
      </c>
      <c r="N307" t="n">
        <v>0</v>
      </c>
      <c r="O307" t="n">
        <v>0</v>
      </c>
      <c r="P307" t="n">
        <v>0</v>
      </c>
      <c r="Q307" t="n">
        <v>0</v>
      </c>
      <c r="R307" s="2" t="inlineStr"/>
    </row>
    <row r="308" ht="15" customHeight="1">
      <c r="A308" t="inlineStr">
        <is>
          <t>A 17338-2025</t>
        </is>
      </c>
      <c r="B308" s="1" t="n">
        <v>45756</v>
      </c>
      <c r="C308" s="1" t="n">
        <v>45932</v>
      </c>
      <c r="D308" t="inlineStr">
        <is>
          <t>ÖREBRO LÄN</t>
        </is>
      </c>
      <c r="E308" t="inlineStr">
        <is>
          <t>HÄLLEFORS</t>
        </is>
      </c>
      <c r="G308" t="n">
        <v>2.5</v>
      </c>
      <c r="H308" t="n">
        <v>0</v>
      </c>
      <c r="I308" t="n">
        <v>0</v>
      </c>
      <c r="J308" t="n">
        <v>0</v>
      </c>
      <c r="K308" t="n">
        <v>0</v>
      </c>
      <c r="L308" t="n">
        <v>0</v>
      </c>
      <c r="M308" t="n">
        <v>0</v>
      </c>
      <c r="N308" t="n">
        <v>0</v>
      </c>
      <c r="O308" t="n">
        <v>0</v>
      </c>
      <c r="P308" t="n">
        <v>0</v>
      </c>
      <c r="Q308" t="n">
        <v>0</v>
      </c>
      <c r="R308" s="2" t="inlineStr"/>
    </row>
    <row r="309" ht="15" customHeight="1">
      <c r="A309" t="inlineStr">
        <is>
          <t>A 53892-2023</t>
        </is>
      </c>
      <c r="B309" s="1" t="n">
        <v>45231</v>
      </c>
      <c r="C309" s="1" t="n">
        <v>45932</v>
      </c>
      <c r="D309" t="inlineStr">
        <is>
          <t>ÖREBRO LÄN</t>
        </is>
      </c>
      <c r="E309" t="inlineStr">
        <is>
          <t>HÄLLEFORS</t>
        </is>
      </c>
      <c r="G309" t="n">
        <v>2.3</v>
      </c>
      <c r="H309" t="n">
        <v>0</v>
      </c>
      <c r="I309" t="n">
        <v>0</v>
      </c>
      <c r="J309" t="n">
        <v>0</v>
      </c>
      <c r="K309" t="n">
        <v>0</v>
      </c>
      <c r="L309" t="n">
        <v>0</v>
      </c>
      <c r="M309" t="n">
        <v>0</v>
      </c>
      <c r="N309" t="n">
        <v>0</v>
      </c>
      <c r="O309" t="n">
        <v>0</v>
      </c>
      <c r="P309" t="n">
        <v>0</v>
      </c>
      <c r="Q309" t="n">
        <v>0</v>
      </c>
      <c r="R309" s="2" t="inlineStr"/>
    </row>
    <row r="310" ht="15" customHeight="1">
      <c r="A310" t="inlineStr">
        <is>
          <t>A 36635-2022</t>
        </is>
      </c>
      <c r="B310" s="1" t="n">
        <v>44804.70893518518</v>
      </c>
      <c r="C310" s="1" t="n">
        <v>45932</v>
      </c>
      <c r="D310" t="inlineStr">
        <is>
          <t>ÖREBRO LÄN</t>
        </is>
      </c>
      <c r="E310" t="inlineStr">
        <is>
          <t>HÄLLEFORS</t>
        </is>
      </c>
      <c r="G310" t="n">
        <v>2.5</v>
      </c>
      <c r="H310" t="n">
        <v>0</v>
      </c>
      <c r="I310" t="n">
        <v>0</v>
      </c>
      <c r="J310" t="n">
        <v>0</v>
      </c>
      <c r="K310" t="n">
        <v>0</v>
      </c>
      <c r="L310" t="n">
        <v>0</v>
      </c>
      <c r="M310" t="n">
        <v>0</v>
      </c>
      <c r="N310" t="n">
        <v>0</v>
      </c>
      <c r="O310" t="n">
        <v>0</v>
      </c>
      <c r="P310" t="n">
        <v>0</v>
      </c>
      <c r="Q310" t="n">
        <v>0</v>
      </c>
      <c r="R310" s="2" t="inlineStr"/>
    </row>
    <row r="311" ht="15" customHeight="1">
      <c r="A311" t="inlineStr">
        <is>
          <t>A 9009-2023</t>
        </is>
      </c>
      <c r="B311" s="1" t="n">
        <v>44979</v>
      </c>
      <c r="C311" s="1" t="n">
        <v>45932</v>
      </c>
      <c r="D311" t="inlineStr">
        <is>
          <t>ÖREBRO LÄN</t>
        </is>
      </c>
      <c r="E311" t="inlineStr">
        <is>
          <t>HÄLLEFORS</t>
        </is>
      </c>
      <c r="G311" t="n">
        <v>0.6</v>
      </c>
      <c r="H311" t="n">
        <v>0</v>
      </c>
      <c r="I311" t="n">
        <v>0</v>
      </c>
      <c r="J311" t="n">
        <v>0</v>
      </c>
      <c r="K311" t="n">
        <v>0</v>
      </c>
      <c r="L311" t="n">
        <v>0</v>
      </c>
      <c r="M311" t="n">
        <v>0</v>
      </c>
      <c r="N311" t="n">
        <v>0</v>
      </c>
      <c r="O311" t="n">
        <v>0</v>
      </c>
      <c r="P311" t="n">
        <v>0</v>
      </c>
      <c r="Q311" t="n">
        <v>0</v>
      </c>
      <c r="R311" s="2" t="inlineStr"/>
    </row>
    <row r="312" ht="15" customHeight="1">
      <c r="A312" t="inlineStr">
        <is>
          <t>A 5657-2024</t>
        </is>
      </c>
      <c r="B312" s="1" t="n">
        <v>45334</v>
      </c>
      <c r="C312" s="1" t="n">
        <v>45932</v>
      </c>
      <c r="D312" t="inlineStr">
        <is>
          <t>ÖREBRO LÄN</t>
        </is>
      </c>
      <c r="E312" t="inlineStr">
        <is>
          <t>HÄLLEFORS</t>
        </is>
      </c>
      <c r="G312" t="n">
        <v>0.3</v>
      </c>
      <c r="H312" t="n">
        <v>0</v>
      </c>
      <c r="I312" t="n">
        <v>0</v>
      </c>
      <c r="J312" t="n">
        <v>0</v>
      </c>
      <c r="K312" t="n">
        <v>0</v>
      </c>
      <c r="L312" t="n">
        <v>0</v>
      </c>
      <c r="M312" t="n">
        <v>0</v>
      </c>
      <c r="N312" t="n">
        <v>0</v>
      </c>
      <c r="O312" t="n">
        <v>0</v>
      </c>
      <c r="P312" t="n">
        <v>0</v>
      </c>
      <c r="Q312" t="n">
        <v>0</v>
      </c>
      <c r="R312" s="2" t="inlineStr"/>
    </row>
    <row r="313" ht="15" customHeight="1">
      <c r="A313" t="inlineStr">
        <is>
          <t>A 18927-2025</t>
        </is>
      </c>
      <c r="B313" s="1" t="n">
        <v>45764.4846412037</v>
      </c>
      <c r="C313" s="1" t="n">
        <v>45932</v>
      </c>
      <c r="D313" t="inlineStr">
        <is>
          <t>ÖREBRO LÄN</t>
        </is>
      </c>
      <c r="E313" t="inlineStr">
        <is>
          <t>HÄLLEFORS</t>
        </is>
      </c>
      <c r="F313" t="inlineStr">
        <is>
          <t>Bergvik skog väst AB</t>
        </is>
      </c>
      <c r="G313" t="n">
        <v>2.3</v>
      </c>
      <c r="H313" t="n">
        <v>0</v>
      </c>
      <c r="I313" t="n">
        <v>0</v>
      </c>
      <c r="J313" t="n">
        <v>0</v>
      </c>
      <c r="K313" t="n">
        <v>0</v>
      </c>
      <c r="L313" t="n">
        <v>0</v>
      </c>
      <c r="M313" t="n">
        <v>0</v>
      </c>
      <c r="N313" t="n">
        <v>0</v>
      </c>
      <c r="O313" t="n">
        <v>0</v>
      </c>
      <c r="P313" t="n">
        <v>0</v>
      </c>
      <c r="Q313" t="n">
        <v>0</v>
      </c>
      <c r="R313" s="2" t="inlineStr"/>
    </row>
    <row r="314" ht="15" customHeight="1">
      <c r="A314" t="inlineStr">
        <is>
          <t>A 18941-2025</t>
        </is>
      </c>
      <c r="B314" s="1" t="n">
        <v>45764.495625</v>
      </c>
      <c r="C314" s="1" t="n">
        <v>45932</v>
      </c>
      <c r="D314" t="inlineStr">
        <is>
          <t>ÖREBRO LÄN</t>
        </is>
      </c>
      <c r="E314" t="inlineStr">
        <is>
          <t>HÄLLEFORS</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7774-2022</t>
        </is>
      </c>
      <c r="B315" s="1" t="n">
        <v>44608.45725694444</v>
      </c>
      <c r="C315" s="1" t="n">
        <v>45932</v>
      </c>
      <c r="D315" t="inlineStr">
        <is>
          <t>ÖREBRO LÄN</t>
        </is>
      </c>
      <c r="E315" t="inlineStr">
        <is>
          <t>HÄLLEFORS</t>
        </is>
      </c>
      <c r="G315" t="n">
        <v>0.9</v>
      </c>
      <c r="H315" t="n">
        <v>0</v>
      </c>
      <c r="I315" t="n">
        <v>0</v>
      </c>
      <c r="J315" t="n">
        <v>0</v>
      </c>
      <c r="K315" t="n">
        <v>0</v>
      </c>
      <c r="L315" t="n">
        <v>0</v>
      </c>
      <c r="M315" t="n">
        <v>0</v>
      </c>
      <c r="N315" t="n">
        <v>0</v>
      </c>
      <c r="O315" t="n">
        <v>0</v>
      </c>
      <c r="P315" t="n">
        <v>0</v>
      </c>
      <c r="Q315" t="n">
        <v>0</v>
      </c>
      <c r="R315" s="2" t="inlineStr"/>
    </row>
    <row r="316" ht="15" customHeight="1">
      <c r="A316" t="inlineStr">
        <is>
          <t>A 35183-2023</t>
        </is>
      </c>
      <c r="B316" s="1" t="n">
        <v>45145.59578703704</v>
      </c>
      <c r="C316" s="1" t="n">
        <v>45932</v>
      </c>
      <c r="D316" t="inlineStr">
        <is>
          <t>ÖREBRO LÄN</t>
        </is>
      </c>
      <c r="E316" t="inlineStr">
        <is>
          <t>HÄLLEFORS</t>
        </is>
      </c>
      <c r="F316" t="inlineStr">
        <is>
          <t>Bergvik skog väst AB</t>
        </is>
      </c>
      <c r="G316" t="n">
        <v>6.6</v>
      </c>
      <c r="H316" t="n">
        <v>0</v>
      </c>
      <c r="I316" t="n">
        <v>0</v>
      </c>
      <c r="J316" t="n">
        <v>0</v>
      </c>
      <c r="K316" t="n">
        <v>0</v>
      </c>
      <c r="L316" t="n">
        <v>0</v>
      </c>
      <c r="M316" t="n">
        <v>0</v>
      </c>
      <c r="N316" t="n">
        <v>0</v>
      </c>
      <c r="O316" t="n">
        <v>0</v>
      </c>
      <c r="P316" t="n">
        <v>0</v>
      </c>
      <c r="Q316" t="n">
        <v>0</v>
      </c>
      <c r="R316" s="2" t="inlineStr"/>
    </row>
    <row r="317" ht="15" customHeight="1">
      <c r="A317" t="inlineStr">
        <is>
          <t>A 39183-2025</t>
        </is>
      </c>
      <c r="B317" s="1" t="n">
        <v>45888.6637962963</v>
      </c>
      <c r="C317" s="1" t="n">
        <v>45932</v>
      </c>
      <c r="D317" t="inlineStr">
        <is>
          <t>ÖREBRO LÄN</t>
        </is>
      </c>
      <c r="E317" t="inlineStr">
        <is>
          <t>HÄLLEFORS</t>
        </is>
      </c>
      <c r="F317" t="inlineStr">
        <is>
          <t>Bergvik skog väst AB</t>
        </is>
      </c>
      <c r="G317" t="n">
        <v>6</v>
      </c>
      <c r="H317" t="n">
        <v>0</v>
      </c>
      <c r="I317" t="n">
        <v>0</v>
      </c>
      <c r="J317" t="n">
        <v>0</v>
      </c>
      <c r="K317" t="n">
        <v>0</v>
      </c>
      <c r="L317" t="n">
        <v>0</v>
      </c>
      <c r="M317" t="n">
        <v>0</v>
      </c>
      <c r="N317" t="n">
        <v>0</v>
      </c>
      <c r="O317" t="n">
        <v>0</v>
      </c>
      <c r="P317" t="n">
        <v>0</v>
      </c>
      <c r="Q317" t="n">
        <v>0</v>
      </c>
      <c r="R317" s="2" t="inlineStr"/>
    </row>
    <row r="318" ht="15" customHeight="1">
      <c r="A318" t="inlineStr">
        <is>
          <t>A 2283-2023</t>
        </is>
      </c>
      <c r="B318" s="1" t="n">
        <v>44942</v>
      </c>
      <c r="C318" s="1" t="n">
        <v>45932</v>
      </c>
      <c r="D318" t="inlineStr">
        <is>
          <t>ÖREBRO LÄN</t>
        </is>
      </c>
      <c r="E318" t="inlineStr">
        <is>
          <t>HÄLLEFORS</t>
        </is>
      </c>
      <c r="G318" t="n">
        <v>3.2</v>
      </c>
      <c r="H318" t="n">
        <v>0</v>
      </c>
      <c r="I318" t="n">
        <v>0</v>
      </c>
      <c r="J318" t="n">
        <v>0</v>
      </c>
      <c r="K318" t="n">
        <v>0</v>
      </c>
      <c r="L318" t="n">
        <v>0</v>
      </c>
      <c r="M318" t="n">
        <v>0</v>
      </c>
      <c r="N318" t="n">
        <v>0</v>
      </c>
      <c r="O318" t="n">
        <v>0</v>
      </c>
      <c r="P318" t="n">
        <v>0</v>
      </c>
      <c r="Q318" t="n">
        <v>0</v>
      </c>
      <c r="R318" s="2" t="inlineStr"/>
    </row>
    <row r="319" ht="15" customHeight="1">
      <c r="A319" t="inlineStr">
        <is>
          <t>A 43886-2024</t>
        </is>
      </c>
      <c r="B319" s="1" t="n">
        <v>45572.40844907407</v>
      </c>
      <c r="C319" s="1" t="n">
        <v>45932</v>
      </c>
      <c r="D319" t="inlineStr">
        <is>
          <t>ÖREBRO LÄN</t>
        </is>
      </c>
      <c r="E319" t="inlineStr">
        <is>
          <t>HÄLLEFORS</t>
        </is>
      </c>
      <c r="F319" t="inlineStr">
        <is>
          <t>Bergvik skog väst AB</t>
        </is>
      </c>
      <c r="G319" t="n">
        <v>1.7</v>
      </c>
      <c r="H319" t="n">
        <v>0</v>
      </c>
      <c r="I319" t="n">
        <v>0</v>
      </c>
      <c r="J319" t="n">
        <v>0</v>
      </c>
      <c r="K319" t="n">
        <v>0</v>
      </c>
      <c r="L319" t="n">
        <v>0</v>
      </c>
      <c r="M319" t="n">
        <v>0</v>
      </c>
      <c r="N319" t="n">
        <v>0</v>
      </c>
      <c r="O319" t="n">
        <v>0</v>
      </c>
      <c r="P319" t="n">
        <v>0</v>
      </c>
      <c r="Q319" t="n">
        <v>0</v>
      </c>
      <c r="R319" s="2" t="inlineStr"/>
    </row>
    <row r="320" ht="15" customHeight="1">
      <c r="A320" t="inlineStr">
        <is>
          <t>A 5045-2025</t>
        </is>
      </c>
      <c r="B320" s="1" t="n">
        <v>45691.44689814815</v>
      </c>
      <c r="C320" s="1" t="n">
        <v>45932</v>
      </c>
      <c r="D320" t="inlineStr">
        <is>
          <t>ÖREBRO LÄN</t>
        </is>
      </c>
      <c r="E320" t="inlineStr">
        <is>
          <t>HÄLLEFORS</t>
        </is>
      </c>
      <c r="F320" t="inlineStr">
        <is>
          <t>Bergvik skog väst AB</t>
        </is>
      </c>
      <c r="G320" t="n">
        <v>6.4</v>
      </c>
      <c r="H320" t="n">
        <v>0</v>
      </c>
      <c r="I320" t="n">
        <v>0</v>
      </c>
      <c r="J320" t="n">
        <v>0</v>
      </c>
      <c r="K320" t="n">
        <v>0</v>
      </c>
      <c r="L320" t="n">
        <v>0</v>
      </c>
      <c r="M320" t="n">
        <v>0</v>
      </c>
      <c r="N320" t="n">
        <v>0</v>
      </c>
      <c r="O320" t="n">
        <v>0</v>
      </c>
      <c r="P320" t="n">
        <v>0</v>
      </c>
      <c r="Q320" t="n">
        <v>0</v>
      </c>
      <c r="R320" s="2" t="inlineStr"/>
    </row>
    <row r="321" ht="15" customHeight="1">
      <c r="A321" t="inlineStr">
        <is>
          <t>A 60523-2024</t>
        </is>
      </c>
      <c r="B321" s="1" t="n">
        <v>45643.69060185185</v>
      </c>
      <c r="C321" s="1" t="n">
        <v>45932</v>
      </c>
      <c r="D321" t="inlineStr">
        <is>
          <t>ÖREBRO LÄN</t>
        </is>
      </c>
      <c r="E321" t="inlineStr">
        <is>
          <t>HÄLLEFORS</t>
        </is>
      </c>
      <c r="F321" t="inlineStr">
        <is>
          <t>Bergvik skog väst AB</t>
        </is>
      </c>
      <c r="G321" t="n">
        <v>1.3</v>
      </c>
      <c r="H321" t="n">
        <v>0</v>
      </c>
      <c r="I321" t="n">
        <v>0</v>
      </c>
      <c r="J321" t="n">
        <v>0</v>
      </c>
      <c r="K321" t="n">
        <v>0</v>
      </c>
      <c r="L321" t="n">
        <v>0</v>
      </c>
      <c r="M321" t="n">
        <v>0</v>
      </c>
      <c r="N321" t="n">
        <v>0</v>
      </c>
      <c r="O321" t="n">
        <v>0</v>
      </c>
      <c r="P321" t="n">
        <v>0</v>
      </c>
      <c r="Q321" t="n">
        <v>0</v>
      </c>
      <c r="R321" s="2" t="inlineStr"/>
    </row>
    <row r="322" ht="15" customHeight="1">
      <c r="A322" t="inlineStr">
        <is>
          <t>A 5256-2025</t>
        </is>
      </c>
      <c r="B322" s="1" t="n">
        <v>45692.36032407408</v>
      </c>
      <c r="C322" s="1" t="n">
        <v>45932</v>
      </c>
      <c r="D322" t="inlineStr">
        <is>
          <t>ÖREBRO LÄN</t>
        </is>
      </c>
      <c r="E322" t="inlineStr">
        <is>
          <t>HÄLLEFORS</t>
        </is>
      </c>
      <c r="F322" t="inlineStr">
        <is>
          <t>Bergvik skog väst AB</t>
        </is>
      </c>
      <c r="G322" t="n">
        <v>6.3</v>
      </c>
      <c r="H322" t="n">
        <v>0</v>
      </c>
      <c r="I322" t="n">
        <v>0</v>
      </c>
      <c r="J322" t="n">
        <v>0</v>
      </c>
      <c r="K322" t="n">
        <v>0</v>
      </c>
      <c r="L322" t="n">
        <v>0</v>
      </c>
      <c r="M322" t="n">
        <v>0</v>
      </c>
      <c r="N322" t="n">
        <v>0</v>
      </c>
      <c r="O322" t="n">
        <v>0</v>
      </c>
      <c r="P322" t="n">
        <v>0</v>
      </c>
      <c r="Q322" t="n">
        <v>0</v>
      </c>
      <c r="R322" s="2" t="inlineStr"/>
    </row>
    <row r="323" ht="15" customHeight="1">
      <c r="A323" t="inlineStr">
        <is>
          <t>A 47190-2022</t>
        </is>
      </c>
      <c r="B323" s="1" t="n">
        <v>44852</v>
      </c>
      <c r="C323" s="1" t="n">
        <v>45932</v>
      </c>
      <c r="D323" t="inlineStr">
        <is>
          <t>ÖREBRO LÄN</t>
        </is>
      </c>
      <c r="E323" t="inlineStr">
        <is>
          <t>HÄLLEFORS</t>
        </is>
      </c>
      <c r="F323" t="inlineStr">
        <is>
          <t>Bergvik skog väst AB</t>
        </is>
      </c>
      <c r="G323" t="n">
        <v>2.1</v>
      </c>
      <c r="H323" t="n">
        <v>0</v>
      </c>
      <c r="I323" t="n">
        <v>0</v>
      </c>
      <c r="J323" t="n">
        <v>0</v>
      </c>
      <c r="K323" t="n">
        <v>0</v>
      </c>
      <c r="L323" t="n">
        <v>0</v>
      </c>
      <c r="M323" t="n">
        <v>0</v>
      </c>
      <c r="N323" t="n">
        <v>0</v>
      </c>
      <c r="O323" t="n">
        <v>0</v>
      </c>
      <c r="P323" t="n">
        <v>0</v>
      </c>
      <c r="Q323" t="n">
        <v>0</v>
      </c>
      <c r="R323" s="2" t="inlineStr"/>
    </row>
    <row r="324" ht="15" customHeight="1">
      <c r="A324" t="inlineStr">
        <is>
          <t>A 34478-2022</t>
        </is>
      </c>
      <c r="B324" s="1" t="n">
        <v>44792.64494212963</v>
      </c>
      <c r="C324" s="1" t="n">
        <v>45932</v>
      </c>
      <c r="D324" t="inlineStr">
        <is>
          <t>ÖREBRO LÄN</t>
        </is>
      </c>
      <c r="E324" t="inlineStr">
        <is>
          <t>HÄLLEFORS</t>
        </is>
      </c>
      <c r="G324" t="n">
        <v>0.9</v>
      </c>
      <c r="H324" t="n">
        <v>0</v>
      </c>
      <c r="I324" t="n">
        <v>0</v>
      </c>
      <c r="J324" t="n">
        <v>0</v>
      </c>
      <c r="K324" t="n">
        <v>0</v>
      </c>
      <c r="L324" t="n">
        <v>0</v>
      </c>
      <c r="M324" t="n">
        <v>0</v>
      </c>
      <c r="N324" t="n">
        <v>0</v>
      </c>
      <c r="O324" t="n">
        <v>0</v>
      </c>
      <c r="P324" t="n">
        <v>0</v>
      </c>
      <c r="Q324" t="n">
        <v>0</v>
      </c>
      <c r="R324" s="2" t="inlineStr"/>
    </row>
    <row r="325" ht="15" customHeight="1">
      <c r="A325" t="inlineStr">
        <is>
          <t>A 40530-2022</t>
        </is>
      </c>
      <c r="B325" s="1" t="n">
        <v>44823</v>
      </c>
      <c r="C325" s="1" t="n">
        <v>45932</v>
      </c>
      <c r="D325" t="inlineStr">
        <is>
          <t>ÖREBRO LÄN</t>
        </is>
      </c>
      <c r="E325" t="inlineStr">
        <is>
          <t>HÄLLEFORS</t>
        </is>
      </c>
      <c r="G325" t="n">
        <v>0.6</v>
      </c>
      <c r="H325" t="n">
        <v>0</v>
      </c>
      <c r="I325" t="n">
        <v>0</v>
      </c>
      <c r="J325" t="n">
        <v>0</v>
      </c>
      <c r="K325" t="n">
        <v>0</v>
      </c>
      <c r="L325" t="n">
        <v>0</v>
      </c>
      <c r="M325" t="n">
        <v>0</v>
      </c>
      <c r="N325" t="n">
        <v>0</v>
      </c>
      <c r="O325" t="n">
        <v>0</v>
      </c>
      <c r="P325" t="n">
        <v>0</v>
      </c>
      <c r="Q325" t="n">
        <v>0</v>
      </c>
      <c r="R325" s="2" t="inlineStr"/>
    </row>
    <row r="326" ht="15" customHeight="1">
      <c r="A326" t="inlineStr">
        <is>
          <t>A 17045-2025</t>
        </is>
      </c>
      <c r="B326" s="1" t="n">
        <v>45755.59307870371</v>
      </c>
      <c r="C326" s="1" t="n">
        <v>45932</v>
      </c>
      <c r="D326" t="inlineStr">
        <is>
          <t>ÖREBRO LÄN</t>
        </is>
      </c>
      <c r="E326" t="inlineStr">
        <is>
          <t>HÄLLEFORS</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15013-2024</t>
        </is>
      </c>
      <c r="B327" s="1" t="n">
        <v>45399</v>
      </c>
      <c r="C327" s="1" t="n">
        <v>45932</v>
      </c>
      <c r="D327" t="inlineStr">
        <is>
          <t>ÖREBRO LÄN</t>
        </is>
      </c>
      <c r="E327" t="inlineStr">
        <is>
          <t>HÄLLEFORS</t>
        </is>
      </c>
      <c r="F327" t="inlineStr">
        <is>
          <t>Bergvik skog väst AB</t>
        </is>
      </c>
      <c r="G327" t="n">
        <v>0.5</v>
      </c>
      <c r="H327" t="n">
        <v>0</v>
      </c>
      <c r="I327" t="n">
        <v>0</v>
      </c>
      <c r="J327" t="n">
        <v>0</v>
      </c>
      <c r="K327" t="n">
        <v>0</v>
      </c>
      <c r="L327" t="n">
        <v>0</v>
      </c>
      <c r="M327" t="n">
        <v>0</v>
      </c>
      <c r="N327" t="n">
        <v>0</v>
      </c>
      <c r="O327" t="n">
        <v>0</v>
      </c>
      <c r="P327" t="n">
        <v>0</v>
      </c>
      <c r="Q327" t="n">
        <v>0</v>
      </c>
      <c r="R327" s="2" t="inlineStr"/>
    </row>
    <row r="328" ht="15" customHeight="1">
      <c r="A328" t="inlineStr">
        <is>
          <t>A 46980-2023</t>
        </is>
      </c>
      <c r="B328" s="1" t="n">
        <v>45201</v>
      </c>
      <c r="C328" s="1" t="n">
        <v>45932</v>
      </c>
      <c r="D328" t="inlineStr">
        <is>
          <t>ÖREBRO LÄN</t>
        </is>
      </c>
      <c r="E328" t="inlineStr">
        <is>
          <t>HÄLLEFORS</t>
        </is>
      </c>
      <c r="F328" t="inlineStr">
        <is>
          <t>Bergvik skog väst AB</t>
        </is>
      </c>
      <c r="G328" t="n">
        <v>7.5</v>
      </c>
      <c r="H328" t="n">
        <v>0</v>
      </c>
      <c r="I328" t="n">
        <v>0</v>
      </c>
      <c r="J328" t="n">
        <v>0</v>
      </c>
      <c r="K328" t="n">
        <v>0</v>
      </c>
      <c r="L328" t="n">
        <v>0</v>
      </c>
      <c r="M328" t="n">
        <v>0</v>
      </c>
      <c r="N328" t="n">
        <v>0</v>
      </c>
      <c r="O328" t="n">
        <v>0</v>
      </c>
      <c r="P328" t="n">
        <v>0</v>
      </c>
      <c r="Q328" t="n">
        <v>0</v>
      </c>
      <c r="R328" s="2" t="inlineStr"/>
    </row>
    <row r="329" ht="15" customHeight="1">
      <c r="A329" t="inlineStr">
        <is>
          <t>A 9536-2025</t>
        </is>
      </c>
      <c r="B329" s="1" t="n">
        <v>45715.57746527778</v>
      </c>
      <c r="C329" s="1" t="n">
        <v>45932</v>
      </c>
      <c r="D329" t="inlineStr">
        <is>
          <t>ÖREBRO LÄN</t>
        </is>
      </c>
      <c r="E329" t="inlineStr">
        <is>
          <t>HÄLLEFORS</t>
        </is>
      </c>
      <c r="G329" t="n">
        <v>1.5</v>
      </c>
      <c r="H329" t="n">
        <v>0</v>
      </c>
      <c r="I329" t="n">
        <v>0</v>
      </c>
      <c r="J329" t="n">
        <v>0</v>
      </c>
      <c r="K329" t="n">
        <v>0</v>
      </c>
      <c r="L329" t="n">
        <v>0</v>
      </c>
      <c r="M329" t="n">
        <v>0</v>
      </c>
      <c r="N329" t="n">
        <v>0</v>
      </c>
      <c r="O329" t="n">
        <v>0</v>
      </c>
      <c r="P329" t="n">
        <v>0</v>
      </c>
      <c r="Q329" t="n">
        <v>0</v>
      </c>
      <c r="R329" s="2" t="inlineStr"/>
    </row>
    <row r="330" ht="15" customHeight="1">
      <c r="A330" t="inlineStr">
        <is>
          <t>A 17810-2025</t>
        </is>
      </c>
      <c r="B330" s="1" t="n">
        <v>45758.55883101852</v>
      </c>
      <c r="C330" s="1" t="n">
        <v>45932</v>
      </c>
      <c r="D330" t="inlineStr">
        <is>
          <t>ÖREBRO LÄN</t>
        </is>
      </c>
      <c r="E330" t="inlineStr">
        <is>
          <t>HÄLLEFORS</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12558-2025</t>
        </is>
      </c>
      <c r="B331" s="1" t="n">
        <v>45731.46960648148</v>
      </c>
      <c r="C331" s="1" t="n">
        <v>45932</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5268-2025</t>
        </is>
      </c>
      <c r="B332" s="1" t="n">
        <v>45692.40298611111</v>
      </c>
      <c r="C332" s="1" t="n">
        <v>45932</v>
      </c>
      <c r="D332" t="inlineStr">
        <is>
          <t>ÖREBRO LÄN</t>
        </is>
      </c>
      <c r="E332" t="inlineStr">
        <is>
          <t>HÄLLEFORS</t>
        </is>
      </c>
      <c r="F332" t="inlineStr">
        <is>
          <t>Bergvik skog väst AB</t>
        </is>
      </c>
      <c r="G332" t="n">
        <v>3.8</v>
      </c>
      <c r="H332" t="n">
        <v>0</v>
      </c>
      <c r="I332" t="n">
        <v>0</v>
      </c>
      <c r="J332" t="n">
        <v>0</v>
      </c>
      <c r="K332" t="n">
        <v>0</v>
      </c>
      <c r="L332" t="n">
        <v>0</v>
      </c>
      <c r="M332" t="n">
        <v>0</v>
      </c>
      <c r="N332" t="n">
        <v>0</v>
      </c>
      <c r="O332" t="n">
        <v>0</v>
      </c>
      <c r="P332" t="n">
        <v>0</v>
      </c>
      <c r="Q332" t="n">
        <v>0</v>
      </c>
      <c r="R332" s="2" t="inlineStr"/>
    </row>
    <row r="333" ht="15" customHeight="1">
      <c r="A333" t="inlineStr">
        <is>
          <t>A 17120-2025</t>
        </is>
      </c>
      <c r="B333" s="1" t="n">
        <v>45755.68921296296</v>
      </c>
      <c r="C333" s="1" t="n">
        <v>45932</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1019-2025</t>
        </is>
      </c>
      <c r="B334" s="1" t="n">
        <v>45666.49216435185</v>
      </c>
      <c r="C334" s="1" t="n">
        <v>45932</v>
      </c>
      <c r="D334" t="inlineStr">
        <is>
          <t>ÖREBRO LÄN</t>
        </is>
      </c>
      <c r="E334" t="inlineStr">
        <is>
          <t>HÄLLEFORS</t>
        </is>
      </c>
      <c r="G334" t="n">
        <v>0.4</v>
      </c>
      <c r="H334" t="n">
        <v>0</v>
      </c>
      <c r="I334" t="n">
        <v>0</v>
      </c>
      <c r="J334" t="n">
        <v>0</v>
      </c>
      <c r="K334" t="n">
        <v>0</v>
      </c>
      <c r="L334" t="n">
        <v>0</v>
      </c>
      <c r="M334" t="n">
        <v>0</v>
      </c>
      <c r="N334" t="n">
        <v>0</v>
      </c>
      <c r="O334" t="n">
        <v>0</v>
      </c>
      <c r="P334" t="n">
        <v>0</v>
      </c>
      <c r="Q334" t="n">
        <v>0</v>
      </c>
      <c r="R334" s="2" t="inlineStr"/>
    </row>
    <row r="335" ht="15" customHeight="1">
      <c r="A335" t="inlineStr">
        <is>
          <t>A 55747-2024</t>
        </is>
      </c>
      <c r="B335" s="1" t="n">
        <v>45623.32141203704</v>
      </c>
      <c r="C335" s="1" t="n">
        <v>45932</v>
      </c>
      <c r="D335" t="inlineStr">
        <is>
          <t>ÖREBRO LÄN</t>
        </is>
      </c>
      <c r="E335" t="inlineStr">
        <is>
          <t>HÄLLEFORS</t>
        </is>
      </c>
      <c r="F335" t="inlineStr">
        <is>
          <t>Bergvik skog väst AB</t>
        </is>
      </c>
      <c r="G335" t="n">
        <v>2.7</v>
      </c>
      <c r="H335" t="n">
        <v>0</v>
      </c>
      <c r="I335" t="n">
        <v>0</v>
      </c>
      <c r="J335" t="n">
        <v>0</v>
      </c>
      <c r="K335" t="n">
        <v>0</v>
      </c>
      <c r="L335" t="n">
        <v>0</v>
      </c>
      <c r="M335" t="n">
        <v>0</v>
      </c>
      <c r="N335" t="n">
        <v>0</v>
      </c>
      <c r="O335" t="n">
        <v>0</v>
      </c>
      <c r="P335" t="n">
        <v>0</v>
      </c>
      <c r="Q335" t="n">
        <v>0</v>
      </c>
      <c r="R335" s="2" t="inlineStr"/>
    </row>
    <row r="336" ht="15" customHeight="1">
      <c r="A336" t="inlineStr">
        <is>
          <t>A 18657-2025</t>
        </is>
      </c>
      <c r="B336" s="1" t="n">
        <v>45763.57651620371</v>
      </c>
      <c r="C336" s="1" t="n">
        <v>45932</v>
      </c>
      <c r="D336" t="inlineStr">
        <is>
          <t>ÖREBRO LÄN</t>
        </is>
      </c>
      <c r="E336" t="inlineStr">
        <is>
          <t>HÄLLEFORS</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39171-2024</t>
        </is>
      </c>
      <c r="B337" s="1" t="n">
        <v>45548</v>
      </c>
      <c r="C337" s="1" t="n">
        <v>45932</v>
      </c>
      <c r="D337" t="inlineStr">
        <is>
          <t>ÖREBRO LÄN</t>
        </is>
      </c>
      <c r="E337" t="inlineStr">
        <is>
          <t>HÄLLEFORS</t>
        </is>
      </c>
      <c r="G337" t="n">
        <v>3.8</v>
      </c>
      <c r="H337" t="n">
        <v>0</v>
      </c>
      <c r="I337" t="n">
        <v>0</v>
      </c>
      <c r="J337" t="n">
        <v>0</v>
      </c>
      <c r="K337" t="n">
        <v>0</v>
      </c>
      <c r="L337" t="n">
        <v>0</v>
      </c>
      <c r="M337" t="n">
        <v>0</v>
      </c>
      <c r="N337" t="n">
        <v>0</v>
      </c>
      <c r="O337" t="n">
        <v>0</v>
      </c>
      <c r="P337" t="n">
        <v>0</v>
      </c>
      <c r="Q337" t="n">
        <v>0</v>
      </c>
      <c r="R337" s="2" t="inlineStr"/>
    </row>
    <row r="338" ht="15" customHeight="1">
      <c r="A338" t="inlineStr">
        <is>
          <t>A 55397-2023</t>
        </is>
      </c>
      <c r="B338" s="1" t="n">
        <v>45238</v>
      </c>
      <c r="C338" s="1" t="n">
        <v>45932</v>
      </c>
      <c r="D338" t="inlineStr">
        <is>
          <t>ÖREBRO LÄN</t>
        </is>
      </c>
      <c r="E338" t="inlineStr">
        <is>
          <t>HÄLLEFORS</t>
        </is>
      </c>
      <c r="G338" t="n">
        <v>1.3</v>
      </c>
      <c r="H338" t="n">
        <v>0</v>
      </c>
      <c r="I338" t="n">
        <v>0</v>
      </c>
      <c r="J338" t="n">
        <v>0</v>
      </c>
      <c r="K338" t="n">
        <v>0</v>
      </c>
      <c r="L338" t="n">
        <v>0</v>
      </c>
      <c r="M338" t="n">
        <v>0</v>
      </c>
      <c r="N338" t="n">
        <v>0</v>
      </c>
      <c r="O338" t="n">
        <v>0</v>
      </c>
      <c r="P338" t="n">
        <v>0</v>
      </c>
      <c r="Q338" t="n">
        <v>0</v>
      </c>
      <c r="R338" s="2" t="inlineStr"/>
    </row>
    <row r="339" ht="15" customHeight="1">
      <c r="A339" t="inlineStr">
        <is>
          <t>A 5245-2025</t>
        </is>
      </c>
      <c r="B339" s="1" t="n">
        <v>45692</v>
      </c>
      <c r="C339" s="1" t="n">
        <v>45932</v>
      </c>
      <c r="D339" t="inlineStr">
        <is>
          <t>ÖREBRO LÄN</t>
        </is>
      </c>
      <c r="E339" t="inlineStr">
        <is>
          <t>HÄLLEFORS</t>
        </is>
      </c>
      <c r="F339" t="inlineStr">
        <is>
          <t>Bergvik skog väst AB</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17050-2025</t>
        </is>
      </c>
      <c r="B340" s="1" t="n">
        <v>45755.5997337963</v>
      </c>
      <c r="C340" s="1" t="n">
        <v>45932</v>
      </c>
      <c r="D340" t="inlineStr">
        <is>
          <t>ÖREBRO LÄN</t>
        </is>
      </c>
      <c r="E340" t="inlineStr">
        <is>
          <t>HÄLLEFORS</t>
        </is>
      </c>
      <c r="F340" t="inlineStr">
        <is>
          <t>Bergvik skog väst AB</t>
        </is>
      </c>
      <c r="G340" t="n">
        <v>2.3</v>
      </c>
      <c r="H340" t="n">
        <v>0</v>
      </c>
      <c r="I340" t="n">
        <v>0</v>
      </c>
      <c r="J340" t="n">
        <v>0</v>
      </c>
      <c r="K340" t="n">
        <v>0</v>
      </c>
      <c r="L340" t="n">
        <v>0</v>
      </c>
      <c r="M340" t="n">
        <v>0</v>
      </c>
      <c r="N340" t="n">
        <v>0</v>
      </c>
      <c r="O340" t="n">
        <v>0</v>
      </c>
      <c r="P340" t="n">
        <v>0</v>
      </c>
      <c r="Q340" t="n">
        <v>0</v>
      </c>
      <c r="R340" s="2" t="inlineStr"/>
    </row>
    <row r="341" ht="15" customHeight="1">
      <c r="A341" t="inlineStr">
        <is>
          <t>A 44400-2025</t>
        </is>
      </c>
      <c r="B341" s="1" t="n">
        <v>45916.5037037037</v>
      </c>
      <c r="C341" s="1" t="n">
        <v>45932</v>
      </c>
      <c r="D341" t="inlineStr">
        <is>
          <t>ÖREBRO LÄN</t>
        </is>
      </c>
      <c r="E341" t="inlineStr">
        <is>
          <t>HÄLLEFORS</t>
        </is>
      </c>
      <c r="F341" t="inlineStr">
        <is>
          <t>Bergvik skog väst AB</t>
        </is>
      </c>
      <c r="G341" t="n">
        <v>2.2</v>
      </c>
      <c r="H341" t="n">
        <v>0</v>
      </c>
      <c r="I341" t="n">
        <v>0</v>
      </c>
      <c r="J341" t="n">
        <v>0</v>
      </c>
      <c r="K341" t="n">
        <v>0</v>
      </c>
      <c r="L341" t="n">
        <v>0</v>
      </c>
      <c r="M341" t="n">
        <v>0</v>
      </c>
      <c r="N341" t="n">
        <v>0</v>
      </c>
      <c r="O341" t="n">
        <v>0</v>
      </c>
      <c r="P341" t="n">
        <v>0</v>
      </c>
      <c r="Q341" t="n">
        <v>0</v>
      </c>
      <c r="R341" s="2" t="inlineStr"/>
    </row>
    <row r="342" ht="15" customHeight="1">
      <c r="A342" t="inlineStr">
        <is>
          <t>A 49215-2022</t>
        </is>
      </c>
      <c r="B342" s="1" t="n">
        <v>44861</v>
      </c>
      <c r="C342" s="1" t="n">
        <v>45932</v>
      </c>
      <c r="D342" t="inlineStr">
        <is>
          <t>ÖREBRO LÄN</t>
        </is>
      </c>
      <c r="E342" t="inlineStr">
        <is>
          <t>HÄLLEFORS</t>
        </is>
      </c>
      <c r="F342" t="inlineStr">
        <is>
          <t>Bergvik skog väst AB</t>
        </is>
      </c>
      <c r="G342" t="n">
        <v>9</v>
      </c>
      <c r="H342" t="n">
        <v>0</v>
      </c>
      <c r="I342" t="n">
        <v>0</v>
      </c>
      <c r="J342" t="n">
        <v>0</v>
      </c>
      <c r="K342" t="n">
        <v>0</v>
      </c>
      <c r="L342" t="n">
        <v>0</v>
      </c>
      <c r="M342" t="n">
        <v>0</v>
      </c>
      <c r="N342" t="n">
        <v>0</v>
      </c>
      <c r="O342" t="n">
        <v>0</v>
      </c>
      <c r="P342" t="n">
        <v>0</v>
      </c>
      <c r="Q342" t="n">
        <v>0</v>
      </c>
      <c r="R342" s="2" t="inlineStr"/>
    </row>
    <row r="343" ht="15" customHeight="1">
      <c r="A343" t="inlineStr">
        <is>
          <t>A 37232-2025</t>
        </is>
      </c>
      <c r="B343" s="1" t="n">
        <v>45876.34452546296</v>
      </c>
      <c r="C343" s="1" t="n">
        <v>45932</v>
      </c>
      <c r="D343" t="inlineStr">
        <is>
          <t>ÖREBRO LÄN</t>
        </is>
      </c>
      <c r="E343" t="inlineStr">
        <is>
          <t>HÄLLEFORS</t>
        </is>
      </c>
      <c r="F343" t="inlineStr">
        <is>
          <t>Bergvik skog väst AB</t>
        </is>
      </c>
      <c r="G343" t="n">
        <v>3.1</v>
      </c>
      <c r="H343" t="n">
        <v>0</v>
      </c>
      <c r="I343" t="n">
        <v>0</v>
      </c>
      <c r="J343" t="n">
        <v>0</v>
      </c>
      <c r="K343" t="n">
        <v>0</v>
      </c>
      <c r="L343" t="n">
        <v>0</v>
      </c>
      <c r="M343" t="n">
        <v>0</v>
      </c>
      <c r="N343" t="n">
        <v>0</v>
      </c>
      <c r="O343" t="n">
        <v>0</v>
      </c>
      <c r="P343" t="n">
        <v>0</v>
      </c>
      <c r="Q343" t="n">
        <v>0</v>
      </c>
      <c r="R343" s="2" t="inlineStr"/>
    </row>
    <row r="344" ht="15" customHeight="1">
      <c r="A344" t="inlineStr">
        <is>
          <t>A 16169-2025</t>
        </is>
      </c>
      <c r="B344" s="1" t="n">
        <v>45750</v>
      </c>
      <c r="C344" s="1" t="n">
        <v>45932</v>
      </c>
      <c r="D344" t="inlineStr">
        <is>
          <t>ÖREBRO LÄN</t>
        </is>
      </c>
      <c r="E344" t="inlineStr">
        <is>
          <t>HÄLLEFORS</t>
        </is>
      </c>
      <c r="F344" t="inlineStr">
        <is>
          <t>Kyrkan</t>
        </is>
      </c>
      <c r="G344" t="n">
        <v>2.1</v>
      </c>
      <c r="H344" t="n">
        <v>0</v>
      </c>
      <c r="I344" t="n">
        <v>0</v>
      </c>
      <c r="J344" t="n">
        <v>0</v>
      </c>
      <c r="K344" t="n">
        <v>0</v>
      </c>
      <c r="L344" t="n">
        <v>0</v>
      </c>
      <c r="M344" t="n">
        <v>0</v>
      </c>
      <c r="N344" t="n">
        <v>0</v>
      </c>
      <c r="O344" t="n">
        <v>0</v>
      </c>
      <c r="P344" t="n">
        <v>0</v>
      </c>
      <c r="Q344" t="n">
        <v>0</v>
      </c>
      <c r="R344" s="2" t="inlineStr"/>
    </row>
    <row r="345" ht="15" customHeight="1">
      <c r="A345" t="inlineStr">
        <is>
          <t>A 44693-2025</t>
        </is>
      </c>
      <c r="B345" s="1" t="n">
        <v>45917</v>
      </c>
      <c r="C345" s="1" t="n">
        <v>45932</v>
      </c>
      <c r="D345" t="inlineStr">
        <is>
          <t>ÖREBRO LÄN</t>
        </is>
      </c>
      <c r="E345" t="inlineStr">
        <is>
          <t>HÄLLEFORS</t>
        </is>
      </c>
      <c r="G345" t="n">
        <v>10.3</v>
      </c>
      <c r="H345" t="n">
        <v>0</v>
      </c>
      <c r="I345" t="n">
        <v>0</v>
      </c>
      <c r="J345" t="n">
        <v>0</v>
      </c>
      <c r="K345" t="n">
        <v>0</v>
      </c>
      <c r="L345" t="n">
        <v>0</v>
      </c>
      <c r="M345" t="n">
        <v>0</v>
      </c>
      <c r="N345" t="n">
        <v>0</v>
      </c>
      <c r="O345" t="n">
        <v>0</v>
      </c>
      <c r="P345" t="n">
        <v>0</v>
      </c>
      <c r="Q345" t="n">
        <v>0</v>
      </c>
      <c r="R345" s="2" t="inlineStr"/>
    </row>
    <row r="346" ht="15" customHeight="1">
      <c r="A346" t="inlineStr">
        <is>
          <t>A 26537-2021</t>
        </is>
      </c>
      <c r="B346" s="1" t="n">
        <v>44348</v>
      </c>
      <c r="C346" s="1" t="n">
        <v>45932</v>
      </c>
      <c r="D346" t="inlineStr">
        <is>
          <t>ÖREBRO LÄN</t>
        </is>
      </c>
      <c r="E346" t="inlineStr">
        <is>
          <t>HÄLLEFORS</t>
        </is>
      </c>
      <c r="F346" t="inlineStr">
        <is>
          <t>Bergvik skog väst AB</t>
        </is>
      </c>
      <c r="G346" t="n">
        <v>0.3</v>
      </c>
      <c r="H346" t="n">
        <v>0</v>
      </c>
      <c r="I346" t="n">
        <v>0</v>
      </c>
      <c r="J346" t="n">
        <v>0</v>
      </c>
      <c r="K346" t="n">
        <v>0</v>
      </c>
      <c r="L346" t="n">
        <v>0</v>
      </c>
      <c r="M346" t="n">
        <v>0</v>
      </c>
      <c r="N346" t="n">
        <v>0</v>
      </c>
      <c r="O346" t="n">
        <v>0</v>
      </c>
      <c r="P346" t="n">
        <v>0</v>
      </c>
      <c r="Q346" t="n">
        <v>0</v>
      </c>
      <c r="R346" s="2" t="inlineStr"/>
    </row>
    <row r="347" ht="15" customHeight="1">
      <c r="A347" t="inlineStr">
        <is>
          <t>A 18664-2025</t>
        </is>
      </c>
      <c r="B347" s="1" t="n">
        <v>45763.58991898148</v>
      </c>
      <c r="C347" s="1" t="n">
        <v>45932</v>
      </c>
      <c r="D347" t="inlineStr">
        <is>
          <t>ÖREBRO LÄN</t>
        </is>
      </c>
      <c r="E347" t="inlineStr">
        <is>
          <t>HÄLLEFORS</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46599-2024</t>
        </is>
      </c>
      <c r="B348" s="1" t="n">
        <v>45582</v>
      </c>
      <c r="C348" s="1" t="n">
        <v>45932</v>
      </c>
      <c r="D348" t="inlineStr">
        <is>
          <t>ÖREBRO LÄN</t>
        </is>
      </c>
      <c r="E348" t="inlineStr">
        <is>
          <t>HÄLLEFORS</t>
        </is>
      </c>
      <c r="F348" t="inlineStr">
        <is>
          <t>Sveaskog</t>
        </is>
      </c>
      <c r="G348" t="n">
        <v>10.1</v>
      </c>
      <c r="H348" t="n">
        <v>0</v>
      </c>
      <c r="I348" t="n">
        <v>0</v>
      </c>
      <c r="J348" t="n">
        <v>0</v>
      </c>
      <c r="K348" t="n">
        <v>0</v>
      </c>
      <c r="L348" t="n">
        <v>0</v>
      </c>
      <c r="M348" t="n">
        <v>0</v>
      </c>
      <c r="N348" t="n">
        <v>0</v>
      </c>
      <c r="O348" t="n">
        <v>0</v>
      </c>
      <c r="P348" t="n">
        <v>0</v>
      </c>
      <c r="Q348" t="n">
        <v>0</v>
      </c>
      <c r="R348" s="2" t="inlineStr"/>
    </row>
    <row r="349" ht="15" customHeight="1">
      <c r="A349" t="inlineStr">
        <is>
          <t>A 623-2023</t>
        </is>
      </c>
      <c r="B349" s="1" t="n">
        <v>44930</v>
      </c>
      <c r="C349" s="1" t="n">
        <v>45932</v>
      </c>
      <c r="D349" t="inlineStr">
        <is>
          <t>ÖREBRO LÄN</t>
        </is>
      </c>
      <c r="E349" t="inlineStr">
        <is>
          <t>HÄLLEFORS</t>
        </is>
      </c>
      <c r="G349" t="n">
        <v>1.4</v>
      </c>
      <c r="H349" t="n">
        <v>0</v>
      </c>
      <c r="I349" t="n">
        <v>0</v>
      </c>
      <c r="J349" t="n">
        <v>0</v>
      </c>
      <c r="K349" t="n">
        <v>0</v>
      </c>
      <c r="L349" t="n">
        <v>0</v>
      </c>
      <c r="M349" t="n">
        <v>0</v>
      </c>
      <c r="N349" t="n">
        <v>0</v>
      </c>
      <c r="O349" t="n">
        <v>0</v>
      </c>
      <c r="P349" t="n">
        <v>0</v>
      </c>
      <c r="Q349" t="n">
        <v>0</v>
      </c>
      <c r="R349" s="2" t="inlineStr"/>
    </row>
    <row r="350" ht="15" customHeight="1">
      <c r="A350" t="inlineStr">
        <is>
          <t>A 45916-2025</t>
        </is>
      </c>
      <c r="B350" s="1" t="n">
        <v>45923.83761574074</v>
      </c>
      <c r="C350" s="1" t="n">
        <v>45932</v>
      </c>
      <c r="D350" t="inlineStr">
        <is>
          <t>ÖREBRO LÄN</t>
        </is>
      </c>
      <c r="E350" t="inlineStr">
        <is>
          <t>HÄLLEFORS</t>
        </is>
      </c>
      <c r="F350" t="inlineStr">
        <is>
          <t>Bergvik skog väst AB</t>
        </is>
      </c>
      <c r="G350" t="n">
        <v>2.6</v>
      </c>
      <c r="H350" t="n">
        <v>0</v>
      </c>
      <c r="I350" t="n">
        <v>0</v>
      </c>
      <c r="J350" t="n">
        <v>0</v>
      </c>
      <c r="K350" t="n">
        <v>0</v>
      </c>
      <c r="L350" t="n">
        <v>0</v>
      </c>
      <c r="M350" t="n">
        <v>0</v>
      </c>
      <c r="N350" t="n">
        <v>0</v>
      </c>
      <c r="O350" t="n">
        <v>0</v>
      </c>
      <c r="P350" t="n">
        <v>0</v>
      </c>
      <c r="Q350" t="n">
        <v>0</v>
      </c>
      <c r="R350" s="2" t="inlineStr"/>
    </row>
    <row r="351" ht="15" customHeight="1">
      <c r="A351" t="inlineStr">
        <is>
          <t>A 17661-2025</t>
        </is>
      </c>
      <c r="B351" s="1" t="n">
        <v>45758.35846064815</v>
      </c>
      <c r="C351" s="1" t="n">
        <v>45932</v>
      </c>
      <c r="D351" t="inlineStr">
        <is>
          <t>ÖREBRO LÄN</t>
        </is>
      </c>
      <c r="E351" t="inlineStr">
        <is>
          <t>HÄLLEFORS</t>
        </is>
      </c>
      <c r="G351" t="n">
        <v>2.1</v>
      </c>
      <c r="H351" t="n">
        <v>0</v>
      </c>
      <c r="I351" t="n">
        <v>0</v>
      </c>
      <c r="J351" t="n">
        <v>0</v>
      </c>
      <c r="K351" t="n">
        <v>0</v>
      </c>
      <c r="L351" t="n">
        <v>0</v>
      </c>
      <c r="M351" t="n">
        <v>0</v>
      </c>
      <c r="N351" t="n">
        <v>0</v>
      </c>
      <c r="O351" t="n">
        <v>0</v>
      </c>
      <c r="P351" t="n">
        <v>0</v>
      </c>
      <c r="Q351" t="n">
        <v>0</v>
      </c>
      <c r="R351" s="2" t="inlineStr"/>
    </row>
    <row r="352" ht="15" customHeight="1">
      <c r="A352" t="inlineStr">
        <is>
          <t>A 59957-2024</t>
        </is>
      </c>
      <c r="B352" s="1" t="n">
        <v>45642.35061342592</v>
      </c>
      <c r="C352" s="1" t="n">
        <v>45932</v>
      </c>
      <c r="D352" t="inlineStr">
        <is>
          <t>ÖREBRO LÄN</t>
        </is>
      </c>
      <c r="E352" t="inlineStr">
        <is>
          <t>HÄLLEFORS</t>
        </is>
      </c>
      <c r="F352" t="inlineStr">
        <is>
          <t>Bergvik skog väst AB</t>
        </is>
      </c>
      <c r="G352" t="n">
        <v>4.3</v>
      </c>
      <c r="H352" t="n">
        <v>0</v>
      </c>
      <c r="I352" t="n">
        <v>0</v>
      </c>
      <c r="J352" t="n">
        <v>0</v>
      </c>
      <c r="K352" t="n">
        <v>0</v>
      </c>
      <c r="L352" t="n">
        <v>0</v>
      </c>
      <c r="M352" t="n">
        <v>0</v>
      </c>
      <c r="N352" t="n">
        <v>0</v>
      </c>
      <c r="O352" t="n">
        <v>0</v>
      </c>
      <c r="P352" t="n">
        <v>0</v>
      </c>
      <c r="Q352" t="n">
        <v>0</v>
      </c>
      <c r="R352" s="2" t="inlineStr"/>
    </row>
    <row r="353" ht="15" customHeight="1">
      <c r="A353" t="inlineStr">
        <is>
          <t>A 59959-2024</t>
        </is>
      </c>
      <c r="B353" s="1" t="n">
        <v>45642.35097222222</v>
      </c>
      <c r="C353" s="1" t="n">
        <v>45932</v>
      </c>
      <c r="D353" t="inlineStr">
        <is>
          <t>ÖREBRO LÄN</t>
        </is>
      </c>
      <c r="E353" t="inlineStr">
        <is>
          <t>HÄLLEFORS</t>
        </is>
      </c>
      <c r="F353" t="inlineStr">
        <is>
          <t>Bergvik skog väst AB</t>
        </is>
      </c>
      <c r="G353" t="n">
        <v>4.9</v>
      </c>
      <c r="H353" t="n">
        <v>0</v>
      </c>
      <c r="I353" t="n">
        <v>0</v>
      </c>
      <c r="J353" t="n">
        <v>0</v>
      </c>
      <c r="K353" t="n">
        <v>0</v>
      </c>
      <c r="L353" t="n">
        <v>0</v>
      </c>
      <c r="M353" t="n">
        <v>0</v>
      </c>
      <c r="N353" t="n">
        <v>0</v>
      </c>
      <c r="O353" t="n">
        <v>0</v>
      </c>
      <c r="P353" t="n">
        <v>0</v>
      </c>
      <c r="Q353" t="n">
        <v>0</v>
      </c>
      <c r="R353" s="2" t="inlineStr"/>
    </row>
    <row r="354" ht="15" customHeight="1">
      <c r="A354" t="inlineStr">
        <is>
          <t>A 60303-2024</t>
        </is>
      </c>
      <c r="B354" s="1" t="n">
        <v>45643</v>
      </c>
      <c r="C354" s="1" t="n">
        <v>45932</v>
      </c>
      <c r="D354" t="inlineStr">
        <is>
          <t>ÖREBRO LÄN</t>
        </is>
      </c>
      <c r="E354" t="inlineStr">
        <is>
          <t>HÄLLEFORS</t>
        </is>
      </c>
      <c r="F354" t="inlineStr">
        <is>
          <t>Bergvik skog väst AB</t>
        </is>
      </c>
      <c r="G354" t="n">
        <v>0.3</v>
      </c>
      <c r="H354" t="n">
        <v>0</v>
      </c>
      <c r="I354" t="n">
        <v>0</v>
      </c>
      <c r="J354" t="n">
        <v>0</v>
      </c>
      <c r="K354" t="n">
        <v>0</v>
      </c>
      <c r="L354" t="n">
        <v>0</v>
      </c>
      <c r="M354" t="n">
        <v>0</v>
      </c>
      <c r="N354" t="n">
        <v>0</v>
      </c>
      <c r="O354" t="n">
        <v>0</v>
      </c>
      <c r="P354" t="n">
        <v>0</v>
      </c>
      <c r="Q354" t="n">
        <v>0</v>
      </c>
      <c r="R354" s="2" t="inlineStr"/>
    </row>
    <row r="355" ht="15" customHeight="1">
      <c r="A355" t="inlineStr">
        <is>
          <t>A 38148-2025</t>
        </is>
      </c>
      <c r="B355" s="1" t="n">
        <v>45882.58855324074</v>
      </c>
      <c r="C355" s="1" t="n">
        <v>45932</v>
      </c>
      <c r="D355" t="inlineStr">
        <is>
          <t>ÖREBRO LÄN</t>
        </is>
      </c>
      <c r="E355" t="inlineStr">
        <is>
          <t>HÄLLEFORS</t>
        </is>
      </c>
      <c r="F355" t="inlineStr">
        <is>
          <t>Bergvik skog väst AB</t>
        </is>
      </c>
      <c r="G355" t="n">
        <v>3</v>
      </c>
      <c r="H355" t="n">
        <v>0</v>
      </c>
      <c r="I355" t="n">
        <v>0</v>
      </c>
      <c r="J355" t="n">
        <v>0</v>
      </c>
      <c r="K355" t="n">
        <v>0</v>
      </c>
      <c r="L355" t="n">
        <v>0</v>
      </c>
      <c r="M355" t="n">
        <v>0</v>
      </c>
      <c r="N355" t="n">
        <v>0</v>
      </c>
      <c r="O355" t="n">
        <v>0</v>
      </c>
      <c r="P355" t="n">
        <v>0</v>
      </c>
      <c r="Q355" t="n">
        <v>0</v>
      </c>
      <c r="R355" s="2" t="inlineStr"/>
    </row>
    <row r="356" ht="15" customHeight="1">
      <c r="A356" t="inlineStr">
        <is>
          <t>A 59557-2022</t>
        </is>
      </c>
      <c r="B356" s="1" t="n">
        <v>44907.59805555556</v>
      </c>
      <c r="C356" s="1" t="n">
        <v>45932</v>
      </c>
      <c r="D356" t="inlineStr">
        <is>
          <t>ÖREBRO LÄN</t>
        </is>
      </c>
      <c r="E356" t="inlineStr">
        <is>
          <t>HÄLLEFORS</t>
        </is>
      </c>
      <c r="F356" t="inlineStr">
        <is>
          <t>Bergvik skog väst AB</t>
        </is>
      </c>
      <c r="G356" t="n">
        <v>11.2</v>
      </c>
      <c r="H356" t="n">
        <v>0</v>
      </c>
      <c r="I356" t="n">
        <v>0</v>
      </c>
      <c r="J356" t="n">
        <v>0</v>
      </c>
      <c r="K356" t="n">
        <v>0</v>
      </c>
      <c r="L356" t="n">
        <v>0</v>
      </c>
      <c r="M356" t="n">
        <v>0</v>
      </c>
      <c r="N356" t="n">
        <v>0</v>
      </c>
      <c r="O356" t="n">
        <v>0</v>
      </c>
      <c r="P356" t="n">
        <v>0</v>
      </c>
      <c r="Q356" t="n">
        <v>0</v>
      </c>
      <c r="R356" s="2" t="inlineStr"/>
    </row>
    <row r="357" ht="15" customHeight="1">
      <c r="A357" t="inlineStr">
        <is>
          <t>A 8503-2022</t>
        </is>
      </c>
      <c r="B357" s="1" t="n">
        <v>44613</v>
      </c>
      <c r="C357" s="1" t="n">
        <v>45932</v>
      </c>
      <c r="D357" t="inlineStr">
        <is>
          <t>ÖREBRO LÄN</t>
        </is>
      </c>
      <c r="E357" t="inlineStr">
        <is>
          <t>HÄLLEFORS</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42920-2024</t>
        </is>
      </c>
      <c r="B358" s="1" t="n">
        <v>45567.29131944444</v>
      </c>
      <c r="C358" s="1" t="n">
        <v>45932</v>
      </c>
      <c r="D358" t="inlineStr">
        <is>
          <t>ÖREBRO LÄN</t>
        </is>
      </c>
      <c r="E358" t="inlineStr">
        <is>
          <t>HÄLLEFORS</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17041-2025</t>
        </is>
      </c>
      <c r="B359" s="1" t="n">
        <v>45755.58488425926</v>
      </c>
      <c r="C359" s="1" t="n">
        <v>45932</v>
      </c>
      <c r="D359" t="inlineStr">
        <is>
          <t>ÖREBRO LÄN</t>
        </is>
      </c>
      <c r="E359" t="inlineStr">
        <is>
          <t>HÄLLEFORS</t>
        </is>
      </c>
      <c r="F359" t="inlineStr">
        <is>
          <t>Bergvik skog väst AB</t>
        </is>
      </c>
      <c r="G359" t="n">
        <v>3.7</v>
      </c>
      <c r="H359" t="n">
        <v>0</v>
      </c>
      <c r="I359" t="n">
        <v>0</v>
      </c>
      <c r="J359" t="n">
        <v>0</v>
      </c>
      <c r="K359" t="n">
        <v>0</v>
      </c>
      <c r="L359" t="n">
        <v>0</v>
      </c>
      <c r="M359" t="n">
        <v>0</v>
      </c>
      <c r="N359" t="n">
        <v>0</v>
      </c>
      <c r="O359" t="n">
        <v>0</v>
      </c>
      <c r="P359" t="n">
        <v>0</v>
      </c>
      <c r="Q359" t="n">
        <v>0</v>
      </c>
      <c r="R359" s="2" t="inlineStr"/>
    </row>
    <row r="360" ht="15" customHeight="1">
      <c r="A360" t="inlineStr">
        <is>
          <t>A 8513-2022</t>
        </is>
      </c>
      <c r="B360" s="1" t="n">
        <v>44613</v>
      </c>
      <c r="C360" s="1" t="n">
        <v>45932</v>
      </c>
      <c r="D360" t="inlineStr">
        <is>
          <t>ÖREBRO LÄN</t>
        </is>
      </c>
      <c r="E360" t="inlineStr">
        <is>
          <t>HÄLLEFORS</t>
        </is>
      </c>
      <c r="F360" t="inlineStr">
        <is>
          <t>Bergvik skog väst AB</t>
        </is>
      </c>
      <c r="G360" t="n">
        <v>3.3</v>
      </c>
      <c r="H360" t="n">
        <v>0</v>
      </c>
      <c r="I360" t="n">
        <v>0</v>
      </c>
      <c r="J360" t="n">
        <v>0</v>
      </c>
      <c r="K360" t="n">
        <v>0</v>
      </c>
      <c r="L360" t="n">
        <v>0</v>
      </c>
      <c r="M360" t="n">
        <v>0</v>
      </c>
      <c r="N360" t="n">
        <v>0</v>
      </c>
      <c r="O360" t="n">
        <v>0</v>
      </c>
      <c r="P360" t="n">
        <v>0</v>
      </c>
      <c r="Q360" t="n">
        <v>0</v>
      </c>
      <c r="R360" s="2" t="inlineStr"/>
    </row>
    <row r="361" ht="15" customHeight="1">
      <c r="A361" t="inlineStr">
        <is>
          <t>A 17098-2025</t>
        </is>
      </c>
      <c r="B361" s="1" t="n">
        <v>45755.65709490741</v>
      </c>
      <c r="C361" s="1" t="n">
        <v>45932</v>
      </c>
      <c r="D361" t="inlineStr">
        <is>
          <t>ÖREBRO LÄN</t>
        </is>
      </c>
      <c r="E361" t="inlineStr">
        <is>
          <t>HÄLLEFORS</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11467-2024</t>
        </is>
      </c>
      <c r="B362" s="1" t="n">
        <v>45372.59753472222</v>
      </c>
      <c r="C362" s="1" t="n">
        <v>45932</v>
      </c>
      <c r="D362" t="inlineStr">
        <is>
          <t>ÖREBRO LÄN</t>
        </is>
      </c>
      <c r="E362" t="inlineStr">
        <is>
          <t>HÄLLEFORS</t>
        </is>
      </c>
      <c r="G362" t="n">
        <v>1</v>
      </c>
      <c r="H362" t="n">
        <v>0</v>
      </c>
      <c r="I362" t="n">
        <v>0</v>
      </c>
      <c r="J362" t="n">
        <v>0</v>
      </c>
      <c r="K362" t="n">
        <v>0</v>
      </c>
      <c r="L362" t="n">
        <v>0</v>
      </c>
      <c r="M362" t="n">
        <v>0</v>
      </c>
      <c r="N362" t="n">
        <v>0</v>
      </c>
      <c r="O362" t="n">
        <v>0</v>
      </c>
      <c r="P362" t="n">
        <v>0</v>
      </c>
      <c r="Q362" t="n">
        <v>0</v>
      </c>
      <c r="R362" s="2" t="inlineStr"/>
    </row>
    <row r="363" ht="15" customHeight="1">
      <c r="A363" t="inlineStr">
        <is>
          <t>A 30592-2024</t>
        </is>
      </c>
      <c r="B363" s="1" t="n">
        <v>45493.31666666667</v>
      </c>
      <c r="C363" s="1" t="n">
        <v>45932</v>
      </c>
      <c r="D363" t="inlineStr">
        <is>
          <t>ÖREBRO LÄN</t>
        </is>
      </c>
      <c r="E363" t="inlineStr">
        <is>
          <t>HÄLLEFORS</t>
        </is>
      </c>
      <c r="G363" t="n">
        <v>7.1</v>
      </c>
      <c r="H363" t="n">
        <v>0</v>
      </c>
      <c r="I363" t="n">
        <v>0</v>
      </c>
      <c r="J363" t="n">
        <v>0</v>
      </c>
      <c r="K363" t="n">
        <v>0</v>
      </c>
      <c r="L363" t="n">
        <v>0</v>
      </c>
      <c r="M363" t="n">
        <v>0</v>
      </c>
      <c r="N363" t="n">
        <v>0</v>
      </c>
      <c r="O363" t="n">
        <v>0</v>
      </c>
      <c r="P363" t="n">
        <v>0</v>
      </c>
      <c r="Q363" t="n">
        <v>0</v>
      </c>
      <c r="R363" s="2" t="inlineStr"/>
    </row>
    <row r="364" ht="15" customHeight="1">
      <c r="A364" t="inlineStr">
        <is>
          <t>A 46987-2023</t>
        </is>
      </c>
      <c r="B364" s="1" t="n">
        <v>45201</v>
      </c>
      <c r="C364" s="1" t="n">
        <v>45932</v>
      </c>
      <c r="D364" t="inlineStr">
        <is>
          <t>ÖREBRO LÄN</t>
        </is>
      </c>
      <c r="E364" t="inlineStr">
        <is>
          <t>HÄLLEFORS</t>
        </is>
      </c>
      <c r="F364" t="inlineStr">
        <is>
          <t>Bergvik skog väst AB</t>
        </is>
      </c>
      <c r="G364" t="n">
        <v>3.4</v>
      </c>
      <c r="H364" t="n">
        <v>0</v>
      </c>
      <c r="I364" t="n">
        <v>0</v>
      </c>
      <c r="J364" t="n">
        <v>0</v>
      </c>
      <c r="K364" t="n">
        <v>0</v>
      </c>
      <c r="L364" t="n">
        <v>0</v>
      </c>
      <c r="M364" t="n">
        <v>0</v>
      </c>
      <c r="N364" t="n">
        <v>0</v>
      </c>
      <c r="O364" t="n">
        <v>0</v>
      </c>
      <c r="P364" t="n">
        <v>0</v>
      </c>
      <c r="Q364" t="n">
        <v>0</v>
      </c>
      <c r="R364" s="2" t="inlineStr"/>
    </row>
    <row r="365" ht="15" customHeight="1">
      <c r="A365" t="inlineStr">
        <is>
          <t>A 35243-2022</t>
        </is>
      </c>
      <c r="B365" s="1" t="n">
        <v>44798</v>
      </c>
      <c r="C365" s="1" t="n">
        <v>45932</v>
      </c>
      <c r="D365" t="inlineStr">
        <is>
          <t>ÖREBRO LÄN</t>
        </is>
      </c>
      <c r="E365" t="inlineStr">
        <is>
          <t>HÄLLEFORS</t>
        </is>
      </c>
      <c r="F365" t="inlineStr">
        <is>
          <t>Bergvik skog väst AB</t>
        </is>
      </c>
      <c r="G365" t="n">
        <v>3</v>
      </c>
      <c r="H365" t="n">
        <v>0</v>
      </c>
      <c r="I365" t="n">
        <v>0</v>
      </c>
      <c r="J365" t="n">
        <v>0</v>
      </c>
      <c r="K365" t="n">
        <v>0</v>
      </c>
      <c r="L365" t="n">
        <v>0</v>
      </c>
      <c r="M365" t="n">
        <v>0</v>
      </c>
      <c r="N365" t="n">
        <v>0</v>
      </c>
      <c r="O365" t="n">
        <v>0</v>
      </c>
      <c r="P365" t="n">
        <v>0</v>
      </c>
      <c r="Q365" t="n">
        <v>0</v>
      </c>
      <c r="R365" s="2" t="inlineStr"/>
    </row>
    <row r="366" ht="15" customHeight="1">
      <c r="A366" t="inlineStr">
        <is>
          <t>A 58534-2020</t>
        </is>
      </c>
      <c r="B366" s="1" t="n">
        <v>44145</v>
      </c>
      <c r="C366" s="1" t="n">
        <v>45932</v>
      </c>
      <c r="D366" t="inlineStr">
        <is>
          <t>ÖREBRO LÄN</t>
        </is>
      </c>
      <c r="E366" t="inlineStr">
        <is>
          <t>HÄLLEFORS</t>
        </is>
      </c>
      <c r="G366" t="n">
        <v>3.7</v>
      </c>
      <c r="H366" t="n">
        <v>0</v>
      </c>
      <c r="I366" t="n">
        <v>0</v>
      </c>
      <c r="J366" t="n">
        <v>0</v>
      </c>
      <c r="K366" t="n">
        <v>0</v>
      </c>
      <c r="L366" t="n">
        <v>0</v>
      </c>
      <c r="M366" t="n">
        <v>0</v>
      </c>
      <c r="N366" t="n">
        <v>0</v>
      </c>
      <c r="O366" t="n">
        <v>0</v>
      </c>
      <c r="P366" t="n">
        <v>0</v>
      </c>
      <c r="Q366" t="n">
        <v>0</v>
      </c>
      <c r="R366" s="2" t="inlineStr"/>
    </row>
    <row r="367" ht="15" customHeight="1">
      <c r="A367" t="inlineStr">
        <is>
          <t>A 18627-2025</t>
        </is>
      </c>
      <c r="B367" s="1" t="n">
        <v>45763.53284722222</v>
      </c>
      <c r="C367" s="1" t="n">
        <v>45932</v>
      </c>
      <c r="D367" t="inlineStr">
        <is>
          <t>ÖREBRO LÄN</t>
        </is>
      </c>
      <c r="E367" t="inlineStr">
        <is>
          <t>HÄLLEFORS</t>
        </is>
      </c>
      <c r="F367" t="inlineStr">
        <is>
          <t>Bergvik skog väst AB</t>
        </is>
      </c>
      <c r="G367" t="n">
        <v>5.3</v>
      </c>
      <c r="H367" t="n">
        <v>0</v>
      </c>
      <c r="I367" t="n">
        <v>0</v>
      </c>
      <c r="J367" t="n">
        <v>0</v>
      </c>
      <c r="K367" t="n">
        <v>0</v>
      </c>
      <c r="L367" t="n">
        <v>0</v>
      </c>
      <c r="M367" t="n">
        <v>0</v>
      </c>
      <c r="N367" t="n">
        <v>0</v>
      </c>
      <c r="O367" t="n">
        <v>0</v>
      </c>
      <c r="P367" t="n">
        <v>0</v>
      </c>
      <c r="Q367" t="n">
        <v>0</v>
      </c>
      <c r="R367" s="2" t="inlineStr"/>
    </row>
    <row r="368" ht="15" customHeight="1">
      <c r="A368" t="inlineStr">
        <is>
          <t>A 27513-2021</t>
        </is>
      </c>
      <c r="B368" s="1" t="n">
        <v>44351</v>
      </c>
      <c r="C368" s="1" t="n">
        <v>45932</v>
      </c>
      <c r="D368" t="inlineStr">
        <is>
          <t>ÖREBRO LÄN</t>
        </is>
      </c>
      <c r="E368" t="inlineStr">
        <is>
          <t>HÄLLEFORS</t>
        </is>
      </c>
      <c r="F368" t="inlineStr">
        <is>
          <t>Sveaskog</t>
        </is>
      </c>
      <c r="G368" t="n">
        <v>4.6</v>
      </c>
      <c r="H368" t="n">
        <v>0</v>
      </c>
      <c r="I368" t="n">
        <v>0</v>
      </c>
      <c r="J368" t="n">
        <v>0</v>
      </c>
      <c r="K368" t="n">
        <v>0</v>
      </c>
      <c r="L368" t="n">
        <v>0</v>
      </c>
      <c r="M368" t="n">
        <v>0</v>
      </c>
      <c r="N368" t="n">
        <v>0</v>
      </c>
      <c r="O368" t="n">
        <v>0</v>
      </c>
      <c r="P368" t="n">
        <v>0</v>
      </c>
      <c r="Q368" t="n">
        <v>0</v>
      </c>
      <c r="R368" s="2" t="inlineStr"/>
    </row>
    <row r="369" ht="15" customHeight="1">
      <c r="A369" t="inlineStr">
        <is>
          <t>A 3057-2024</t>
        </is>
      </c>
      <c r="B369" s="1" t="n">
        <v>45316</v>
      </c>
      <c r="C369" s="1" t="n">
        <v>45932</v>
      </c>
      <c r="D369" t="inlineStr">
        <is>
          <t>ÖREBRO LÄN</t>
        </is>
      </c>
      <c r="E369" t="inlineStr">
        <is>
          <t>HÄLLEFORS</t>
        </is>
      </c>
      <c r="F369" t="inlineStr">
        <is>
          <t>Bergvik skog väst AB</t>
        </is>
      </c>
      <c r="G369" t="n">
        <v>12.2</v>
      </c>
      <c r="H369" t="n">
        <v>0</v>
      </c>
      <c r="I369" t="n">
        <v>0</v>
      </c>
      <c r="J369" t="n">
        <v>0</v>
      </c>
      <c r="K369" t="n">
        <v>0</v>
      </c>
      <c r="L369" t="n">
        <v>0</v>
      </c>
      <c r="M369" t="n">
        <v>0</v>
      </c>
      <c r="N369" t="n">
        <v>0</v>
      </c>
      <c r="O369" t="n">
        <v>0</v>
      </c>
      <c r="P369" t="n">
        <v>0</v>
      </c>
      <c r="Q369" t="n">
        <v>0</v>
      </c>
      <c r="R369" s="2" t="inlineStr"/>
    </row>
    <row r="370" ht="15" customHeight="1">
      <c r="A370" t="inlineStr">
        <is>
          <t>A 55756-2023</t>
        </is>
      </c>
      <c r="B370" s="1" t="n">
        <v>45239</v>
      </c>
      <c r="C370" s="1" t="n">
        <v>45932</v>
      </c>
      <c r="D370" t="inlineStr">
        <is>
          <t>ÖREBRO LÄN</t>
        </is>
      </c>
      <c r="E370" t="inlineStr">
        <is>
          <t>HÄLLEFORS</t>
        </is>
      </c>
      <c r="G370" t="n">
        <v>1.6</v>
      </c>
      <c r="H370" t="n">
        <v>0</v>
      </c>
      <c r="I370" t="n">
        <v>0</v>
      </c>
      <c r="J370" t="n">
        <v>0</v>
      </c>
      <c r="K370" t="n">
        <v>0</v>
      </c>
      <c r="L370" t="n">
        <v>0</v>
      </c>
      <c r="M370" t="n">
        <v>0</v>
      </c>
      <c r="N370" t="n">
        <v>0</v>
      </c>
      <c r="O370" t="n">
        <v>0</v>
      </c>
      <c r="P370" t="n">
        <v>0</v>
      </c>
      <c r="Q370" t="n">
        <v>0</v>
      </c>
      <c r="R370" s="2" t="inlineStr"/>
    </row>
    <row r="371">
      <c r="A371" t="inlineStr">
        <is>
          <t>A 19055-2024</t>
        </is>
      </c>
      <c r="B371" s="1" t="n">
        <v>45427.79534722222</v>
      </c>
      <c r="C371" s="1" t="n">
        <v>45932</v>
      </c>
      <c r="D371" t="inlineStr">
        <is>
          <t>ÖREBRO LÄN</t>
        </is>
      </c>
      <c r="E371" t="inlineStr">
        <is>
          <t>HÄLLEFORS</t>
        </is>
      </c>
      <c r="G371" t="n">
        <v>0.6</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2025-10-02T12:47:34Z</dcterms:created>
  <dcterms:modified xmlns:dcterms="http://purl.org/dc/terms/" xmlns:xsi="http://www.w3.org/2001/XMLSchema-instance" xsi:type="dcterms:W3CDTF">2025-10-02T12:47:40Z</dcterms:modified>
</cp:coreProperties>
</file>