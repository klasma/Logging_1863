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45742</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45742</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45742</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45742</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45742</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45742</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39826-2020</t>
        </is>
      </c>
      <c r="B8" s="1" t="n">
        <v>44067</v>
      </c>
      <c r="C8" s="1" t="n">
        <v>45742</v>
      </c>
      <c r="D8" t="inlineStr">
        <is>
          <t>ÖREBRO LÄN</t>
        </is>
      </c>
      <c r="E8" t="inlineStr">
        <is>
          <t>HÄLLEFORS</t>
        </is>
      </c>
      <c r="F8" t="inlineStr">
        <is>
          <t>Sveaskog</t>
        </is>
      </c>
      <c r="G8" t="n">
        <v>12.1</v>
      </c>
      <c r="H8" t="n">
        <v>1</v>
      </c>
      <c r="I8" t="n">
        <v>1</v>
      </c>
      <c r="J8" t="n">
        <v>2</v>
      </c>
      <c r="K8" t="n">
        <v>1</v>
      </c>
      <c r="L8" t="n">
        <v>0</v>
      </c>
      <c r="M8" t="n">
        <v>0</v>
      </c>
      <c r="N8" t="n">
        <v>0</v>
      </c>
      <c r="O8" t="n">
        <v>3</v>
      </c>
      <c r="P8" t="n">
        <v>1</v>
      </c>
      <c r="Q8" t="n">
        <v>5</v>
      </c>
      <c r="R8" s="2" t="inlineStr">
        <is>
          <t>Norsk näverlav
Dvärgbägarlav
Kolflarnlav
Skuggblåslav
Tjäder</t>
        </is>
      </c>
      <c r="S8">
        <f>HYPERLINK("https://klasma.github.io/Logging_1863/artfynd/A 39826-2020 artfynd.xlsx", "A 39826-2020")</f>
        <v/>
      </c>
      <c r="T8">
        <f>HYPERLINK("https://klasma.github.io/Logging_1863/kartor/A 39826-2020 karta.png", "A 39826-2020")</f>
        <v/>
      </c>
      <c r="V8">
        <f>HYPERLINK("https://klasma.github.io/Logging_1863/klagomål/A 39826-2020 FSC-klagomål.docx", "A 39826-2020")</f>
        <v/>
      </c>
      <c r="W8">
        <f>HYPERLINK("https://klasma.github.io/Logging_1863/klagomålsmail/A 39826-2020 FSC-klagomål mail.docx", "A 39826-2020")</f>
        <v/>
      </c>
      <c r="X8">
        <f>HYPERLINK("https://klasma.github.io/Logging_1863/tillsyn/A 39826-2020 tillsynsbegäran.docx", "A 39826-2020")</f>
        <v/>
      </c>
      <c r="Y8">
        <f>HYPERLINK("https://klasma.github.io/Logging_1863/tillsynsmail/A 39826-2020 tillsynsbegäran mail.docx", "A 39826-2020")</f>
        <v/>
      </c>
      <c r="Z8">
        <f>HYPERLINK("https://klasma.github.io/Logging_1863/fåglar/A 39826-2020 prioriterade fågelarter.docx", "A 39826-2020")</f>
        <v/>
      </c>
    </row>
    <row r="9" ht="15" customHeight="1">
      <c r="A9" t="inlineStr">
        <is>
          <t>A 41546-2019</t>
        </is>
      </c>
      <c r="B9" s="1" t="n">
        <v>43699</v>
      </c>
      <c r="C9" s="1" t="n">
        <v>45742</v>
      </c>
      <c r="D9" t="inlineStr">
        <is>
          <t>ÖREBRO LÄN</t>
        </is>
      </c>
      <c r="E9" t="inlineStr">
        <is>
          <t>HÄLLEFORS</t>
        </is>
      </c>
      <c r="F9" t="inlineStr">
        <is>
          <t>Sveaskog</t>
        </is>
      </c>
      <c r="G9" t="n">
        <v>6.1</v>
      </c>
      <c r="H9" t="n">
        <v>1</v>
      </c>
      <c r="I9" t="n">
        <v>1</v>
      </c>
      <c r="J9" t="n">
        <v>2</v>
      </c>
      <c r="K9" t="n">
        <v>0</v>
      </c>
      <c r="L9" t="n">
        <v>0</v>
      </c>
      <c r="M9" t="n">
        <v>0</v>
      </c>
      <c r="N9" t="n">
        <v>0</v>
      </c>
      <c r="O9" t="n">
        <v>2</v>
      </c>
      <c r="P9" t="n">
        <v>0</v>
      </c>
      <c r="Q9" t="n">
        <v>3</v>
      </c>
      <c r="R9" s="2" t="inlineStr">
        <is>
          <t>Motaggsvamp
Tretåig hackspett
Skuggblåslav</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52328-2019</t>
        </is>
      </c>
      <c r="B10" s="1" t="n">
        <v>43745</v>
      </c>
      <c r="C10" s="1" t="n">
        <v>45742</v>
      </c>
      <c r="D10" t="inlineStr">
        <is>
          <t>ÖREBRO LÄN</t>
        </is>
      </c>
      <c r="E10" t="inlineStr">
        <is>
          <t>HÄLLEFORS</t>
        </is>
      </c>
      <c r="F10" t="inlineStr">
        <is>
          <t>Sveaskog</t>
        </is>
      </c>
      <c r="G10" t="n">
        <v>4.6</v>
      </c>
      <c r="H10" t="n">
        <v>0</v>
      </c>
      <c r="I10" t="n">
        <v>1</v>
      </c>
      <c r="J10" t="n">
        <v>2</v>
      </c>
      <c r="K10" t="n">
        <v>0</v>
      </c>
      <c r="L10" t="n">
        <v>0</v>
      </c>
      <c r="M10" t="n">
        <v>0</v>
      </c>
      <c r="N10" t="n">
        <v>0</v>
      </c>
      <c r="O10" t="n">
        <v>2</v>
      </c>
      <c r="P10" t="n">
        <v>0</v>
      </c>
      <c r="Q10" t="n">
        <v>3</v>
      </c>
      <c r="R10" s="2" t="inlineStr">
        <is>
          <t>Garnlav
Vedskivlav
Stor revmossa</t>
        </is>
      </c>
      <c r="S10">
        <f>HYPERLINK("https://klasma.github.io/Logging_1863/artfynd/A 52328-2019 artfynd.xlsx", "A 52328-2019")</f>
        <v/>
      </c>
      <c r="T10">
        <f>HYPERLINK("https://klasma.github.io/Logging_1863/kartor/A 52328-2019 karta.png", "A 52328-2019")</f>
        <v/>
      </c>
      <c r="V10">
        <f>HYPERLINK("https://klasma.github.io/Logging_1863/klagomål/A 52328-2019 FSC-klagomål.docx", "A 52328-2019")</f>
        <v/>
      </c>
      <c r="W10">
        <f>HYPERLINK("https://klasma.github.io/Logging_1863/klagomålsmail/A 52328-2019 FSC-klagomål mail.docx", "A 52328-2019")</f>
        <v/>
      </c>
      <c r="X10">
        <f>HYPERLINK("https://klasma.github.io/Logging_1863/tillsyn/A 52328-2019 tillsynsbegäran.docx", "A 52328-2019")</f>
        <v/>
      </c>
      <c r="Y10">
        <f>HYPERLINK("https://klasma.github.io/Logging_1863/tillsynsmail/A 52328-2019 tillsynsbegäran mail.docx", "A 52328-2019")</f>
        <v/>
      </c>
    </row>
    <row r="11" ht="15" customHeight="1">
      <c r="A11" t="inlineStr">
        <is>
          <t>A 41839-2020</t>
        </is>
      </c>
      <c r="B11" s="1" t="n">
        <v>44074</v>
      </c>
      <c r="C11" s="1" t="n">
        <v>45742</v>
      </c>
      <c r="D11" t="inlineStr">
        <is>
          <t>ÖREBRO LÄN</t>
        </is>
      </c>
      <c r="E11" t="inlineStr">
        <is>
          <t>HÄLLEFORS</t>
        </is>
      </c>
      <c r="F11" t="inlineStr">
        <is>
          <t>Bergvik skog väst AB</t>
        </is>
      </c>
      <c r="G11" t="n">
        <v>0.9</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41839-2020 artfynd.xlsx", "A 41839-2020")</f>
        <v/>
      </c>
      <c r="T11">
        <f>HYPERLINK("https://klasma.github.io/Logging_1863/kartor/A 41839-2020 karta.png", "A 41839-2020")</f>
        <v/>
      </c>
      <c r="V11">
        <f>HYPERLINK("https://klasma.github.io/Logging_1863/klagomål/A 41839-2020 FSC-klagomål.docx", "A 41839-2020")</f>
        <v/>
      </c>
      <c r="W11">
        <f>HYPERLINK("https://klasma.github.io/Logging_1863/klagomålsmail/A 41839-2020 FSC-klagomål mail.docx", "A 41839-2020")</f>
        <v/>
      </c>
      <c r="X11">
        <f>HYPERLINK("https://klasma.github.io/Logging_1863/tillsyn/A 41839-2020 tillsynsbegäran.docx", "A 41839-2020")</f>
        <v/>
      </c>
      <c r="Y11">
        <f>HYPERLINK("https://klasma.github.io/Logging_1863/tillsynsmail/A 41839-2020 tillsynsbegäran mail.docx", "A 41839-2020")</f>
        <v/>
      </c>
    </row>
    <row r="12" ht="15" customHeight="1">
      <c r="A12" t="inlineStr">
        <is>
          <t>A 9464-2023</t>
        </is>
      </c>
      <c r="B12" s="1" t="n">
        <v>44981</v>
      </c>
      <c r="C12" s="1" t="n">
        <v>45742</v>
      </c>
      <c r="D12" t="inlineStr">
        <is>
          <t>ÖREBRO LÄN</t>
        </is>
      </c>
      <c r="E12" t="inlineStr">
        <is>
          <t>HÄLLEFORS</t>
        </is>
      </c>
      <c r="F12" t="inlineStr">
        <is>
          <t>Bergvik skog väst AB</t>
        </is>
      </c>
      <c r="G12" t="n">
        <v>29.1</v>
      </c>
      <c r="H12" t="n">
        <v>3</v>
      </c>
      <c r="I12" t="n">
        <v>0</v>
      </c>
      <c r="J12" t="n">
        <v>1</v>
      </c>
      <c r="K12" t="n">
        <v>1</v>
      </c>
      <c r="L12" t="n">
        <v>0</v>
      </c>
      <c r="M12" t="n">
        <v>0</v>
      </c>
      <c r="N12" t="n">
        <v>0</v>
      </c>
      <c r="O12" t="n">
        <v>2</v>
      </c>
      <c r="P12" t="n">
        <v>1</v>
      </c>
      <c r="Q12" t="n">
        <v>3</v>
      </c>
      <c r="R12" s="2" t="inlineStr">
        <is>
          <t>Vinterhämpling
Buskskvätta
Fiskgjuse</t>
        </is>
      </c>
      <c r="S12">
        <f>HYPERLINK("https://klasma.github.io/Logging_1863/artfynd/A 9464-2023 artfynd.xlsx", "A 9464-2023")</f>
        <v/>
      </c>
      <c r="T12">
        <f>HYPERLINK("https://klasma.github.io/Logging_1863/kartor/A 9464-2023 karta.png", "A 9464-2023")</f>
        <v/>
      </c>
      <c r="V12">
        <f>HYPERLINK("https://klasma.github.io/Logging_1863/klagomål/A 9464-2023 FSC-klagomål.docx", "A 9464-2023")</f>
        <v/>
      </c>
      <c r="W12">
        <f>HYPERLINK("https://klasma.github.io/Logging_1863/klagomålsmail/A 9464-2023 FSC-klagomål mail.docx", "A 9464-2023")</f>
        <v/>
      </c>
      <c r="X12">
        <f>HYPERLINK("https://klasma.github.io/Logging_1863/tillsyn/A 9464-2023 tillsynsbegäran.docx", "A 9464-2023")</f>
        <v/>
      </c>
      <c r="Y12">
        <f>HYPERLINK("https://klasma.github.io/Logging_1863/tillsynsmail/A 9464-2023 tillsynsbegäran mail.docx", "A 9464-2023")</f>
        <v/>
      </c>
      <c r="Z12">
        <f>HYPERLINK("https://klasma.github.io/Logging_1863/fåglar/A 9464-2023 prioriterade fågelarter.docx", "A 9464-2023")</f>
        <v/>
      </c>
    </row>
    <row r="13" ht="15" customHeight="1">
      <c r="A13" t="inlineStr">
        <is>
          <t>A 23892-2024</t>
        </is>
      </c>
      <c r="B13" s="1" t="n">
        <v>45455</v>
      </c>
      <c r="C13" s="1" t="n">
        <v>45742</v>
      </c>
      <c r="D13" t="inlineStr">
        <is>
          <t>ÖREBRO LÄN</t>
        </is>
      </c>
      <c r="E13" t="inlineStr">
        <is>
          <t>HÄLLEFORS</t>
        </is>
      </c>
      <c r="G13" t="n">
        <v>9.6</v>
      </c>
      <c r="H13" t="n">
        <v>1</v>
      </c>
      <c r="I13" t="n">
        <v>2</v>
      </c>
      <c r="J13" t="n">
        <v>0</v>
      </c>
      <c r="K13" t="n">
        <v>1</v>
      </c>
      <c r="L13" t="n">
        <v>0</v>
      </c>
      <c r="M13" t="n">
        <v>0</v>
      </c>
      <c r="N13" t="n">
        <v>0</v>
      </c>
      <c r="O13" t="n">
        <v>1</v>
      </c>
      <c r="P13" t="n">
        <v>1</v>
      </c>
      <c r="Q13" t="n">
        <v>3</v>
      </c>
      <c r="R13" s="2" t="inlineStr">
        <is>
          <t>Knärot
Blomkålssvamp
Nästlav</t>
        </is>
      </c>
      <c r="S13">
        <f>HYPERLINK("https://klasma.github.io/Logging_1863/artfynd/A 23892-2024 artfynd.xlsx", "A 23892-2024")</f>
        <v/>
      </c>
      <c r="T13">
        <f>HYPERLINK("https://klasma.github.io/Logging_1863/kartor/A 23892-2024 karta.png", "A 23892-2024")</f>
        <v/>
      </c>
      <c r="U13">
        <f>HYPERLINK("https://klasma.github.io/Logging_1863/knärot/A 23892-2024 karta knärot.png", "A 23892-2024")</f>
        <v/>
      </c>
      <c r="V13">
        <f>HYPERLINK("https://klasma.github.io/Logging_1863/klagomål/A 23892-2024 FSC-klagomål.docx", "A 23892-2024")</f>
        <v/>
      </c>
      <c r="W13">
        <f>HYPERLINK("https://klasma.github.io/Logging_1863/klagomålsmail/A 23892-2024 FSC-klagomål mail.docx", "A 23892-2024")</f>
        <v/>
      </c>
      <c r="X13">
        <f>HYPERLINK("https://klasma.github.io/Logging_1863/tillsyn/A 23892-2024 tillsynsbegäran.docx", "A 23892-2024")</f>
        <v/>
      </c>
      <c r="Y13">
        <f>HYPERLINK("https://klasma.github.io/Logging_1863/tillsynsmail/A 23892-2024 tillsynsbegäran mail.docx", "A 23892-2024")</f>
        <v/>
      </c>
    </row>
    <row r="14" ht="15" customHeight="1">
      <c r="A14" t="inlineStr">
        <is>
          <t>A 58760-2020</t>
        </is>
      </c>
      <c r="B14" s="1" t="n">
        <v>44146</v>
      </c>
      <c r="C14" s="1" t="n">
        <v>45742</v>
      </c>
      <c r="D14" t="inlineStr">
        <is>
          <t>ÖREBRO LÄN</t>
        </is>
      </c>
      <c r="E14" t="inlineStr">
        <is>
          <t>HÄLLEFORS</t>
        </is>
      </c>
      <c r="F14" t="inlineStr">
        <is>
          <t>Sveaskog</t>
        </is>
      </c>
      <c r="G14" t="n">
        <v>1.8</v>
      </c>
      <c r="H14" t="n">
        <v>0</v>
      </c>
      <c r="I14" t="n">
        <v>1</v>
      </c>
      <c r="J14" t="n">
        <v>1</v>
      </c>
      <c r="K14" t="n">
        <v>0</v>
      </c>
      <c r="L14" t="n">
        <v>0</v>
      </c>
      <c r="M14" t="n">
        <v>0</v>
      </c>
      <c r="N14" t="n">
        <v>0</v>
      </c>
      <c r="O14" t="n">
        <v>1</v>
      </c>
      <c r="P14" t="n">
        <v>0</v>
      </c>
      <c r="Q14" t="n">
        <v>2</v>
      </c>
      <c r="R14" s="2" t="inlineStr">
        <is>
          <t>Tallticka
Stor revmossa</t>
        </is>
      </c>
      <c r="S14">
        <f>HYPERLINK("https://klasma.github.io/Logging_1863/artfynd/A 58760-2020 artfynd.xlsx", "A 58760-2020")</f>
        <v/>
      </c>
      <c r="T14">
        <f>HYPERLINK("https://klasma.github.io/Logging_1863/kartor/A 58760-2020 karta.png", "A 58760-2020")</f>
        <v/>
      </c>
      <c r="V14">
        <f>HYPERLINK("https://klasma.github.io/Logging_1863/klagomål/A 58760-2020 FSC-klagomål.docx", "A 58760-2020")</f>
        <v/>
      </c>
      <c r="W14">
        <f>HYPERLINK("https://klasma.github.io/Logging_1863/klagomålsmail/A 58760-2020 FSC-klagomål mail.docx", "A 58760-2020")</f>
        <v/>
      </c>
      <c r="X14">
        <f>HYPERLINK("https://klasma.github.io/Logging_1863/tillsyn/A 58760-2020 tillsynsbegäran.docx", "A 58760-2020")</f>
        <v/>
      </c>
      <c r="Y14">
        <f>HYPERLINK("https://klasma.github.io/Logging_1863/tillsynsmail/A 58760-2020 tillsynsbegäran mail.docx", "A 58760-2020")</f>
        <v/>
      </c>
    </row>
    <row r="15" ht="15" customHeight="1">
      <c r="A15" t="inlineStr">
        <is>
          <t>A 5360-2022</t>
        </is>
      </c>
      <c r="B15" s="1" t="n">
        <v>44594</v>
      </c>
      <c r="C15" s="1" t="n">
        <v>45742</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v>
      </c>
      <c r="C16" s="1" t="n">
        <v>45742</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60270-2019</t>
        </is>
      </c>
      <c r="B17" s="1" t="n">
        <v>43780</v>
      </c>
      <c r="C17" s="1" t="n">
        <v>45742</v>
      </c>
      <c r="D17" t="inlineStr">
        <is>
          <t>ÖREBRO LÄN</t>
        </is>
      </c>
      <c r="E17" t="inlineStr">
        <is>
          <t>HÄLLEFORS</t>
        </is>
      </c>
      <c r="F17" t="inlineStr">
        <is>
          <t>Bergvik skog väst AB</t>
        </is>
      </c>
      <c r="G17" t="n">
        <v>3.1</v>
      </c>
      <c r="H17" t="n">
        <v>0</v>
      </c>
      <c r="I17" t="n">
        <v>0</v>
      </c>
      <c r="J17" t="n">
        <v>1</v>
      </c>
      <c r="K17" t="n">
        <v>0</v>
      </c>
      <c r="L17" t="n">
        <v>0</v>
      </c>
      <c r="M17" t="n">
        <v>0</v>
      </c>
      <c r="N17" t="n">
        <v>0</v>
      </c>
      <c r="O17" t="n">
        <v>1</v>
      </c>
      <c r="P17" t="n">
        <v>0</v>
      </c>
      <c r="Q17" t="n">
        <v>1</v>
      </c>
      <c r="R17" s="2" t="inlineStr">
        <is>
          <t>Brunklöver</t>
        </is>
      </c>
      <c r="S17">
        <f>HYPERLINK("https://klasma.github.io/Logging_1863/artfynd/A 60270-2019 artfynd.xlsx", "A 60270-2019")</f>
        <v/>
      </c>
      <c r="T17">
        <f>HYPERLINK("https://klasma.github.io/Logging_1863/kartor/A 60270-2019 karta.png", "A 60270-2019")</f>
        <v/>
      </c>
      <c r="V17">
        <f>HYPERLINK("https://klasma.github.io/Logging_1863/klagomål/A 60270-2019 FSC-klagomål.docx", "A 60270-2019")</f>
        <v/>
      </c>
      <c r="W17">
        <f>HYPERLINK("https://klasma.github.io/Logging_1863/klagomålsmail/A 60270-2019 FSC-klagomål mail.docx", "A 60270-2019")</f>
        <v/>
      </c>
      <c r="X17">
        <f>HYPERLINK("https://klasma.github.io/Logging_1863/tillsyn/A 60270-2019 tillsynsbegäran.docx", "A 60270-2019")</f>
        <v/>
      </c>
      <c r="Y17">
        <f>HYPERLINK("https://klasma.github.io/Logging_1863/tillsynsmail/A 60270-2019 tillsynsbegäran mail.docx", "A 60270-2019")</f>
        <v/>
      </c>
    </row>
    <row r="18" ht="15" customHeight="1">
      <c r="A18" t="inlineStr">
        <is>
          <t>A 21860-2020</t>
        </is>
      </c>
      <c r="B18" s="1" t="n">
        <v>43958</v>
      </c>
      <c r="C18" s="1" t="n">
        <v>45742</v>
      </c>
      <c r="D18" t="inlineStr">
        <is>
          <t>ÖREBRO LÄN</t>
        </is>
      </c>
      <c r="E18" t="inlineStr">
        <is>
          <t>HÄLLEFORS</t>
        </is>
      </c>
      <c r="F18" t="inlineStr">
        <is>
          <t>Bergvik skog väst AB</t>
        </is>
      </c>
      <c r="G18" t="n">
        <v>2.6</v>
      </c>
      <c r="H18" t="n">
        <v>0</v>
      </c>
      <c r="I18" t="n">
        <v>0</v>
      </c>
      <c r="J18" t="n">
        <v>1</v>
      </c>
      <c r="K18" t="n">
        <v>0</v>
      </c>
      <c r="L18" t="n">
        <v>0</v>
      </c>
      <c r="M18" t="n">
        <v>0</v>
      </c>
      <c r="N18" t="n">
        <v>0</v>
      </c>
      <c r="O18" t="n">
        <v>1</v>
      </c>
      <c r="P18" t="n">
        <v>0</v>
      </c>
      <c r="Q18" t="n">
        <v>1</v>
      </c>
      <c r="R18" s="2" t="inlineStr">
        <is>
          <t>Vickerglasvinge</t>
        </is>
      </c>
      <c r="S18">
        <f>HYPERLINK("https://klasma.github.io/Logging_1863/artfynd/A 21860-2020 artfynd.xlsx", "A 21860-2020")</f>
        <v/>
      </c>
      <c r="T18">
        <f>HYPERLINK("https://klasma.github.io/Logging_1863/kartor/A 21860-2020 karta.png", "A 21860-2020")</f>
        <v/>
      </c>
      <c r="U18">
        <f>HYPERLINK("https://klasma.github.io/Logging_1863/knärot/A 21860-2020 karta knärot.png", "A 21860-2020")</f>
        <v/>
      </c>
      <c r="V18">
        <f>HYPERLINK("https://klasma.github.io/Logging_1863/klagomål/A 21860-2020 FSC-klagomål.docx", "A 21860-2020")</f>
        <v/>
      </c>
      <c r="W18">
        <f>HYPERLINK("https://klasma.github.io/Logging_1863/klagomålsmail/A 21860-2020 FSC-klagomål mail.docx", "A 21860-2020")</f>
        <v/>
      </c>
      <c r="X18">
        <f>HYPERLINK("https://klasma.github.io/Logging_1863/tillsyn/A 21860-2020 tillsynsbegäran.docx", "A 21860-2020")</f>
        <v/>
      </c>
      <c r="Y18">
        <f>HYPERLINK("https://klasma.github.io/Logging_1863/tillsynsmail/A 21860-2020 tillsynsbegäran mail.docx", "A 21860-2020")</f>
        <v/>
      </c>
    </row>
    <row r="19" ht="15" customHeight="1">
      <c r="A19" t="inlineStr">
        <is>
          <t>A 58764-2020</t>
        </is>
      </c>
      <c r="B19" s="1" t="n">
        <v>44146</v>
      </c>
      <c r="C19" s="1" t="n">
        <v>45742</v>
      </c>
      <c r="D19" t="inlineStr">
        <is>
          <t>ÖREBRO LÄN</t>
        </is>
      </c>
      <c r="E19" t="inlineStr">
        <is>
          <t>HÄLLEFORS</t>
        </is>
      </c>
      <c r="F19" t="inlineStr">
        <is>
          <t>Sveaskog</t>
        </is>
      </c>
      <c r="G19" t="n">
        <v>2</v>
      </c>
      <c r="H19" t="n">
        <v>1</v>
      </c>
      <c r="I19" t="n">
        <v>0</v>
      </c>
      <c r="J19" t="n">
        <v>1</v>
      </c>
      <c r="K19" t="n">
        <v>0</v>
      </c>
      <c r="L19" t="n">
        <v>0</v>
      </c>
      <c r="M19" t="n">
        <v>0</v>
      </c>
      <c r="N19" t="n">
        <v>0</v>
      </c>
      <c r="O19" t="n">
        <v>1</v>
      </c>
      <c r="P19" t="n">
        <v>0</v>
      </c>
      <c r="Q19" t="n">
        <v>1</v>
      </c>
      <c r="R19" s="2" t="inlineStr">
        <is>
          <t>Utter</t>
        </is>
      </c>
      <c r="S19">
        <f>HYPERLINK("https://klasma.github.io/Logging_1863/artfynd/A 58764-2020 artfynd.xlsx", "A 58764-2020")</f>
        <v/>
      </c>
      <c r="T19">
        <f>HYPERLINK("https://klasma.github.io/Logging_1863/kartor/A 58764-2020 karta.png", "A 58764-2020")</f>
        <v/>
      </c>
      <c r="V19">
        <f>HYPERLINK("https://klasma.github.io/Logging_1863/klagomål/A 58764-2020 FSC-klagomål.docx", "A 58764-2020")</f>
        <v/>
      </c>
      <c r="W19">
        <f>HYPERLINK("https://klasma.github.io/Logging_1863/klagomålsmail/A 58764-2020 FSC-klagomål mail.docx", "A 58764-2020")</f>
        <v/>
      </c>
      <c r="X19">
        <f>HYPERLINK("https://klasma.github.io/Logging_1863/tillsyn/A 58764-2020 tillsynsbegäran.docx", "A 58764-2020")</f>
        <v/>
      </c>
      <c r="Y19">
        <f>HYPERLINK("https://klasma.github.io/Logging_1863/tillsynsmail/A 58764-2020 tillsynsbegäran mail.docx", "A 58764-2020")</f>
        <v/>
      </c>
    </row>
    <row r="20" ht="15" customHeight="1">
      <c r="A20" t="inlineStr">
        <is>
          <t>A 128-2021</t>
        </is>
      </c>
      <c r="B20" s="1" t="n">
        <v>44200</v>
      </c>
      <c r="C20" s="1" t="n">
        <v>45742</v>
      </c>
      <c r="D20" t="inlineStr">
        <is>
          <t>ÖREBRO LÄN</t>
        </is>
      </c>
      <c r="E20" t="inlineStr">
        <is>
          <t>HÄLLEFORS</t>
        </is>
      </c>
      <c r="G20" t="n">
        <v>4.3</v>
      </c>
      <c r="H20" t="n">
        <v>1</v>
      </c>
      <c r="I20" t="n">
        <v>1</v>
      </c>
      <c r="J20" t="n">
        <v>0</v>
      </c>
      <c r="K20" t="n">
        <v>0</v>
      </c>
      <c r="L20" t="n">
        <v>0</v>
      </c>
      <c r="M20" t="n">
        <v>0</v>
      </c>
      <c r="N20" t="n">
        <v>0</v>
      </c>
      <c r="O20" t="n">
        <v>0</v>
      </c>
      <c r="P20" t="n">
        <v>0</v>
      </c>
      <c r="Q20" t="n">
        <v>1</v>
      </c>
      <c r="R20" s="2" t="inlineStr">
        <is>
          <t>Purpurknipprot</t>
        </is>
      </c>
      <c r="S20">
        <f>HYPERLINK("https://klasma.github.io/Logging_1863/artfynd/A 128-2021 artfynd.xlsx", "A 128-2021")</f>
        <v/>
      </c>
      <c r="T20">
        <f>HYPERLINK("https://klasma.github.io/Logging_1863/kartor/A 128-2021 karta.png", "A 128-2021")</f>
        <v/>
      </c>
      <c r="V20">
        <f>HYPERLINK("https://klasma.github.io/Logging_1863/klagomål/A 128-2021 FSC-klagomål.docx", "A 128-2021")</f>
        <v/>
      </c>
      <c r="W20">
        <f>HYPERLINK("https://klasma.github.io/Logging_1863/klagomålsmail/A 128-2021 FSC-klagomål mail.docx", "A 128-2021")</f>
        <v/>
      </c>
      <c r="X20">
        <f>HYPERLINK("https://klasma.github.io/Logging_1863/tillsyn/A 128-2021 tillsynsbegäran.docx", "A 128-2021")</f>
        <v/>
      </c>
      <c r="Y20">
        <f>HYPERLINK("https://klasma.github.io/Logging_1863/tillsynsmail/A 128-2021 tillsynsbegäran mail.docx", "A 128-2021")</f>
        <v/>
      </c>
    </row>
    <row r="21" ht="15" customHeight="1">
      <c r="A21" t="inlineStr">
        <is>
          <t>A 52079-2021</t>
        </is>
      </c>
      <c r="B21" s="1" t="n">
        <v>44463</v>
      </c>
      <c r="C21" s="1" t="n">
        <v>45742</v>
      </c>
      <c r="D21" t="inlineStr">
        <is>
          <t>ÖREBRO LÄN</t>
        </is>
      </c>
      <c r="E21" t="inlineStr">
        <is>
          <t>HÄLLEFORS</t>
        </is>
      </c>
      <c r="F21" t="inlineStr">
        <is>
          <t>Bergvik skog väst AB</t>
        </is>
      </c>
      <c r="G21" t="n">
        <v>21.6</v>
      </c>
      <c r="H21" t="n">
        <v>0</v>
      </c>
      <c r="I21" t="n">
        <v>0</v>
      </c>
      <c r="J21" t="n">
        <v>1</v>
      </c>
      <c r="K21" t="n">
        <v>0</v>
      </c>
      <c r="L21" t="n">
        <v>0</v>
      </c>
      <c r="M21" t="n">
        <v>0</v>
      </c>
      <c r="N21" t="n">
        <v>0</v>
      </c>
      <c r="O21" t="n">
        <v>1</v>
      </c>
      <c r="P21" t="n">
        <v>0</v>
      </c>
      <c r="Q21" t="n">
        <v>1</v>
      </c>
      <c r="R21" s="2" t="inlineStr">
        <is>
          <t>Lunglav</t>
        </is>
      </c>
      <c r="S21">
        <f>HYPERLINK("https://klasma.github.io/Logging_1863/artfynd/A 52079-2021 artfynd.xlsx", "A 52079-2021")</f>
        <v/>
      </c>
      <c r="T21">
        <f>HYPERLINK("https://klasma.github.io/Logging_1863/kartor/A 52079-2021 karta.png", "A 52079-2021")</f>
        <v/>
      </c>
      <c r="V21">
        <f>HYPERLINK("https://klasma.github.io/Logging_1863/klagomål/A 52079-2021 FSC-klagomål.docx", "A 52079-2021")</f>
        <v/>
      </c>
      <c r="W21">
        <f>HYPERLINK("https://klasma.github.io/Logging_1863/klagomålsmail/A 52079-2021 FSC-klagomål mail.docx", "A 52079-2021")</f>
        <v/>
      </c>
      <c r="X21">
        <f>HYPERLINK("https://klasma.github.io/Logging_1863/tillsyn/A 52079-2021 tillsynsbegäran.docx", "A 52079-2021")</f>
        <v/>
      </c>
      <c r="Y21">
        <f>HYPERLINK("https://klasma.github.io/Logging_1863/tillsynsmail/A 52079-2021 tillsynsbegäran mail.docx", "A 52079-2021")</f>
        <v/>
      </c>
    </row>
    <row r="22" ht="15" customHeight="1">
      <c r="A22" t="inlineStr">
        <is>
          <t>A 27134-2022</t>
        </is>
      </c>
      <c r="B22" s="1" t="n">
        <v>44741</v>
      </c>
      <c r="C22" s="1" t="n">
        <v>45742</v>
      </c>
      <c r="D22" t="inlineStr">
        <is>
          <t>ÖREBRO LÄN</t>
        </is>
      </c>
      <c r="E22" t="inlineStr">
        <is>
          <t>HÄLLEFORS</t>
        </is>
      </c>
      <c r="F22" t="inlineStr">
        <is>
          <t>Bergvik skog väst AB</t>
        </is>
      </c>
      <c r="G22" t="n">
        <v>8.1</v>
      </c>
      <c r="H22" t="n">
        <v>1</v>
      </c>
      <c r="I22" t="n">
        <v>0</v>
      </c>
      <c r="J22" t="n">
        <v>0</v>
      </c>
      <c r="K22" t="n">
        <v>0</v>
      </c>
      <c r="L22" t="n">
        <v>0</v>
      </c>
      <c r="M22" t="n">
        <v>0</v>
      </c>
      <c r="N22" t="n">
        <v>0</v>
      </c>
      <c r="O22" t="n">
        <v>0</v>
      </c>
      <c r="P22" t="n">
        <v>0</v>
      </c>
      <c r="Q22" t="n">
        <v>1</v>
      </c>
      <c r="R22" s="2" t="inlineStr">
        <is>
          <t>Nattviol</t>
        </is>
      </c>
      <c r="S22">
        <f>HYPERLINK("https://klasma.github.io/Logging_1863/artfynd/A 27134-2022 artfynd.xlsx", "A 27134-2022")</f>
        <v/>
      </c>
      <c r="T22">
        <f>HYPERLINK("https://klasma.github.io/Logging_1863/kartor/A 27134-2022 karta.png", "A 27134-2022")</f>
        <v/>
      </c>
      <c r="V22">
        <f>HYPERLINK("https://klasma.github.io/Logging_1863/klagomål/A 27134-2022 FSC-klagomål.docx", "A 27134-2022")</f>
        <v/>
      </c>
      <c r="W22">
        <f>HYPERLINK("https://klasma.github.io/Logging_1863/klagomålsmail/A 27134-2022 FSC-klagomål mail.docx", "A 27134-2022")</f>
        <v/>
      </c>
      <c r="X22">
        <f>HYPERLINK("https://klasma.github.io/Logging_1863/tillsyn/A 27134-2022 tillsynsbegäran.docx", "A 27134-2022")</f>
        <v/>
      </c>
      <c r="Y22">
        <f>HYPERLINK("https://klasma.github.io/Logging_1863/tillsynsmail/A 27134-2022 tillsynsbegäran mail.docx", "A 27134-2022")</f>
        <v/>
      </c>
    </row>
    <row r="23" ht="15" customHeight="1">
      <c r="A23" t="inlineStr">
        <is>
          <t>A 39540-2022</t>
        </is>
      </c>
      <c r="B23" s="1" t="n">
        <v>44818</v>
      </c>
      <c r="C23" s="1" t="n">
        <v>45742</v>
      </c>
      <c r="D23" t="inlineStr">
        <is>
          <t>ÖREBRO LÄN</t>
        </is>
      </c>
      <c r="E23" t="inlineStr">
        <is>
          <t>HÄLLEFORS</t>
        </is>
      </c>
      <c r="G23" t="n">
        <v>0.5</v>
      </c>
      <c r="H23" t="n">
        <v>0</v>
      </c>
      <c r="I23" t="n">
        <v>1</v>
      </c>
      <c r="J23" t="n">
        <v>0</v>
      </c>
      <c r="K23" t="n">
        <v>0</v>
      </c>
      <c r="L23" t="n">
        <v>0</v>
      </c>
      <c r="M23" t="n">
        <v>0</v>
      </c>
      <c r="N23" t="n">
        <v>0</v>
      </c>
      <c r="O23" t="n">
        <v>0</v>
      </c>
      <c r="P23" t="n">
        <v>0</v>
      </c>
      <c r="Q23" t="n">
        <v>1</v>
      </c>
      <c r="R23" s="2" t="inlineStr">
        <is>
          <t>Norrlandslav</t>
        </is>
      </c>
      <c r="S23">
        <f>HYPERLINK("https://klasma.github.io/Logging_1863/artfynd/A 39540-2022 artfynd.xlsx", "A 39540-2022")</f>
        <v/>
      </c>
      <c r="T23">
        <f>HYPERLINK("https://klasma.github.io/Logging_1863/kartor/A 39540-2022 karta.png", "A 39540-2022")</f>
        <v/>
      </c>
      <c r="V23">
        <f>HYPERLINK("https://klasma.github.io/Logging_1863/klagomål/A 39540-2022 FSC-klagomål.docx", "A 39540-2022")</f>
        <v/>
      </c>
      <c r="W23">
        <f>HYPERLINK("https://klasma.github.io/Logging_1863/klagomålsmail/A 39540-2022 FSC-klagomål mail.docx", "A 39540-2022")</f>
        <v/>
      </c>
      <c r="X23">
        <f>HYPERLINK("https://klasma.github.io/Logging_1863/tillsyn/A 39540-2022 tillsynsbegäran.docx", "A 39540-2022")</f>
        <v/>
      </c>
      <c r="Y23">
        <f>HYPERLINK("https://klasma.github.io/Logging_1863/tillsynsmail/A 39540-2022 tillsynsbegäran mail.docx", "A 39540-2022")</f>
        <v/>
      </c>
    </row>
    <row r="24" ht="15" customHeight="1">
      <c r="A24" t="inlineStr">
        <is>
          <t>A 54267-2022</t>
        </is>
      </c>
      <c r="B24" s="1" t="n">
        <v>44882</v>
      </c>
      <c r="C24" s="1" t="n">
        <v>45742</v>
      </c>
      <c r="D24" t="inlineStr">
        <is>
          <t>ÖREBRO LÄN</t>
        </is>
      </c>
      <c r="E24" t="inlineStr">
        <is>
          <t>HÄLLEFORS</t>
        </is>
      </c>
      <c r="F24" t="inlineStr">
        <is>
          <t>Bergvik skog väst AB</t>
        </is>
      </c>
      <c r="G24" t="n">
        <v>1.3</v>
      </c>
      <c r="H24" t="n">
        <v>1</v>
      </c>
      <c r="I24" t="n">
        <v>0</v>
      </c>
      <c r="J24" t="n">
        <v>0</v>
      </c>
      <c r="K24" t="n">
        <v>1</v>
      </c>
      <c r="L24" t="n">
        <v>0</v>
      </c>
      <c r="M24" t="n">
        <v>0</v>
      </c>
      <c r="N24" t="n">
        <v>0</v>
      </c>
      <c r="O24" t="n">
        <v>1</v>
      </c>
      <c r="P24" t="n">
        <v>1</v>
      </c>
      <c r="Q24" t="n">
        <v>1</v>
      </c>
      <c r="R24" s="2" t="inlineStr">
        <is>
          <t>Knärot</t>
        </is>
      </c>
      <c r="S24">
        <f>HYPERLINK("https://klasma.github.io/Logging_1863/artfynd/A 54267-2022 artfynd.xlsx", "A 54267-2022")</f>
        <v/>
      </c>
      <c r="T24">
        <f>HYPERLINK("https://klasma.github.io/Logging_1863/kartor/A 54267-2022 karta.png", "A 54267-2022")</f>
        <v/>
      </c>
      <c r="U24">
        <f>HYPERLINK("https://klasma.github.io/Logging_1863/knärot/A 54267-2022 karta knärot.png", "A 54267-2022")</f>
        <v/>
      </c>
      <c r="V24">
        <f>HYPERLINK("https://klasma.github.io/Logging_1863/klagomål/A 54267-2022 FSC-klagomål.docx", "A 54267-2022")</f>
        <v/>
      </c>
      <c r="W24">
        <f>HYPERLINK("https://klasma.github.io/Logging_1863/klagomålsmail/A 54267-2022 FSC-klagomål mail.docx", "A 54267-2022")</f>
        <v/>
      </c>
      <c r="X24">
        <f>HYPERLINK("https://klasma.github.io/Logging_1863/tillsyn/A 54267-2022 tillsynsbegäran.docx", "A 54267-2022")</f>
        <v/>
      </c>
      <c r="Y24">
        <f>HYPERLINK("https://klasma.github.io/Logging_1863/tillsynsmail/A 54267-2022 tillsynsbegäran mail.docx", "A 54267-2022")</f>
        <v/>
      </c>
    </row>
    <row r="25" ht="15" customHeight="1">
      <c r="A25" t="inlineStr">
        <is>
          <t>A 60162-2022</t>
        </is>
      </c>
      <c r="B25" s="1" t="n">
        <v>44909</v>
      </c>
      <c r="C25" s="1" t="n">
        <v>45742</v>
      </c>
      <c r="D25" t="inlineStr">
        <is>
          <t>ÖREBRO LÄN</t>
        </is>
      </c>
      <c r="E25" t="inlineStr">
        <is>
          <t>HÄLLEFORS</t>
        </is>
      </c>
      <c r="G25" t="n">
        <v>5.2</v>
      </c>
      <c r="H25" t="n">
        <v>1</v>
      </c>
      <c r="I25" t="n">
        <v>0</v>
      </c>
      <c r="J25" t="n">
        <v>0</v>
      </c>
      <c r="K25" t="n">
        <v>0</v>
      </c>
      <c r="L25" t="n">
        <v>0</v>
      </c>
      <c r="M25" t="n">
        <v>0</v>
      </c>
      <c r="N25" t="n">
        <v>0</v>
      </c>
      <c r="O25" t="n">
        <v>0</v>
      </c>
      <c r="P25" t="n">
        <v>0</v>
      </c>
      <c r="Q25" t="n">
        <v>1</v>
      </c>
      <c r="R25" s="2" t="inlineStr">
        <is>
          <t>Revlummer</t>
        </is>
      </c>
      <c r="S25">
        <f>HYPERLINK("https://klasma.github.io/Logging_1863/artfynd/A 60162-2022 artfynd.xlsx", "A 60162-2022")</f>
        <v/>
      </c>
      <c r="T25">
        <f>HYPERLINK("https://klasma.github.io/Logging_1863/kartor/A 60162-2022 karta.png", "A 60162-2022")</f>
        <v/>
      </c>
      <c r="V25">
        <f>HYPERLINK("https://klasma.github.io/Logging_1863/klagomål/A 60162-2022 FSC-klagomål.docx", "A 60162-2022")</f>
        <v/>
      </c>
      <c r="W25">
        <f>HYPERLINK("https://klasma.github.io/Logging_1863/klagomålsmail/A 60162-2022 FSC-klagomål mail.docx", "A 60162-2022")</f>
        <v/>
      </c>
      <c r="X25">
        <f>HYPERLINK("https://klasma.github.io/Logging_1863/tillsyn/A 60162-2022 tillsynsbegäran.docx", "A 60162-2022")</f>
        <v/>
      </c>
      <c r="Y25">
        <f>HYPERLINK("https://klasma.github.io/Logging_1863/tillsynsmail/A 60162-2022 tillsynsbegäran mail.docx", "A 60162-2022")</f>
        <v/>
      </c>
    </row>
    <row r="26" ht="15" customHeight="1">
      <c r="A26" t="inlineStr">
        <is>
          <t>A 4652-2023</t>
        </is>
      </c>
      <c r="B26" s="1" t="n">
        <v>44957</v>
      </c>
      <c r="C26" s="1" t="n">
        <v>45742</v>
      </c>
      <c r="D26" t="inlineStr">
        <is>
          <t>ÖREBRO LÄN</t>
        </is>
      </c>
      <c r="E26" t="inlineStr">
        <is>
          <t>HÄLLEFORS</t>
        </is>
      </c>
      <c r="G26" t="n">
        <v>2.5</v>
      </c>
      <c r="H26" t="n">
        <v>0</v>
      </c>
      <c r="I26" t="n">
        <v>0</v>
      </c>
      <c r="J26" t="n">
        <v>1</v>
      </c>
      <c r="K26" t="n">
        <v>0</v>
      </c>
      <c r="L26" t="n">
        <v>0</v>
      </c>
      <c r="M26" t="n">
        <v>0</v>
      </c>
      <c r="N26" t="n">
        <v>0</v>
      </c>
      <c r="O26" t="n">
        <v>1</v>
      </c>
      <c r="P26" t="n">
        <v>0</v>
      </c>
      <c r="Q26" t="n">
        <v>1</v>
      </c>
      <c r="R26" s="2" t="inlineStr">
        <is>
          <t>Vedtrappmossa</t>
        </is>
      </c>
      <c r="S26">
        <f>HYPERLINK("https://klasma.github.io/Logging_1863/artfynd/A 4652-2023 artfynd.xlsx", "A 4652-2023")</f>
        <v/>
      </c>
      <c r="T26">
        <f>HYPERLINK("https://klasma.github.io/Logging_1863/kartor/A 4652-2023 karta.png", "A 4652-2023")</f>
        <v/>
      </c>
      <c r="V26">
        <f>HYPERLINK("https://klasma.github.io/Logging_1863/klagomål/A 4652-2023 FSC-klagomål.docx", "A 4652-2023")</f>
        <v/>
      </c>
      <c r="W26">
        <f>HYPERLINK("https://klasma.github.io/Logging_1863/klagomålsmail/A 4652-2023 FSC-klagomål mail.docx", "A 4652-2023")</f>
        <v/>
      </c>
      <c r="X26">
        <f>HYPERLINK("https://klasma.github.io/Logging_1863/tillsyn/A 4652-2023 tillsynsbegäran.docx", "A 4652-2023")</f>
        <v/>
      </c>
      <c r="Y26">
        <f>HYPERLINK("https://klasma.github.io/Logging_1863/tillsynsmail/A 4652-2023 tillsynsbegäran mail.docx", "A 4652-2023")</f>
        <v/>
      </c>
    </row>
    <row r="27" ht="15" customHeight="1">
      <c r="A27" t="inlineStr">
        <is>
          <t>A 24357-2023</t>
        </is>
      </c>
      <c r="B27" s="1" t="n">
        <v>45082</v>
      </c>
      <c r="C27" s="1" t="n">
        <v>45742</v>
      </c>
      <c r="D27" t="inlineStr">
        <is>
          <t>ÖREBRO LÄN</t>
        </is>
      </c>
      <c r="E27" t="inlineStr">
        <is>
          <t>HÄLLEFORS</t>
        </is>
      </c>
      <c r="F27" t="inlineStr">
        <is>
          <t>Sveaskog</t>
        </is>
      </c>
      <c r="G27" t="n">
        <v>9</v>
      </c>
      <c r="H27" t="n">
        <v>1</v>
      </c>
      <c r="I27" t="n">
        <v>0</v>
      </c>
      <c r="J27" t="n">
        <v>0</v>
      </c>
      <c r="K27" t="n">
        <v>0</v>
      </c>
      <c r="L27" t="n">
        <v>0</v>
      </c>
      <c r="M27" t="n">
        <v>0</v>
      </c>
      <c r="N27" t="n">
        <v>0</v>
      </c>
      <c r="O27" t="n">
        <v>0</v>
      </c>
      <c r="P27" t="n">
        <v>0</v>
      </c>
      <c r="Q27" t="n">
        <v>1</v>
      </c>
      <c r="R27" s="2" t="inlineStr">
        <is>
          <t>Fläcknycklar</t>
        </is>
      </c>
      <c r="S27">
        <f>HYPERLINK("https://klasma.github.io/Logging_1863/artfynd/A 24357-2023 artfynd.xlsx", "A 24357-2023")</f>
        <v/>
      </c>
      <c r="T27">
        <f>HYPERLINK("https://klasma.github.io/Logging_1863/kartor/A 24357-2023 karta.png", "A 24357-2023")</f>
        <v/>
      </c>
      <c r="V27">
        <f>HYPERLINK("https://klasma.github.io/Logging_1863/klagomål/A 24357-2023 FSC-klagomål.docx", "A 24357-2023")</f>
        <v/>
      </c>
      <c r="W27">
        <f>HYPERLINK("https://klasma.github.io/Logging_1863/klagomålsmail/A 24357-2023 FSC-klagomål mail.docx", "A 24357-2023")</f>
        <v/>
      </c>
      <c r="X27">
        <f>HYPERLINK("https://klasma.github.io/Logging_1863/tillsyn/A 24357-2023 tillsynsbegäran.docx", "A 24357-2023")</f>
        <v/>
      </c>
      <c r="Y27">
        <f>HYPERLINK("https://klasma.github.io/Logging_1863/tillsynsmail/A 24357-2023 tillsynsbegäran mail.docx", "A 24357-2023")</f>
        <v/>
      </c>
    </row>
    <row r="28" ht="15" customHeight="1">
      <c r="A28" t="inlineStr">
        <is>
          <t>A 41834-2023</t>
        </is>
      </c>
      <c r="B28" s="1" t="n">
        <v>45176</v>
      </c>
      <c r="C28" s="1" t="n">
        <v>45742</v>
      </c>
      <c r="D28" t="inlineStr">
        <is>
          <t>ÖREBRO LÄN</t>
        </is>
      </c>
      <c r="E28" t="inlineStr">
        <is>
          <t>HÄLLEFORS</t>
        </is>
      </c>
      <c r="F28" t="inlineStr">
        <is>
          <t>Bergvik skog väst AB</t>
        </is>
      </c>
      <c r="G28" t="n">
        <v>3.4</v>
      </c>
      <c r="H28" t="n">
        <v>1</v>
      </c>
      <c r="I28" t="n">
        <v>1</v>
      </c>
      <c r="J28" t="n">
        <v>0</v>
      </c>
      <c r="K28" t="n">
        <v>0</v>
      </c>
      <c r="L28" t="n">
        <v>0</v>
      </c>
      <c r="M28" t="n">
        <v>0</v>
      </c>
      <c r="N28" t="n">
        <v>0</v>
      </c>
      <c r="O28" t="n">
        <v>0</v>
      </c>
      <c r="P28" t="n">
        <v>0</v>
      </c>
      <c r="Q28" t="n">
        <v>1</v>
      </c>
      <c r="R28" s="2" t="inlineStr">
        <is>
          <t>Plattlummer</t>
        </is>
      </c>
      <c r="S28">
        <f>HYPERLINK("https://klasma.github.io/Logging_1863/artfynd/A 41834-2023 artfynd.xlsx", "A 41834-2023")</f>
        <v/>
      </c>
      <c r="T28">
        <f>HYPERLINK("https://klasma.github.io/Logging_1863/kartor/A 41834-2023 karta.png", "A 41834-2023")</f>
        <v/>
      </c>
      <c r="V28">
        <f>HYPERLINK("https://klasma.github.io/Logging_1863/klagomål/A 41834-2023 FSC-klagomål.docx", "A 41834-2023")</f>
        <v/>
      </c>
      <c r="W28">
        <f>HYPERLINK("https://klasma.github.io/Logging_1863/klagomålsmail/A 41834-2023 FSC-klagomål mail.docx", "A 41834-2023")</f>
        <v/>
      </c>
      <c r="X28">
        <f>HYPERLINK("https://klasma.github.io/Logging_1863/tillsyn/A 41834-2023 tillsynsbegäran.docx", "A 41834-2023")</f>
        <v/>
      </c>
      <c r="Y28">
        <f>HYPERLINK("https://klasma.github.io/Logging_1863/tillsynsmail/A 41834-2023 tillsynsbegäran mail.docx", "A 41834-2023")</f>
        <v/>
      </c>
    </row>
    <row r="29" ht="15" customHeight="1">
      <c r="A29" t="inlineStr">
        <is>
          <t>A 55623-2023</t>
        </is>
      </c>
      <c r="B29" s="1" t="n">
        <v>45238</v>
      </c>
      <c r="C29" s="1" t="n">
        <v>45742</v>
      </c>
      <c r="D29" t="inlineStr">
        <is>
          <t>ÖREBRO LÄN</t>
        </is>
      </c>
      <c r="E29" t="inlineStr">
        <is>
          <t>HÄLLEFORS</t>
        </is>
      </c>
      <c r="G29" t="n">
        <v>5.8</v>
      </c>
      <c r="H29" t="n">
        <v>0</v>
      </c>
      <c r="I29" t="n">
        <v>1</v>
      </c>
      <c r="J29" t="n">
        <v>0</v>
      </c>
      <c r="K29" t="n">
        <v>0</v>
      </c>
      <c r="L29" t="n">
        <v>0</v>
      </c>
      <c r="M29" t="n">
        <v>0</v>
      </c>
      <c r="N29" t="n">
        <v>0</v>
      </c>
      <c r="O29" t="n">
        <v>0</v>
      </c>
      <c r="P29" t="n">
        <v>0</v>
      </c>
      <c r="Q29" t="n">
        <v>1</v>
      </c>
      <c r="R29" s="2" t="inlineStr">
        <is>
          <t>Norrlandslav</t>
        </is>
      </c>
      <c r="S29">
        <f>HYPERLINK("https://klasma.github.io/Logging_1863/artfynd/A 55623-2023 artfynd.xlsx", "A 55623-2023")</f>
        <v/>
      </c>
      <c r="T29">
        <f>HYPERLINK("https://klasma.github.io/Logging_1863/kartor/A 55623-2023 karta.png", "A 55623-2023")</f>
        <v/>
      </c>
      <c r="V29">
        <f>HYPERLINK("https://klasma.github.io/Logging_1863/klagomål/A 55623-2023 FSC-klagomål.docx", "A 55623-2023")</f>
        <v/>
      </c>
      <c r="W29">
        <f>HYPERLINK("https://klasma.github.io/Logging_1863/klagomålsmail/A 55623-2023 FSC-klagomål mail.docx", "A 55623-2023")</f>
        <v/>
      </c>
      <c r="X29">
        <f>HYPERLINK("https://klasma.github.io/Logging_1863/tillsyn/A 55623-2023 tillsynsbegäran.docx", "A 55623-2023")</f>
        <v/>
      </c>
      <c r="Y29">
        <f>HYPERLINK("https://klasma.github.io/Logging_1863/tillsynsmail/A 55623-2023 tillsynsbegäran mail.docx", "A 55623-2023")</f>
        <v/>
      </c>
    </row>
    <row r="30" ht="15" customHeight="1">
      <c r="A30" t="inlineStr">
        <is>
          <t>A 14985-2024</t>
        </is>
      </c>
      <c r="B30" s="1" t="n">
        <v>45399</v>
      </c>
      <c r="C30" s="1" t="n">
        <v>45742</v>
      </c>
      <c r="D30" t="inlineStr">
        <is>
          <t>ÖREBRO LÄN</t>
        </is>
      </c>
      <c r="E30" t="inlineStr">
        <is>
          <t>HÄLLEFORS</t>
        </is>
      </c>
      <c r="F30" t="inlineStr">
        <is>
          <t>Bergvik skog väst AB</t>
        </is>
      </c>
      <c r="G30" t="n">
        <v>6.8</v>
      </c>
      <c r="H30" t="n">
        <v>1</v>
      </c>
      <c r="I30" t="n">
        <v>0</v>
      </c>
      <c r="J30" t="n">
        <v>0</v>
      </c>
      <c r="K30" t="n">
        <v>0</v>
      </c>
      <c r="L30" t="n">
        <v>0</v>
      </c>
      <c r="M30" t="n">
        <v>0</v>
      </c>
      <c r="N30" t="n">
        <v>0</v>
      </c>
      <c r="O30" t="n">
        <v>0</v>
      </c>
      <c r="P30" t="n">
        <v>0</v>
      </c>
      <c r="Q30" t="n">
        <v>1</v>
      </c>
      <c r="R30" s="2" t="inlineStr">
        <is>
          <t>Mattlummer</t>
        </is>
      </c>
      <c r="S30">
        <f>HYPERLINK("https://klasma.github.io/Logging_1863/artfynd/A 14985-2024 artfynd.xlsx", "A 14985-2024")</f>
        <v/>
      </c>
      <c r="T30">
        <f>HYPERLINK("https://klasma.github.io/Logging_1863/kartor/A 14985-2024 karta.png", "A 14985-2024")</f>
        <v/>
      </c>
      <c r="V30">
        <f>HYPERLINK("https://klasma.github.io/Logging_1863/klagomål/A 14985-2024 FSC-klagomål.docx", "A 14985-2024")</f>
        <v/>
      </c>
      <c r="W30">
        <f>HYPERLINK("https://klasma.github.io/Logging_1863/klagomålsmail/A 14985-2024 FSC-klagomål mail.docx", "A 14985-2024")</f>
        <v/>
      </c>
      <c r="X30">
        <f>HYPERLINK("https://klasma.github.io/Logging_1863/tillsyn/A 14985-2024 tillsynsbegäran.docx", "A 14985-2024")</f>
        <v/>
      </c>
      <c r="Y30">
        <f>HYPERLINK("https://klasma.github.io/Logging_1863/tillsynsmail/A 14985-2024 tillsynsbegäran mail.docx", "A 14985-2024")</f>
        <v/>
      </c>
    </row>
    <row r="31" ht="15" customHeight="1">
      <c r="A31" t="inlineStr">
        <is>
          <t>A 28598-2024</t>
        </is>
      </c>
      <c r="B31" s="1" t="n">
        <v>45478</v>
      </c>
      <c r="C31" s="1" t="n">
        <v>45742</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39105-2024</t>
        </is>
      </c>
      <c r="B32" s="1" t="n">
        <v>45548</v>
      </c>
      <c r="C32" s="1" t="n">
        <v>45742</v>
      </c>
      <c r="D32" t="inlineStr">
        <is>
          <t>ÖREBRO LÄN</t>
        </is>
      </c>
      <c r="E32" t="inlineStr">
        <is>
          <t>HÄLLEFORS</t>
        </is>
      </c>
      <c r="G32" t="n">
        <v>3.3</v>
      </c>
      <c r="H32" t="n">
        <v>0</v>
      </c>
      <c r="I32" t="n">
        <v>0</v>
      </c>
      <c r="J32" t="n">
        <v>0</v>
      </c>
      <c r="K32" t="n">
        <v>1</v>
      </c>
      <c r="L32" t="n">
        <v>0</v>
      </c>
      <c r="M32" t="n">
        <v>0</v>
      </c>
      <c r="N32" t="n">
        <v>0</v>
      </c>
      <c r="O32" t="n">
        <v>1</v>
      </c>
      <c r="P32" t="n">
        <v>1</v>
      </c>
      <c r="Q32" t="n">
        <v>1</v>
      </c>
      <c r="R32" s="2" t="inlineStr">
        <is>
          <t>Trollsmultron</t>
        </is>
      </c>
      <c r="S32">
        <f>HYPERLINK("https://klasma.github.io/Logging_1863/artfynd/A 39105-2024 artfynd.xlsx", "A 39105-2024")</f>
        <v/>
      </c>
      <c r="T32">
        <f>HYPERLINK("https://klasma.github.io/Logging_1863/kartor/A 39105-2024 karta.png", "A 39105-2024")</f>
        <v/>
      </c>
      <c r="V32">
        <f>HYPERLINK("https://klasma.github.io/Logging_1863/klagomål/A 39105-2024 FSC-klagomål.docx", "A 39105-2024")</f>
        <v/>
      </c>
      <c r="W32">
        <f>HYPERLINK("https://klasma.github.io/Logging_1863/klagomålsmail/A 39105-2024 FSC-klagomål mail.docx", "A 39105-2024")</f>
        <v/>
      </c>
      <c r="X32">
        <f>HYPERLINK("https://klasma.github.io/Logging_1863/tillsyn/A 39105-2024 tillsynsbegäran.docx", "A 39105-2024")</f>
        <v/>
      </c>
      <c r="Y32">
        <f>HYPERLINK("https://klasma.github.io/Logging_1863/tillsynsmail/A 39105-2024 tillsynsbegäran mail.docx", "A 39105-2024")</f>
        <v/>
      </c>
    </row>
    <row r="33" ht="15" customHeight="1">
      <c r="A33" t="inlineStr">
        <is>
          <t>A 44781-2024</t>
        </is>
      </c>
      <c r="B33" s="1" t="n">
        <v>45574</v>
      </c>
      <c r="C33" s="1" t="n">
        <v>45742</v>
      </c>
      <c r="D33" t="inlineStr">
        <is>
          <t>ÖREBRO LÄN</t>
        </is>
      </c>
      <c r="E33" t="inlineStr">
        <is>
          <t>HÄLLEFORS</t>
        </is>
      </c>
      <c r="F33" t="inlineStr">
        <is>
          <t>Sveaskog</t>
        </is>
      </c>
      <c r="G33" t="n">
        <v>2.7</v>
      </c>
      <c r="H33" t="n">
        <v>0</v>
      </c>
      <c r="I33" t="n">
        <v>1</v>
      </c>
      <c r="J33" t="n">
        <v>0</v>
      </c>
      <c r="K33" t="n">
        <v>0</v>
      </c>
      <c r="L33" t="n">
        <v>0</v>
      </c>
      <c r="M33" t="n">
        <v>0</v>
      </c>
      <c r="N33" t="n">
        <v>0</v>
      </c>
      <c r="O33" t="n">
        <v>0</v>
      </c>
      <c r="P33" t="n">
        <v>0</v>
      </c>
      <c r="Q33" t="n">
        <v>1</v>
      </c>
      <c r="R33" s="2" t="inlineStr">
        <is>
          <t>Rödgul trumpetsvamp</t>
        </is>
      </c>
      <c r="S33">
        <f>HYPERLINK("https://klasma.github.io/Logging_1863/artfynd/A 44781-2024 artfynd.xlsx", "A 44781-2024")</f>
        <v/>
      </c>
      <c r="T33">
        <f>HYPERLINK("https://klasma.github.io/Logging_1863/kartor/A 44781-2024 karta.png", "A 44781-2024")</f>
        <v/>
      </c>
      <c r="V33">
        <f>HYPERLINK("https://klasma.github.io/Logging_1863/klagomål/A 44781-2024 FSC-klagomål.docx", "A 44781-2024")</f>
        <v/>
      </c>
      <c r="W33">
        <f>HYPERLINK("https://klasma.github.io/Logging_1863/klagomålsmail/A 44781-2024 FSC-klagomål mail.docx", "A 44781-2024")</f>
        <v/>
      </c>
      <c r="X33">
        <f>HYPERLINK("https://klasma.github.io/Logging_1863/tillsyn/A 44781-2024 tillsynsbegäran.docx", "A 44781-2024")</f>
        <v/>
      </c>
      <c r="Y33">
        <f>HYPERLINK("https://klasma.github.io/Logging_1863/tillsynsmail/A 44781-2024 tillsynsbegäran mail.docx", "A 44781-2024")</f>
        <v/>
      </c>
    </row>
    <row r="34" ht="15" customHeight="1">
      <c r="A34" t="inlineStr">
        <is>
          <t>A 55749-2024</t>
        </is>
      </c>
      <c r="B34" s="1" t="n">
        <v>45623</v>
      </c>
      <c r="C34" s="1" t="n">
        <v>45742</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421-2025</t>
        </is>
      </c>
      <c r="B35" s="1" t="n">
        <v>45663</v>
      </c>
      <c r="C35" s="1" t="n">
        <v>45742</v>
      </c>
      <c r="D35" t="inlineStr">
        <is>
          <t>ÖREBRO LÄN</t>
        </is>
      </c>
      <c r="E35" t="inlineStr">
        <is>
          <t>HÄLLEFORS</t>
        </is>
      </c>
      <c r="F35" t="inlineStr">
        <is>
          <t>Bergvik skog väst AB</t>
        </is>
      </c>
      <c r="G35" t="n">
        <v>13.3</v>
      </c>
      <c r="H35" t="n">
        <v>0</v>
      </c>
      <c r="I35" t="n">
        <v>1</v>
      </c>
      <c r="J35" t="n">
        <v>0</v>
      </c>
      <c r="K35" t="n">
        <v>0</v>
      </c>
      <c r="L35" t="n">
        <v>0</v>
      </c>
      <c r="M35" t="n">
        <v>0</v>
      </c>
      <c r="N35" t="n">
        <v>0</v>
      </c>
      <c r="O35" t="n">
        <v>0</v>
      </c>
      <c r="P35" t="n">
        <v>0</v>
      </c>
      <c r="Q35" t="n">
        <v>1</v>
      </c>
      <c r="R35" s="2" t="inlineStr">
        <is>
          <t>Blek stjärnmossa</t>
        </is>
      </c>
      <c r="S35">
        <f>HYPERLINK("https://klasma.github.io/Logging_1863/artfynd/A 421-2025 artfynd.xlsx", "A 421-2025")</f>
        <v/>
      </c>
      <c r="T35">
        <f>HYPERLINK("https://klasma.github.io/Logging_1863/kartor/A 421-2025 karta.png", "A 421-2025")</f>
        <v/>
      </c>
      <c r="V35">
        <f>HYPERLINK("https://klasma.github.io/Logging_1863/klagomål/A 421-2025 FSC-klagomål.docx", "A 421-2025")</f>
        <v/>
      </c>
      <c r="W35">
        <f>HYPERLINK("https://klasma.github.io/Logging_1863/klagomålsmail/A 421-2025 FSC-klagomål mail.docx", "A 421-2025")</f>
        <v/>
      </c>
      <c r="X35">
        <f>HYPERLINK("https://klasma.github.io/Logging_1863/tillsyn/A 421-2025 tillsynsbegäran.docx", "A 421-2025")</f>
        <v/>
      </c>
      <c r="Y35">
        <f>HYPERLINK("https://klasma.github.io/Logging_1863/tillsynsmail/A 421-2025 tillsynsbegäran mail.docx", "A 421-2025")</f>
        <v/>
      </c>
    </row>
    <row r="36" ht="15" customHeight="1">
      <c r="A36" t="inlineStr">
        <is>
          <t>A 5244-2025</t>
        </is>
      </c>
      <c r="B36" s="1" t="n">
        <v>45692</v>
      </c>
      <c r="C36" s="1" t="n">
        <v>45742</v>
      </c>
      <c r="D36" t="inlineStr">
        <is>
          <t>ÖREBRO LÄN</t>
        </is>
      </c>
      <c r="E36" t="inlineStr">
        <is>
          <t>HÄLLEFORS</t>
        </is>
      </c>
      <c r="F36" t="inlineStr">
        <is>
          <t>Bergvik skog väst AB</t>
        </is>
      </c>
      <c r="G36" t="n">
        <v>9.199999999999999</v>
      </c>
      <c r="H36" t="n">
        <v>0</v>
      </c>
      <c r="I36" t="n">
        <v>0</v>
      </c>
      <c r="J36" t="n">
        <v>1</v>
      </c>
      <c r="K36" t="n">
        <v>0</v>
      </c>
      <c r="L36" t="n">
        <v>0</v>
      </c>
      <c r="M36" t="n">
        <v>0</v>
      </c>
      <c r="N36" t="n">
        <v>0</v>
      </c>
      <c r="O36" t="n">
        <v>1</v>
      </c>
      <c r="P36" t="n">
        <v>0</v>
      </c>
      <c r="Q36" t="n">
        <v>1</v>
      </c>
      <c r="R36" s="2" t="inlineStr">
        <is>
          <t>Lunglav</t>
        </is>
      </c>
      <c r="S36">
        <f>HYPERLINK("https://klasma.github.io/Logging_1863/artfynd/A 5244-2025 artfynd.xlsx", "A 5244-2025")</f>
        <v/>
      </c>
      <c r="T36">
        <f>HYPERLINK("https://klasma.github.io/Logging_1863/kartor/A 5244-2025 karta.png", "A 5244-2025")</f>
        <v/>
      </c>
      <c r="V36">
        <f>HYPERLINK("https://klasma.github.io/Logging_1863/klagomål/A 5244-2025 FSC-klagomål.docx", "A 5244-2025")</f>
        <v/>
      </c>
      <c r="W36">
        <f>HYPERLINK("https://klasma.github.io/Logging_1863/klagomålsmail/A 5244-2025 FSC-klagomål mail.docx", "A 5244-2025")</f>
        <v/>
      </c>
      <c r="X36">
        <f>HYPERLINK("https://klasma.github.io/Logging_1863/tillsyn/A 5244-2025 tillsynsbegäran.docx", "A 5244-2025")</f>
        <v/>
      </c>
      <c r="Y36">
        <f>HYPERLINK("https://klasma.github.io/Logging_1863/tillsynsmail/A 5244-2025 tillsynsbegäran mail.docx", "A 5244-2025")</f>
        <v/>
      </c>
    </row>
    <row r="37" ht="15" customHeight="1">
      <c r="A37" t="inlineStr">
        <is>
          <t>A 21399-2019</t>
        </is>
      </c>
      <c r="B37" s="1" t="n">
        <v>43580</v>
      </c>
      <c r="C37" s="1" t="n">
        <v>45742</v>
      </c>
      <c r="D37" t="inlineStr">
        <is>
          <t>ÖREBRO LÄN</t>
        </is>
      </c>
      <c r="E37" t="inlineStr">
        <is>
          <t>HÄLLEFORS</t>
        </is>
      </c>
      <c r="G37" t="n">
        <v>1.4</v>
      </c>
      <c r="H37" t="n">
        <v>0</v>
      </c>
      <c r="I37" t="n">
        <v>0</v>
      </c>
      <c r="J37" t="n">
        <v>0</v>
      </c>
      <c r="K37" t="n">
        <v>0</v>
      </c>
      <c r="L37" t="n">
        <v>0</v>
      </c>
      <c r="M37" t="n">
        <v>0</v>
      </c>
      <c r="N37" t="n">
        <v>0</v>
      </c>
      <c r="O37" t="n">
        <v>0</v>
      </c>
      <c r="P37" t="n">
        <v>0</v>
      </c>
      <c r="Q37" t="n">
        <v>0</v>
      </c>
      <c r="R37" s="2" t="inlineStr"/>
    </row>
    <row r="38" ht="15" customHeight="1">
      <c r="A38" t="inlineStr">
        <is>
          <t>A 22348-2019</t>
        </is>
      </c>
      <c r="B38" s="1" t="n">
        <v>43587</v>
      </c>
      <c r="C38" s="1" t="n">
        <v>45742</v>
      </c>
      <c r="D38" t="inlineStr">
        <is>
          <t>ÖREBRO LÄN</t>
        </is>
      </c>
      <c r="E38" t="inlineStr">
        <is>
          <t>HÄLLEFORS</t>
        </is>
      </c>
      <c r="G38" t="n">
        <v>3.5</v>
      </c>
      <c r="H38" t="n">
        <v>0</v>
      </c>
      <c r="I38" t="n">
        <v>0</v>
      </c>
      <c r="J38" t="n">
        <v>0</v>
      </c>
      <c r="K38" t="n">
        <v>0</v>
      </c>
      <c r="L38" t="n">
        <v>0</v>
      </c>
      <c r="M38" t="n">
        <v>0</v>
      </c>
      <c r="N38" t="n">
        <v>0</v>
      </c>
      <c r="O38" t="n">
        <v>0</v>
      </c>
      <c r="P38" t="n">
        <v>0</v>
      </c>
      <c r="Q38" t="n">
        <v>0</v>
      </c>
      <c r="R38" s="2" t="inlineStr"/>
    </row>
    <row r="39" ht="15" customHeight="1">
      <c r="A39" t="inlineStr">
        <is>
          <t>A 24477-2019</t>
        </is>
      </c>
      <c r="B39" s="1" t="n">
        <v>43600</v>
      </c>
      <c r="C39" s="1" t="n">
        <v>45742</v>
      </c>
      <c r="D39" t="inlineStr">
        <is>
          <t>ÖREBRO LÄN</t>
        </is>
      </c>
      <c r="E39" t="inlineStr">
        <is>
          <t>HÄLLEFORS</t>
        </is>
      </c>
      <c r="G39" t="n">
        <v>1.7</v>
      </c>
      <c r="H39" t="n">
        <v>0</v>
      </c>
      <c r="I39" t="n">
        <v>0</v>
      </c>
      <c r="J39" t="n">
        <v>0</v>
      </c>
      <c r="K39" t="n">
        <v>0</v>
      </c>
      <c r="L39" t="n">
        <v>0</v>
      </c>
      <c r="M39" t="n">
        <v>0</v>
      </c>
      <c r="N39" t="n">
        <v>0</v>
      </c>
      <c r="O39" t="n">
        <v>0</v>
      </c>
      <c r="P39" t="n">
        <v>0</v>
      </c>
      <c r="Q39" t="n">
        <v>0</v>
      </c>
      <c r="R39" s="2" t="inlineStr"/>
    </row>
    <row r="40" ht="15" customHeight="1">
      <c r="A40" t="inlineStr">
        <is>
          <t>A 24459-2019</t>
        </is>
      </c>
      <c r="B40" s="1" t="n">
        <v>43600</v>
      </c>
      <c r="C40" s="1" t="n">
        <v>45742</v>
      </c>
      <c r="D40" t="inlineStr">
        <is>
          <t>ÖREBRO LÄN</t>
        </is>
      </c>
      <c r="E40" t="inlineStr">
        <is>
          <t>HÄLLEFORS</t>
        </is>
      </c>
      <c r="G40" t="n">
        <v>7.1</v>
      </c>
      <c r="H40" t="n">
        <v>0</v>
      </c>
      <c r="I40" t="n">
        <v>0</v>
      </c>
      <c r="J40" t="n">
        <v>0</v>
      </c>
      <c r="K40" t="n">
        <v>0</v>
      </c>
      <c r="L40" t="n">
        <v>0</v>
      </c>
      <c r="M40" t="n">
        <v>0</v>
      </c>
      <c r="N40" t="n">
        <v>0</v>
      </c>
      <c r="O40" t="n">
        <v>0</v>
      </c>
      <c r="P40" t="n">
        <v>0</v>
      </c>
      <c r="Q40" t="n">
        <v>0</v>
      </c>
      <c r="R40" s="2" t="inlineStr"/>
    </row>
    <row r="41" ht="15" customHeight="1">
      <c r="A41" t="inlineStr">
        <is>
          <t>A 30719-2019</t>
        </is>
      </c>
      <c r="B41" s="1" t="n">
        <v>43636</v>
      </c>
      <c r="C41" s="1" t="n">
        <v>45742</v>
      </c>
      <c r="D41" t="inlineStr">
        <is>
          <t>ÖREBRO LÄN</t>
        </is>
      </c>
      <c r="E41" t="inlineStr">
        <is>
          <t>HÄLLEFORS</t>
        </is>
      </c>
      <c r="F41" t="inlineStr">
        <is>
          <t>Bergvik skog väst AB</t>
        </is>
      </c>
      <c r="G41" t="n">
        <v>3.7</v>
      </c>
      <c r="H41" t="n">
        <v>0</v>
      </c>
      <c r="I41" t="n">
        <v>0</v>
      </c>
      <c r="J41" t="n">
        <v>0</v>
      </c>
      <c r="K41" t="n">
        <v>0</v>
      </c>
      <c r="L41" t="n">
        <v>0</v>
      </c>
      <c r="M41" t="n">
        <v>0</v>
      </c>
      <c r="N41" t="n">
        <v>0</v>
      </c>
      <c r="O41" t="n">
        <v>0</v>
      </c>
      <c r="P41" t="n">
        <v>0</v>
      </c>
      <c r="Q41" t="n">
        <v>0</v>
      </c>
      <c r="R41" s="2" t="inlineStr"/>
    </row>
    <row r="42" ht="15" customHeight="1">
      <c r="A42" t="inlineStr">
        <is>
          <t>A 33102-2019</t>
        </is>
      </c>
      <c r="B42" s="1" t="n">
        <v>43649</v>
      </c>
      <c r="C42" s="1" t="n">
        <v>45742</v>
      </c>
      <c r="D42" t="inlineStr">
        <is>
          <t>ÖREBRO LÄN</t>
        </is>
      </c>
      <c r="E42" t="inlineStr">
        <is>
          <t>HÄLLEFORS</t>
        </is>
      </c>
      <c r="G42" t="n">
        <v>1.6</v>
      </c>
      <c r="H42" t="n">
        <v>0</v>
      </c>
      <c r="I42" t="n">
        <v>0</v>
      </c>
      <c r="J42" t="n">
        <v>0</v>
      </c>
      <c r="K42" t="n">
        <v>0</v>
      </c>
      <c r="L42" t="n">
        <v>0</v>
      </c>
      <c r="M42" t="n">
        <v>0</v>
      </c>
      <c r="N42" t="n">
        <v>0</v>
      </c>
      <c r="O42" t="n">
        <v>0</v>
      </c>
      <c r="P42" t="n">
        <v>0</v>
      </c>
      <c r="Q42" t="n">
        <v>0</v>
      </c>
      <c r="R42" s="2" t="inlineStr"/>
    </row>
    <row r="43" ht="15" customHeight="1">
      <c r="A43" t="inlineStr">
        <is>
          <t>A 35741-2019</t>
        </is>
      </c>
      <c r="B43" s="1" t="n">
        <v>43665</v>
      </c>
      <c r="C43" s="1" t="n">
        <v>45742</v>
      </c>
      <c r="D43" t="inlineStr">
        <is>
          <t>ÖREBRO LÄN</t>
        </is>
      </c>
      <c r="E43" t="inlineStr">
        <is>
          <t>HÄLLEFORS</t>
        </is>
      </c>
      <c r="G43" t="n">
        <v>2.6</v>
      </c>
      <c r="H43" t="n">
        <v>0</v>
      </c>
      <c r="I43" t="n">
        <v>0</v>
      </c>
      <c r="J43" t="n">
        <v>0</v>
      </c>
      <c r="K43" t="n">
        <v>0</v>
      </c>
      <c r="L43" t="n">
        <v>0</v>
      </c>
      <c r="M43" t="n">
        <v>0</v>
      </c>
      <c r="N43" t="n">
        <v>0</v>
      </c>
      <c r="O43" t="n">
        <v>0</v>
      </c>
      <c r="P43" t="n">
        <v>0</v>
      </c>
      <c r="Q43" t="n">
        <v>0</v>
      </c>
      <c r="R43" s="2" t="inlineStr"/>
    </row>
    <row r="44" ht="15" customHeight="1">
      <c r="A44" t="inlineStr">
        <is>
          <t>A 35743-2019</t>
        </is>
      </c>
      <c r="B44" s="1" t="n">
        <v>43665</v>
      </c>
      <c r="C44" s="1" t="n">
        <v>45742</v>
      </c>
      <c r="D44" t="inlineStr">
        <is>
          <t>ÖREBRO LÄN</t>
        </is>
      </c>
      <c r="E44" t="inlineStr">
        <is>
          <t>HÄLLEFORS</t>
        </is>
      </c>
      <c r="G44" t="n">
        <v>1.3</v>
      </c>
      <c r="H44" t="n">
        <v>0</v>
      </c>
      <c r="I44" t="n">
        <v>0</v>
      </c>
      <c r="J44" t="n">
        <v>0</v>
      </c>
      <c r="K44" t="n">
        <v>0</v>
      </c>
      <c r="L44" t="n">
        <v>0</v>
      </c>
      <c r="M44" t="n">
        <v>0</v>
      </c>
      <c r="N44" t="n">
        <v>0</v>
      </c>
      <c r="O44" t="n">
        <v>0</v>
      </c>
      <c r="P44" t="n">
        <v>0</v>
      </c>
      <c r="Q44" t="n">
        <v>0</v>
      </c>
      <c r="R44" s="2" t="inlineStr"/>
    </row>
    <row r="45" ht="15" customHeight="1">
      <c r="A45" t="inlineStr">
        <is>
          <t>A 35742-2019</t>
        </is>
      </c>
      <c r="B45" s="1" t="n">
        <v>43665</v>
      </c>
      <c r="C45" s="1" t="n">
        <v>45742</v>
      </c>
      <c r="D45" t="inlineStr">
        <is>
          <t>ÖREBRO LÄN</t>
        </is>
      </c>
      <c r="E45" t="inlineStr">
        <is>
          <t>HÄLLEFORS</t>
        </is>
      </c>
      <c r="G45" t="n">
        <v>2.6</v>
      </c>
      <c r="H45" t="n">
        <v>0</v>
      </c>
      <c r="I45" t="n">
        <v>0</v>
      </c>
      <c r="J45" t="n">
        <v>0</v>
      </c>
      <c r="K45" t="n">
        <v>0</v>
      </c>
      <c r="L45" t="n">
        <v>0</v>
      </c>
      <c r="M45" t="n">
        <v>0</v>
      </c>
      <c r="N45" t="n">
        <v>0</v>
      </c>
      <c r="O45" t="n">
        <v>0</v>
      </c>
      <c r="P45" t="n">
        <v>0</v>
      </c>
      <c r="Q45" t="n">
        <v>0</v>
      </c>
      <c r="R45" s="2" t="inlineStr"/>
    </row>
    <row r="46" ht="15" customHeight="1">
      <c r="A46" t="inlineStr">
        <is>
          <t>A 35740-2019</t>
        </is>
      </c>
      <c r="B46" s="1" t="n">
        <v>43665</v>
      </c>
      <c r="C46" s="1" t="n">
        <v>45742</v>
      </c>
      <c r="D46" t="inlineStr">
        <is>
          <t>ÖREBRO LÄN</t>
        </is>
      </c>
      <c r="E46" t="inlineStr">
        <is>
          <t>HÄLLEFORS</t>
        </is>
      </c>
      <c r="G46" t="n">
        <v>2.3</v>
      </c>
      <c r="H46" t="n">
        <v>0</v>
      </c>
      <c r="I46" t="n">
        <v>0</v>
      </c>
      <c r="J46" t="n">
        <v>0</v>
      </c>
      <c r="K46" t="n">
        <v>0</v>
      </c>
      <c r="L46" t="n">
        <v>0</v>
      </c>
      <c r="M46" t="n">
        <v>0</v>
      </c>
      <c r="N46" t="n">
        <v>0</v>
      </c>
      <c r="O46" t="n">
        <v>0</v>
      </c>
      <c r="P46" t="n">
        <v>0</v>
      </c>
      <c r="Q46" t="n">
        <v>0</v>
      </c>
      <c r="R46" s="2" t="inlineStr"/>
    </row>
    <row r="47" ht="15" customHeight="1">
      <c r="A47" t="inlineStr">
        <is>
          <t>A 37325-2019</t>
        </is>
      </c>
      <c r="B47" s="1" t="n">
        <v>43678</v>
      </c>
      <c r="C47" s="1" t="n">
        <v>45742</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39501-2019</t>
        </is>
      </c>
      <c r="B48" s="1" t="n">
        <v>43686</v>
      </c>
      <c r="C48" s="1" t="n">
        <v>45742</v>
      </c>
      <c r="D48" t="inlineStr">
        <is>
          <t>ÖREBRO LÄN</t>
        </is>
      </c>
      <c r="E48" t="inlineStr">
        <is>
          <t>HÄLLEFORS</t>
        </is>
      </c>
      <c r="F48" t="inlineStr">
        <is>
          <t>Kyrkan</t>
        </is>
      </c>
      <c r="G48" t="n">
        <v>3.5</v>
      </c>
      <c r="H48" t="n">
        <v>0</v>
      </c>
      <c r="I48" t="n">
        <v>0</v>
      </c>
      <c r="J48" t="n">
        <v>0</v>
      </c>
      <c r="K48" t="n">
        <v>0</v>
      </c>
      <c r="L48" t="n">
        <v>0</v>
      </c>
      <c r="M48" t="n">
        <v>0</v>
      </c>
      <c r="N48" t="n">
        <v>0</v>
      </c>
      <c r="O48" t="n">
        <v>0</v>
      </c>
      <c r="P48" t="n">
        <v>0</v>
      </c>
      <c r="Q48" t="n">
        <v>0</v>
      </c>
      <c r="R48" s="2" t="inlineStr"/>
    </row>
    <row r="49" ht="15" customHeight="1">
      <c r="A49" t="inlineStr">
        <is>
          <t>A 38819-2019</t>
        </is>
      </c>
      <c r="B49" s="1" t="n">
        <v>43689</v>
      </c>
      <c r="C49" s="1" t="n">
        <v>45742</v>
      </c>
      <c r="D49" t="inlineStr">
        <is>
          <t>ÖREBRO LÄN</t>
        </is>
      </c>
      <c r="E49" t="inlineStr">
        <is>
          <t>HÄLLEFORS</t>
        </is>
      </c>
      <c r="G49" t="n">
        <v>2.1</v>
      </c>
      <c r="H49" t="n">
        <v>0</v>
      </c>
      <c r="I49" t="n">
        <v>0</v>
      </c>
      <c r="J49" t="n">
        <v>0</v>
      </c>
      <c r="K49" t="n">
        <v>0</v>
      </c>
      <c r="L49" t="n">
        <v>0</v>
      </c>
      <c r="M49" t="n">
        <v>0</v>
      </c>
      <c r="N49" t="n">
        <v>0</v>
      </c>
      <c r="O49" t="n">
        <v>0</v>
      </c>
      <c r="P49" t="n">
        <v>0</v>
      </c>
      <c r="Q49" t="n">
        <v>0</v>
      </c>
      <c r="R49" s="2" t="inlineStr"/>
    </row>
    <row r="50" ht="15" customHeight="1">
      <c r="A50" t="inlineStr">
        <is>
          <t>A 40171-2019</t>
        </is>
      </c>
      <c r="B50" s="1" t="n">
        <v>43693</v>
      </c>
      <c r="C50" s="1" t="n">
        <v>45742</v>
      </c>
      <c r="D50" t="inlineStr">
        <is>
          <t>ÖREBRO LÄN</t>
        </is>
      </c>
      <c r="E50" t="inlineStr">
        <is>
          <t>HÄLLEFORS</t>
        </is>
      </c>
      <c r="G50" t="n">
        <v>8.199999999999999</v>
      </c>
      <c r="H50" t="n">
        <v>0</v>
      </c>
      <c r="I50" t="n">
        <v>0</v>
      </c>
      <c r="J50" t="n">
        <v>0</v>
      </c>
      <c r="K50" t="n">
        <v>0</v>
      </c>
      <c r="L50" t="n">
        <v>0</v>
      </c>
      <c r="M50" t="n">
        <v>0</v>
      </c>
      <c r="N50" t="n">
        <v>0</v>
      </c>
      <c r="O50" t="n">
        <v>0</v>
      </c>
      <c r="P50" t="n">
        <v>0</v>
      </c>
      <c r="Q50" t="n">
        <v>0</v>
      </c>
      <c r="R50" s="2" t="inlineStr"/>
    </row>
    <row r="51" ht="15" customHeight="1">
      <c r="A51" t="inlineStr">
        <is>
          <t>A 40311-2019</t>
        </is>
      </c>
      <c r="B51" s="1" t="n">
        <v>43696</v>
      </c>
      <c r="C51" s="1" t="n">
        <v>45742</v>
      </c>
      <c r="D51" t="inlineStr">
        <is>
          <t>ÖREBRO LÄN</t>
        </is>
      </c>
      <c r="E51" t="inlineStr">
        <is>
          <t>HÄLLEFORS</t>
        </is>
      </c>
      <c r="G51" t="n">
        <v>1.8</v>
      </c>
      <c r="H51" t="n">
        <v>0</v>
      </c>
      <c r="I51" t="n">
        <v>0</v>
      </c>
      <c r="J51" t="n">
        <v>0</v>
      </c>
      <c r="K51" t="n">
        <v>0</v>
      </c>
      <c r="L51" t="n">
        <v>0</v>
      </c>
      <c r="M51" t="n">
        <v>0</v>
      </c>
      <c r="N51" t="n">
        <v>0</v>
      </c>
      <c r="O51" t="n">
        <v>0</v>
      </c>
      <c r="P51" t="n">
        <v>0</v>
      </c>
      <c r="Q51" t="n">
        <v>0</v>
      </c>
      <c r="R51" s="2" t="inlineStr"/>
    </row>
    <row r="52" ht="15" customHeight="1">
      <c r="A52" t="inlineStr">
        <is>
          <t>A 43514-2019</t>
        </is>
      </c>
      <c r="B52" s="1" t="n">
        <v>43706</v>
      </c>
      <c r="C52" s="1" t="n">
        <v>45742</v>
      </c>
      <c r="D52" t="inlineStr">
        <is>
          <t>ÖREBRO LÄN</t>
        </is>
      </c>
      <c r="E52" t="inlineStr">
        <is>
          <t>HÄLLEFORS</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45768-2019</t>
        </is>
      </c>
      <c r="B53" s="1" t="n">
        <v>43712</v>
      </c>
      <c r="C53" s="1" t="n">
        <v>45742</v>
      </c>
      <c r="D53" t="inlineStr">
        <is>
          <t>ÖREBRO LÄN</t>
        </is>
      </c>
      <c r="E53" t="inlineStr">
        <is>
          <t>HÄLLEFORS</t>
        </is>
      </c>
      <c r="G53" t="n">
        <v>1.4</v>
      </c>
      <c r="H53" t="n">
        <v>0</v>
      </c>
      <c r="I53" t="n">
        <v>0</v>
      </c>
      <c r="J53" t="n">
        <v>0</v>
      </c>
      <c r="K53" t="n">
        <v>0</v>
      </c>
      <c r="L53" t="n">
        <v>0</v>
      </c>
      <c r="M53" t="n">
        <v>0</v>
      </c>
      <c r="N53" t="n">
        <v>0</v>
      </c>
      <c r="O53" t="n">
        <v>0</v>
      </c>
      <c r="P53" t="n">
        <v>0</v>
      </c>
      <c r="Q53" t="n">
        <v>0</v>
      </c>
      <c r="R53" s="2" t="inlineStr"/>
    </row>
    <row r="54" ht="15" customHeight="1">
      <c r="A54" t="inlineStr">
        <is>
          <t>A 47219-2019</t>
        </is>
      </c>
      <c r="B54" s="1" t="n">
        <v>43721</v>
      </c>
      <c r="C54" s="1" t="n">
        <v>45742</v>
      </c>
      <c r="D54" t="inlineStr">
        <is>
          <t>ÖREBRO LÄN</t>
        </is>
      </c>
      <c r="E54" t="inlineStr">
        <is>
          <t>HÄLLEFORS</t>
        </is>
      </c>
      <c r="F54" t="inlineStr">
        <is>
          <t>Bergvik skog väst AB</t>
        </is>
      </c>
      <c r="G54" t="n">
        <v>4.9</v>
      </c>
      <c r="H54" t="n">
        <v>0</v>
      </c>
      <c r="I54" t="n">
        <v>0</v>
      </c>
      <c r="J54" t="n">
        <v>0</v>
      </c>
      <c r="K54" t="n">
        <v>0</v>
      </c>
      <c r="L54" t="n">
        <v>0</v>
      </c>
      <c r="M54" t="n">
        <v>0</v>
      </c>
      <c r="N54" t="n">
        <v>0</v>
      </c>
      <c r="O54" t="n">
        <v>0</v>
      </c>
      <c r="P54" t="n">
        <v>0</v>
      </c>
      <c r="Q54" t="n">
        <v>0</v>
      </c>
      <c r="R54" s="2" t="inlineStr"/>
    </row>
    <row r="55" ht="15" customHeight="1">
      <c r="A55" t="inlineStr">
        <is>
          <t>A 47175-2019</t>
        </is>
      </c>
      <c r="B55" s="1" t="n">
        <v>43721</v>
      </c>
      <c r="C55" s="1" t="n">
        <v>45742</v>
      </c>
      <c r="D55" t="inlineStr">
        <is>
          <t>ÖREBRO LÄN</t>
        </is>
      </c>
      <c r="E55" t="inlineStr">
        <is>
          <t>HÄLLEFORS</t>
        </is>
      </c>
      <c r="F55" t="inlineStr">
        <is>
          <t>Sveaskog</t>
        </is>
      </c>
      <c r="G55" t="n">
        <v>5.6</v>
      </c>
      <c r="H55" t="n">
        <v>0</v>
      </c>
      <c r="I55" t="n">
        <v>0</v>
      </c>
      <c r="J55" t="n">
        <v>0</v>
      </c>
      <c r="K55" t="n">
        <v>0</v>
      </c>
      <c r="L55" t="n">
        <v>0</v>
      </c>
      <c r="M55" t="n">
        <v>0</v>
      </c>
      <c r="N55" t="n">
        <v>0</v>
      </c>
      <c r="O55" t="n">
        <v>0</v>
      </c>
      <c r="P55" t="n">
        <v>0</v>
      </c>
      <c r="Q55" t="n">
        <v>0</v>
      </c>
      <c r="R55" s="2" t="inlineStr"/>
    </row>
    <row r="56" ht="15" customHeight="1">
      <c r="A56" t="inlineStr">
        <is>
          <t>A 48224-2019</t>
        </is>
      </c>
      <c r="B56" s="1" t="n">
        <v>43726</v>
      </c>
      <c r="C56" s="1" t="n">
        <v>45742</v>
      </c>
      <c r="D56" t="inlineStr">
        <is>
          <t>ÖREBRO LÄN</t>
        </is>
      </c>
      <c r="E56" t="inlineStr">
        <is>
          <t>HÄLLEFORS</t>
        </is>
      </c>
      <c r="F56" t="inlineStr">
        <is>
          <t>Bergvik skog väst AB</t>
        </is>
      </c>
      <c r="G56" t="n">
        <v>0.7</v>
      </c>
      <c r="H56" t="n">
        <v>0</v>
      </c>
      <c r="I56" t="n">
        <v>0</v>
      </c>
      <c r="J56" t="n">
        <v>0</v>
      </c>
      <c r="K56" t="n">
        <v>0</v>
      </c>
      <c r="L56" t="n">
        <v>0</v>
      </c>
      <c r="M56" t="n">
        <v>0</v>
      </c>
      <c r="N56" t="n">
        <v>0</v>
      </c>
      <c r="O56" t="n">
        <v>0</v>
      </c>
      <c r="P56" t="n">
        <v>0</v>
      </c>
      <c r="Q56" t="n">
        <v>0</v>
      </c>
      <c r="R56" s="2" t="inlineStr"/>
    </row>
    <row r="57" ht="15" customHeight="1">
      <c r="A57" t="inlineStr">
        <is>
          <t>A 48206-2019</t>
        </is>
      </c>
      <c r="B57" s="1" t="n">
        <v>43726</v>
      </c>
      <c r="C57" s="1" t="n">
        <v>45742</v>
      </c>
      <c r="D57" t="inlineStr">
        <is>
          <t>ÖREBRO LÄN</t>
        </is>
      </c>
      <c r="E57" t="inlineStr">
        <is>
          <t>HÄLLEFORS</t>
        </is>
      </c>
      <c r="F57" t="inlineStr">
        <is>
          <t>Bergvik skog väst AB</t>
        </is>
      </c>
      <c r="G57" t="n">
        <v>13.6</v>
      </c>
      <c r="H57" t="n">
        <v>0</v>
      </c>
      <c r="I57" t="n">
        <v>0</v>
      </c>
      <c r="J57" t="n">
        <v>0</v>
      </c>
      <c r="K57" t="n">
        <v>0</v>
      </c>
      <c r="L57" t="n">
        <v>0</v>
      </c>
      <c r="M57" t="n">
        <v>0</v>
      </c>
      <c r="N57" t="n">
        <v>0</v>
      </c>
      <c r="O57" t="n">
        <v>0</v>
      </c>
      <c r="P57" t="n">
        <v>0</v>
      </c>
      <c r="Q57" t="n">
        <v>0</v>
      </c>
      <c r="R57" s="2" t="inlineStr"/>
    </row>
    <row r="58" ht="15" customHeight="1">
      <c r="A58" t="inlineStr">
        <is>
          <t>A 51442-2019</t>
        </is>
      </c>
      <c r="B58" s="1" t="n">
        <v>43732</v>
      </c>
      <c r="C58" s="1" t="n">
        <v>45742</v>
      </c>
      <c r="D58" t="inlineStr">
        <is>
          <t>ÖREBRO LÄN</t>
        </is>
      </c>
      <c r="E58" t="inlineStr">
        <is>
          <t>HÄLLEFORS</t>
        </is>
      </c>
      <c r="F58" t="inlineStr">
        <is>
          <t>Kyrkan</t>
        </is>
      </c>
      <c r="G58" t="n">
        <v>3.9</v>
      </c>
      <c r="H58" t="n">
        <v>0</v>
      </c>
      <c r="I58" t="n">
        <v>0</v>
      </c>
      <c r="J58" t="n">
        <v>0</v>
      </c>
      <c r="K58" t="n">
        <v>0</v>
      </c>
      <c r="L58" t="n">
        <v>0</v>
      </c>
      <c r="M58" t="n">
        <v>0</v>
      </c>
      <c r="N58" t="n">
        <v>0</v>
      </c>
      <c r="O58" t="n">
        <v>0</v>
      </c>
      <c r="P58" t="n">
        <v>0</v>
      </c>
      <c r="Q58" t="n">
        <v>0</v>
      </c>
      <c r="R58" s="2" t="inlineStr"/>
    </row>
    <row r="59" ht="15" customHeight="1">
      <c r="A59" t="inlineStr">
        <is>
          <t>A 52329-2019</t>
        </is>
      </c>
      <c r="B59" s="1" t="n">
        <v>43745</v>
      </c>
      <c r="C59" s="1" t="n">
        <v>45742</v>
      </c>
      <c r="D59" t="inlineStr">
        <is>
          <t>ÖREBRO LÄN</t>
        </is>
      </c>
      <c r="E59" t="inlineStr">
        <is>
          <t>HÄLLEFORS</t>
        </is>
      </c>
      <c r="F59" t="inlineStr">
        <is>
          <t>Sveaskog</t>
        </is>
      </c>
      <c r="G59" t="n">
        <v>1.9</v>
      </c>
      <c r="H59" t="n">
        <v>0</v>
      </c>
      <c r="I59" t="n">
        <v>0</v>
      </c>
      <c r="J59" t="n">
        <v>0</v>
      </c>
      <c r="K59" t="n">
        <v>0</v>
      </c>
      <c r="L59" t="n">
        <v>0</v>
      </c>
      <c r="M59" t="n">
        <v>0</v>
      </c>
      <c r="N59" t="n">
        <v>0</v>
      </c>
      <c r="O59" t="n">
        <v>0</v>
      </c>
      <c r="P59" t="n">
        <v>0</v>
      </c>
      <c r="Q59" t="n">
        <v>0</v>
      </c>
      <c r="R59" s="2" t="inlineStr"/>
    </row>
    <row r="60" ht="15" customHeight="1">
      <c r="A60" t="inlineStr">
        <is>
          <t>A 52452-2019</t>
        </is>
      </c>
      <c r="B60" s="1" t="n">
        <v>43745</v>
      </c>
      <c r="C60" s="1" t="n">
        <v>45742</v>
      </c>
      <c r="D60" t="inlineStr">
        <is>
          <t>ÖREBRO LÄN</t>
        </is>
      </c>
      <c r="E60" t="inlineStr">
        <is>
          <t>HÄLLEFORS</t>
        </is>
      </c>
      <c r="F60" t="inlineStr">
        <is>
          <t>Bergvik skog väst AB</t>
        </is>
      </c>
      <c r="G60" t="n">
        <v>13.9</v>
      </c>
      <c r="H60" t="n">
        <v>0</v>
      </c>
      <c r="I60" t="n">
        <v>0</v>
      </c>
      <c r="J60" t="n">
        <v>0</v>
      </c>
      <c r="K60" t="n">
        <v>0</v>
      </c>
      <c r="L60" t="n">
        <v>0</v>
      </c>
      <c r="M60" t="n">
        <v>0</v>
      </c>
      <c r="N60" t="n">
        <v>0</v>
      </c>
      <c r="O60" t="n">
        <v>0</v>
      </c>
      <c r="P60" t="n">
        <v>0</v>
      </c>
      <c r="Q60" t="n">
        <v>0</v>
      </c>
      <c r="R60" s="2" t="inlineStr"/>
    </row>
    <row r="61" ht="15" customHeight="1">
      <c r="A61" t="inlineStr">
        <is>
          <t>A 52411-2019</t>
        </is>
      </c>
      <c r="B61" s="1" t="n">
        <v>43745</v>
      </c>
      <c r="C61" s="1" t="n">
        <v>45742</v>
      </c>
      <c r="D61" t="inlineStr">
        <is>
          <t>ÖREBRO LÄN</t>
        </is>
      </c>
      <c r="E61" t="inlineStr">
        <is>
          <t>HÄLLEFORS</t>
        </is>
      </c>
      <c r="F61" t="inlineStr">
        <is>
          <t>Bergvik skog väst AB</t>
        </is>
      </c>
      <c r="G61" t="n">
        <v>6.5</v>
      </c>
      <c r="H61" t="n">
        <v>0</v>
      </c>
      <c r="I61" t="n">
        <v>0</v>
      </c>
      <c r="J61" t="n">
        <v>0</v>
      </c>
      <c r="K61" t="n">
        <v>0</v>
      </c>
      <c r="L61" t="n">
        <v>0</v>
      </c>
      <c r="M61" t="n">
        <v>0</v>
      </c>
      <c r="N61" t="n">
        <v>0</v>
      </c>
      <c r="O61" t="n">
        <v>0</v>
      </c>
      <c r="P61" t="n">
        <v>0</v>
      </c>
      <c r="Q61" t="n">
        <v>0</v>
      </c>
      <c r="R61" s="2" t="inlineStr"/>
    </row>
    <row r="62" ht="15" customHeight="1">
      <c r="A62" t="inlineStr">
        <is>
          <t>A 52711-2019</t>
        </is>
      </c>
      <c r="B62" s="1" t="n">
        <v>43746</v>
      </c>
      <c r="C62" s="1" t="n">
        <v>45742</v>
      </c>
      <c r="D62" t="inlineStr">
        <is>
          <t>ÖREBRO LÄN</t>
        </is>
      </c>
      <c r="E62" t="inlineStr">
        <is>
          <t>HÄLLEFORS</t>
        </is>
      </c>
      <c r="G62" t="n">
        <v>1</v>
      </c>
      <c r="H62" t="n">
        <v>0</v>
      </c>
      <c r="I62" t="n">
        <v>0</v>
      </c>
      <c r="J62" t="n">
        <v>0</v>
      </c>
      <c r="K62" t="n">
        <v>0</v>
      </c>
      <c r="L62" t="n">
        <v>0</v>
      </c>
      <c r="M62" t="n">
        <v>0</v>
      </c>
      <c r="N62" t="n">
        <v>0</v>
      </c>
      <c r="O62" t="n">
        <v>0</v>
      </c>
      <c r="P62" t="n">
        <v>0</v>
      </c>
      <c r="Q62" t="n">
        <v>0</v>
      </c>
      <c r="R62" s="2" t="inlineStr"/>
    </row>
    <row r="63" ht="15" customHeight="1">
      <c r="A63" t="inlineStr">
        <is>
          <t>A 53031-2019</t>
        </is>
      </c>
      <c r="B63" s="1" t="n">
        <v>43747</v>
      </c>
      <c r="C63" s="1" t="n">
        <v>45742</v>
      </c>
      <c r="D63" t="inlineStr">
        <is>
          <t>ÖREBRO LÄN</t>
        </is>
      </c>
      <c r="E63" t="inlineStr">
        <is>
          <t>HÄLLEFORS</t>
        </is>
      </c>
      <c r="F63" t="inlineStr">
        <is>
          <t>Bergvik skog väst AB</t>
        </is>
      </c>
      <c r="G63" t="n">
        <v>0.9</v>
      </c>
      <c r="H63" t="n">
        <v>0</v>
      </c>
      <c r="I63" t="n">
        <v>0</v>
      </c>
      <c r="J63" t="n">
        <v>0</v>
      </c>
      <c r="K63" t="n">
        <v>0</v>
      </c>
      <c r="L63" t="n">
        <v>0</v>
      </c>
      <c r="M63" t="n">
        <v>0</v>
      </c>
      <c r="N63" t="n">
        <v>0</v>
      </c>
      <c r="O63" t="n">
        <v>0</v>
      </c>
      <c r="P63" t="n">
        <v>0</v>
      </c>
      <c r="Q63" t="n">
        <v>0</v>
      </c>
      <c r="R63" s="2" t="inlineStr"/>
    </row>
    <row r="64" ht="15" customHeight="1">
      <c r="A64" t="inlineStr">
        <is>
          <t>A 53062-2019</t>
        </is>
      </c>
      <c r="B64" s="1" t="n">
        <v>43747</v>
      </c>
      <c r="C64" s="1" t="n">
        <v>45742</v>
      </c>
      <c r="D64" t="inlineStr">
        <is>
          <t>ÖREBRO LÄN</t>
        </is>
      </c>
      <c r="E64" t="inlineStr">
        <is>
          <t>HÄLLEFORS</t>
        </is>
      </c>
      <c r="F64" t="inlineStr">
        <is>
          <t>Bergvik skog väst AB</t>
        </is>
      </c>
      <c r="G64" t="n">
        <v>13.9</v>
      </c>
      <c r="H64" t="n">
        <v>0</v>
      </c>
      <c r="I64" t="n">
        <v>0</v>
      </c>
      <c r="J64" t="n">
        <v>0</v>
      </c>
      <c r="K64" t="n">
        <v>0</v>
      </c>
      <c r="L64" t="n">
        <v>0</v>
      </c>
      <c r="M64" t="n">
        <v>0</v>
      </c>
      <c r="N64" t="n">
        <v>0</v>
      </c>
      <c r="O64" t="n">
        <v>0</v>
      </c>
      <c r="P64" t="n">
        <v>0</v>
      </c>
      <c r="Q64" t="n">
        <v>0</v>
      </c>
      <c r="R64" s="2" t="inlineStr"/>
    </row>
    <row r="65" ht="15" customHeight="1">
      <c r="A65" t="inlineStr">
        <is>
          <t>A 53029-2019</t>
        </is>
      </c>
      <c r="B65" s="1" t="n">
        <v>43747</v>
      </c>
      <c r="C65" s="1" t="n">
        <v>45742</v>
      </c>
      <c r="D65" t="inlineStr">
        <is>
          <t>ÖREBRO LÄN</t>
        </is>
      </c>
      <c r="E65" t="inlineStr">
        <is>
          <t>HÄLLEFORS</t>
        </is>
      </c>
      <c r="F65" t="inlineStr">
        <is>
          <t>Bergvik skog väst AB</t>
        </is>
      </c>
      <c r="G65" t="n">
        <v>1.6</v>
      </c>
      <c r="H65" t="n">
        <v>0</v>
      </c>
      <c r="I65" t="n">
        <v>0</v>
      </c>
      <c r="J65" t="n">
        <v>0</v>
      </c>
      <c r="K65" t="n">
        <v>0</v>
      </c>
      <c r="L65" t="n">
        <v>0</v>
      </c>
      <c r="M65" t="n">
        <v>0</v>
      </c>
      <c r="N65" t="n">
        <v>0</v>
      </c>
      <c r="O65" t="n">
        <v>0</v>
      </c>
      <c r="P65" t="n">
        <v>0</v>
      </c>
      <c r="Q65" t="n">
        <v>0</v>
      </c>
      <c r="R65" s="2" t="inlineStr"/>
    </row>
    <row r="66" ht="15" customHeight="1">
      <c r="A66" t="inlineStr">
        <is>
          <t>A 53388-2019</t>
        </is>
      </c>
      <c r="B66" s="1" t="n">
        <v>43748</v>
      </c>
      <c r="C66" s="1" t="n">
        <v>45742</v>
      </c>
      <c r="D66" t="inlineStr">
        <is>
          <t>ÖREBRO LÄN</t>
        </is>
      </c>
      <c r="E66" t="inlineStr">
        <is>
          <t>HÄLLEFORS</t>
        </is>
      </c>
      <c r="F66" t="inlineStr">
        <is>
          <t>Bergvik skog väst AB</t>
        </is>
      </c>
      <c r="G66" t="n">
        <v>8.300000000000001</v>
      </c>
      <c r="H66" t="n">
        <v>0</v>
      </c>
      <c r="I66" t="n">
        <v>0</v>
      </c>
      <c r="J66" t="n">
        <v>0</v>
      </c>
      <c r="K66" t="n">
        <v>0</v>
      </c>
      <c r="L66" t="n">
        <v>0</v>
      </c>
      <c r="M66" t="n">
        <v>0</v>
      </c>
      <c r="N66" t="n">
        <v>0</v>
      </c>
      <c r="O66" t="n">
        <v>0</v>
      </c>
      <c r="P66" t="n">
        <v>0</v>
      </c>
      <c r="Q66" t="n">
        <v>0</v>
      </c>
      <c r="R66" s="2" t="inlineStr"/>
    </row>
    <row r="67" ht="15" customHeight="1">
      <c r="A67" t="inlineStr">
        <is>
          <t>A 53400-2019</t>
        </is>
      </c>
      <c r="B67" s="1" t="n">
        <v>43748</v>
      </c>
      <c r="C67" s="1" t="n">
        <v>45742</v>
      </c>
      <c r="D67" t="inlineStr">
        <is>
          <t>ÖREBRO LÄN</t>
        </is>
      </c>
      <c r="E67" t="inlineStr">
        <is>
          <t>HÄLLEFORS</t>
        </is>
      </c>
      <c r="F67" t="inlineStr">
        <is>
          <t>Bergvik skog väst AB</t>
        </is>
      </c>
      <c r="G67" t="n">
        <v>8.699999999999999</v>
      </c>
      <c r="H67" t="n">
        <v>0</v>
      </c>
      <c r="I67" t="n">
        <v>0</v>
      </c>
      <c r="J67" t="n">
        <v>0</v>
      </c>
      <c r="K67" t="n">
        <v>0</v>
      </c>
      <c r="L67" t="n">
        <v>0</v>
      </c>
      <c r="M67" t="n">
        <v>0</v>
      </c>
      <c r="N67" t="n">
        <v>0</v>
      </c>
      <c r="O67" t="n">
        <v>0</v>
      </c>
      <c r="P67" t="n">
        <v>0</v>
      </c>
      <c r="Q67" t="n">
        <v>0</v>
      </c>
      <c r="R67" s="2" t="inlineStr"/>
    </row>
    <row r="68" ht="15" customHeight="1">
      <c r="A68" t="inlineStr">
        <is>
          <t>A 53965-2019</t>
        </is>
      </c>
      <c r="B68" s="1" t="n">
        <v>43752</v>
      </c>
      <c r="C68" s="1" t="n">
        <v>45742</v>
      </c>
      <c r="D68" t="inlineStr">
        <is>
          <t>ÖREBRO LÄN</t>
        </is>
      </c>
      <c r="E68" t="inlineStr">
        <is>
          <t>HÄLLEFORS</t>
        </is>
      </c>
      <c r="F68" t="inlineStr">
        <is>
          <t>Bergvik skog väst AB</t>
        </is>
      </c>
      <c r="G68" t="n">
        <v>14</v>
      </c>
      <c r="H68" t="n">
        <v>0</v>
      </c>
      <c r="I68" t="n">
        <v>0</v>
      </c>
      <c r="J68" t="n">
        <v>0</v>
      </c>
      <c r="K68" t="n">
        <v>0</v>
      </c>
      <c r="L68" t="n">
        <v>0</v>
      </c>
      <c r="M68" t="n">
        <v>0</v>
      </c>
      <c r="N68" t="n">
        <v>0</v>
      </c>
      <c r="O68" t="n">
        <v>0</v>
      </c>
      <c r="P68" t="n">
        <v>0</v>
      </c>
      <c r="Q68" t="n">
        <v>0</v>
      </c>
      <c r="R68" s="2" t="inlineStr"/>
    </row>
    <row r="69" ht="15" customHeight="1">
      <c r="A69" t="inlineStr">
        <is>
          <t>A 54433-2019</t>
        </is>
      </c>
      <c r="B69" s="1" t="n">
        <v>43754</v>
      </c>
      <c r="C69" s="1" t="n">
        <v>45742</v>
      </c>
      <c r="D69" t="inlineStr">
        <is>
          <t>ÖREBRO LÄN</t>
        </is>
      </c>
      <c r="E69" t="inlineStr">
        <is>
          <t>HÄLLEFORS</t>
        </is>
      </c>
      <c r="F69" t="inlineStr">
        <is>
          <t>Bergvik skog väst AB</t>
        </is>
      </c>
      <c r="G69" t="n">
        <v>7.9</v>
      </c>
      <c r="H69" t="n">
        <v>0</v>
      </c>
      <c r="I69" t="n">
        <v>0</v>
      </c>
      <c r="J69" t="n">
        <v>0</v>
      </c>
      <c r="K69" t="n">
        <v>0</v>
      </c>
      <c r="L69" t="n">
        <v>0</v>
      </c>
      <c r="M69" t="n">
        <v>0</v>
      </c>
      <c r="N69" t="n">
        <v>0</v>
      </c>
      <c r="O69" t="n">
        <v>0</v>
      </c>
      <c r="P69" t="n">
        <v>0</v>
      </c>
      <c r="Q69" t="n">
        <v>0</v>
      </c>
      <c r="R69" s="2" t="inlineStr"/>
    </row>
    <row r="70" ht="15" customHeight="1">
      <c r="A70" t="inlineStr">
        <is>
          <t>A 54977-2019</t>
        </is>
      </c>
      <c r="B70" s="1" t="n">
        <v>43755</v>
      </c>
      <c r="C70" s="1" t="n">
        <v>45742</v>
      </c>
      <c r="D70" t="inlineStr">
        <is>
          <t>ÖREBRO LÄN</t>
        </is>
      </c>
      <c r="E70" t="inlineStr">
        <is>
          <t>HÄLLEFORS</t>
        </is>
      </c>
      <c r="F70" t="inlineStr">
        <is>
          <t>Bergvik skog väst AB</t>
        </is>
      </c>
      <c r="G70" t="n">
        <v>17.5</v>
      </c>
      <c r="H70" t="n">
        <v>0</v>
      </c>
      <c r="I70" t="n">
        <v>0</v>
      </c>
      <c r="J70" t="n">
        <v>0</v>
      </c>
      <c r="K70" t="n">
        <v>0</v>
      </c>
      <c r="L70" t="n">
        <v>0</v>
      </c>
      <c r="M70" t="n">
        <v>0</v>
      </c>
      <c r="N70" t="n">
        <v>0</v>
      </c>
      <c r="O70" t="n">
        <v>0</v>
      </c>
      <c r="P70" t="n">
        <v>0</v>
      </c>
      <c r="Q70" t="n">
        <v>0</v>
      </c>
      <c r="R70" s="2" t="inlineStr"/>
    </row>
    <row r="71" ht="15" customHeight="1">
      <c r="A71" t="inlineStr">
        <is>
          <t>A 55129-2019</t>
        </is>
      </c>
      <c r="B71" s="1" t="n">
        <v>43756</v>
      </c>
      <c r="C71" s="1" t="n">
        <v>45742</v>
      </c>
      <c r="D71" t="inlineStr">
        <is>
          <t>ÖREBRO LÄN</t>
        </is>
      </c>
      <c r="E71" t="inlineStr">
        <is>
          <t>HÄLLEFORS</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55150-2019</t>
        </is>
      </c>
      <c r="B72" s="1" t="n">
        <v>43756</v>
      </c>
      <c r="C72" s="1" t="n">
        <v>45742</v>
      </c>
      <c r="D72" t="inlineStr">
        <is>
          <t>ÖREBRO LÄN</t>
        </is>
      </c>
      <c r="E72" t="inlineStr">
        <is>
          <t>HÄLLEFORS</t>
        </is>
      </c>
      <c r="F72" t="inlineStr">
        <is>
          <t>Bergvik skog väst AB</t>
        </is>
      </c>
      <c r="G72" t="n">
        <v>1.2</v>
      </c>
      <c r="H72" t="n">
        <v>0</v>
      </c>
      <c r="I72" t="n">
        <v>0</v>
      </c>
      <c r="J72" t="n">
        <v>0</v>
      </c>
      <c r="K72" t="n">
        <v>0</v>
      </c>
      <c r="L72" t="n">
        <v>0</v>
      </c>
      <c r="M72" t="n">
        <v>0</v>
      </c>
      <c r="N72" t="n">
        <v>0</v>
      </c>
      <c r="O72" t="n">
        <v>0</v>
      </c>
      <c r="P72" t="n">
        <v>0</v>
      </c>
      <c r="Q72" t="n">
        <v>0</v>
      </c>
      <c r="R72" s="2" t="inlineStr"/>
    </row>
    <row r="73" ht="15" customHeight="1">
      <c r="A73" t="inlineStr">
        <is>
          <t>A 57363-2019</t>
        </is>
      </c>
      <c r="B73" s="1" t="n">
        <v>43767</v>
      </c>
      <c r="C73" s="1" t="n">
        <v>45742</v>
      </c>
      <c r="D73" t="inlineStr">
        <is>
          <t>ÖREBRO LÄN</t>
        </is>
      </c>
      <c r="E73" t="inlineStr">
        <is>
          <t>HÄLLEFORS</t>
        </is>
      </c>
      <c r="G73" t="n">
        <v>1.4</v>
      </c>
      <c r="H73" t="n">
        <v>0</v>
      </c>
      <c r="I73" t="n">
        <v>0</v>
      </c>
      <c r="J73" t="n">
        <v>0</v>
      </c>
      <c r="K73" t="n">
        <v>0</v>
      </c>
      <c r="L73" t="n">
        <v>0</v>
      </c>
      <c r="M73" t="n">
        <v>0</v>
      </c>
      <c r="N73" t="n">
        <v>0</v>
      </c>
      <c r="O73" t="n">
        <v>0</v>
      </c>
      <c r="P73" t="n">
        <v>0</v>
      </c>
      <c r="Q73" t="n">
        <v>0</v>
      </c>
      <c r="R73" s="2" t="inlineStr"/>
    </row>
    <row r="74" ht="15" customHeight="1">
      <c r="A74" t="inlineStr">
        <is>
          <t>A 57443-2019</t>
        </is>
      </c>
      <c r="B74" s="1" t="n">
        <v>43767</v>
      </c>
      <c r="C74" s="1" t="n">
        <v>45742</v>
      </c>
      <c r="D74" t="inlineStr">
        <is>
          <t>ÖREBRO LÄN</t>
        </is>
      </c>
      <c r="E74" t="inlineStr">
        <is>
          <t>HÄLLEFORS</t>
        </is>
      </c>
      <c r="G74" t="n">
        <v>0.4</v>
      </c>
      <c r="H74" t="n">
        <v>0</v>
      </c>
      <c r="I74" t="n">
        <v>0</v>
      </c>
      <c r="J74" t="n">
        <v>0</v>
      </c>
      <c r="K74" t="n">
        <v>0</v>
      </c>
      <c r="L74" t="n">
        <v>0</v>
      </c>
      <c r="M74" t="n">
        <v>0</v>
      </c>
      <c r="N74" t="n">
        <v>0</v>
      </c>
      <c r="O74" t="n">
        <v>0</v>
      </c>
      <c r="P74" t="n">
        <v>0</v>
      </c>
      <c r="Q74" t="n">
        <v>0</v>
      </c>
      <c r="R74" s="2" t="inlineStr"/>
    </row>
    <row r="75" ht="15" customHeight="1">
      <c r="A75" t="inlineStr">
        <is>
          <t>A 57398-2019</t>
        </is>
      </c>
      <c r="B75" s="1" t="n">
        <v>43767</v>
      </c>
      <c r="C75" s="1" t="n">
        <v>45742</v>
      </c>
      <c r="D75" t="inlineStr">
        <is>
          <t>ÖREBRO LÄN</t>
        </is>
      </c>
      <c r="E75" t="inlineStr">
        <is>
          <t>HÄLLEFORS</t>
        </is>
      </c>
      <c r="F75" t="inlineStr">
        <is>
          <t>Bergvik skog väst AB</t>
        </is>
      </c>
      <c r="G75" t="n">
        <v>10.4</v>
      </c>
      <c r="H75" t="n">
        <v>0</v>
      </c>
      <c r="I75" t="n">
        <v>0</v>
      </c>
      <c r="J75" t="n">
        <v>0</v>
      </c>
      <c r="K75" t="n">
        <v>0</v>
      </c>
      <c r="L75" t="n">
        <v>0</v>
      </c>
      <c r="M75" t="n">
        <v>0</v>
      </c>
      <c r="N75" t="n">
        <v>0</v>
      </c>
      <c r="O75" t="n">
        <v>0</v>
      </c>
      <c r="P75" t="n">
        <v>0</v>
      </c>
      <c r="Q75" t="n">
        <v>0</v>
      </c>
      <c r="R75" s="2" t="inlineStr"/>
    </row>
    <row r="76" ht="15" customHeight="1">
      <c r="A76" t="inlineStr">
        <is>
          <t>A 58100-2019</t>
        </is>
      </c>
      <c r="B76" s="1" t="n">
        <v>43769</v>
      </c>
      <c r="C76" s="1" t="n">
        <v>45742</v>
      </c>
      <c r="D76" t="inlineStr">
        <is>
          <t>ÖREBRO LÄN</t>
        </is>
      </c>
      <c r="E76" t="inlineStr">
        <is>
          <t>HÄLLEFORS</t>
        </is>
      </c>
      <c r="G76" t="n">
        <v>2.3</v>
      </c>
      <c r="H76" t="n">
        <v>0</v>
      </c>
      <c r="I76" t="n">
        <v>0</v>
      </c>
      <c r="J76" t="n">
        <v>0</v>
      </c>
      <c r="K76" t="n">
        <v>0</v>
      </c>
      <c r="L76" t="n">
        <v>0</v>
      </c>
      <c r="M76" t="n">
        <v>0</v>
      </c>
      <c r="N76" t="n">
        <v>0</v>
      </c>
      <c r="O76" t="n">
        <v>0</v>
      </c>
      <c r="P76" t="n">
        <v>0</v>
      </c>
      <c r="Q76" t="n">
        <v>0</v>
      </c>
      <c r="R76" s="2" t="inlineStr"/>
    </row>
    <row r="77" ht="15" customHeight="1">
      <c r="A77" t="inlineStr">
        <is>
          <t>A 58317-2019</t>
        </is>
      </c>
      <c r="B77" s="1" t="n">
        <v>43770</v>
      </c>
      <c r="C77" s="1" t="n">
        <v>45742</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65073-2019</t>
        </is>
      </c>
      <c r="B78" s="1" t="n">
        <v>43802</v>
      </c>
      <c r="C78" s="1" t="n">
        <v>45742</v>
      </c>
      <c r="D78" t="inlineStr">
        <is>
          <t>ÖREBRO LÄN</t>
        </is>
      </c>
      <c r="E78" t="inlineStr">
        <is>
          <t>HÄLLEFORS</t>
        </is>
      </c>
      <c r="F78" t="inlineStr">
        <is>
          <t>Bergvik skog väst AB</t>
        </is>
      </c>
      <c r="G78" t="n">
        <v>3.3</v>
      </c>
      <c r="H78" t="n">
        <v>0</v>
      </c>
      <c r="I78" t="n">
        <v>0</v>
      </c>
      <c r="J78" t="n">
        <v>0</v>
      </c>
      <c r="K78" t="n">
        <v>0</v>
      </c>
      <c r="L78" t="n">
        <v>0</v>
      </c>
      <c r="M78" t="n">
        <v>0</v>
      </c>
      <c r="N78" t="n">
        <v>0</v>
      </c>
      <c r="O78" t="n">
        <v>0</v>
      </c>
      <c r="P78" t="n">
        <v>0</v>
      </c>
      <c r="Q78" t="n">
        <v>0</v>
      </c>
      <c r="R78" s="2" t="inlineStr"/>
    </row>
    <row r="79" ht="15" customHeight="1">
      <c r="A79" t="inlineStr">
        <is>
          <t>A 65758-2019</t>
        </is>
      </c>
      <c r="B79" s="1" t="n">
        <v>43804</v>
      </c>
      <c r="C79" s="1" t="n">
        <v>45742</v>
      </c>
      <c r="D79" t="inlineStr">
        <is>
          <t>ÖREBRO LÄN</t>
        </is>
      </c>
      <c r="E79" t="inlineStr">
        <is>
          <t>HÄLLEFORS</t>
        </is>
      </c>
      <c r="G79" t="n">
        <v>2.1</v>
      </c>
      <c r="H79" t="n">
        <v>0</v>
      </c>
      <c r="I79" t="n">
        <v>0</v>
      </c>
      <c r="J79" t="n">
        <v>0</v>
      </c>
      <c r="K79" t="n">
        <v>0</v>
      </c>
      <c r="L79" t="n">
        <v>0</v>
      </c>
      <c r="M79" t="n">
        <v>0</v>
      </c>
      <c r="N79" t="n">
        <v>0</v>
      </c>
      <c r="O79" t="n">
        <v>0</v>
      </c>
      <c r="P79" t="n">
        <v>0</v>
      </c>
      <c r="Q79" t="n">
        <v>0</v>
      </c>
      <c r="R79" s="2" t="inlineStr"/>
    </row>
    <row r="80" ht="15" customHeight="1">
      <c r="A80" t="inlineStr">
        <is>
          <t>A 68534-2019</t>
        </is>
      </c>
      <c r="B80" s="1" t="n">
        <v>43818</v>
      </c>
      <c r="C80" s="1" t="n">
        <v>45742</v>
      </c>
      <c r="D80" t="inlineStr">
        <is>
          <t>ÖREBRO LÄN</t>
        </is>
      </c>
      <c r="E80" t="inlineStr">
        <is>
          <t>HÄLLEFORS</t>
        </is>
      </c>
      <c r="F80" t="inlineStr">
        <is>
          <t>Bergvik skog väst AB</t>
        </is>
      </c>
      <c r="G80" t="n">
        <v>14.3</v>
      </c>
      <c r="H80" t="n">
        <v>0</v>
      </c>
      <c r="I80" t="n">
        <v>0</v>
      </c>
      <c r="J80" t="n">
        <v>0</v>
      </c>
      <c r="K80" t="n">
        <v>0</v>
      </c>
      <c r="L80" t="n">
        <v>0</v>
      </c>
      <c r="M80" t="n">
        <v>0</v>
      </c>
      <c r="N80" t="n">
        <v>0</v>
      </c>
      <c r="O80" t="n">
        <v>0</v>
      </c>
      <c r="P80" t="n">
        <v>0</v>
      </c>
      <c r="Q80" t="n">
        <v>0</v>
      </c>
      <c r="R80" s="2" t="inlineStr"/>
    </row>
    <row r="81" ht="15" customHeight="1">
      <c r="A81" t="inlineStr">
        <is>
          <t>A 55-2020</t>
        </is>
      </c>
      <c r="B81" s="1" t="n">
        <v>43832</v>
      </c>
      <c r="C81" s="1" t="n">
        <v>45742</v>
      </c>
      <c r="D81" t="inlineStr">
        <is>
          <t>ÖREBRO LÄN</t>
        </is>
      </c>
      <c r="E81" t="inlineStr">
        <is>
          <t>HÄLLEFORS</t>
        </is>
      </c>
      <c r="F81" t="inlineStr">
        <is>
          <t>Bergvik skog väst AB</t>
        </is>
      </c>
      <c r="G81" t="n">
        <v>0.9</v>
      </c>
      <c r="H81" t="n">
        <v>0</v>
      </c>
      <c r="I81" t="n">
        <v>0</v>
      </c>
      <c r="J81" t="n">
        <v>0</v>
      </c>
      <c r="K81" t="n">
        <v>0</v>
      </c>
      <c r="L81" t="n">
        <v>0</v>
      </c>
      <c r="M81" t="n">
        <v>0</v>
      </c>
      <c r="N81" t="n">
        <v>0</v>
      </c>
      <c r="O81" t="n">
        <v>0</v>
      </c>
      <c r="P81" t="n">
        <v>0</v>
      </c>
      <c r="Q81" t="n">
        <v>0</v>
      </c>
      <c r="R81" s="2" t="inlineStr"/>
    </row>
    <row r="82" ht="15" customHeight="1">
      <c r="A82" t="inlineStr">
        <is>
          <t>A 5089-2020</t>
        </is>
      </c>
      <c r="B82" s="1" t="n">
        <v>43859</v>
      </c>
      <c r="C82" s="1" t="n">
        <v>45742</v>
      </c>
      <c r="D82" t="inlineStr">
        <is>
          <t>ÖREBRO LÄN</t>
        </is>
      </c>
      <c r="E82" t="inlineStr">
        <is>
          <t>HÄLLEFORS</t>
        </is>
      </c>
      <c r="G82" t="n">
        <v>0.3</v>
      </c>
      <c r="H82" t="n">
        <v>0</v>
      </c>
      <c r="I82" t="n">
        <v>0</v>
      </c>
      <c r="J82" t="n">
        <v>0</v>
      </c>
      <c r="K82" t="n">
        <v>0</v>
      </c>
      <c r="L82" t="n">
        <v>0</v>
      </c>
      <c r="M82" t="n">
        <v>0</v>
      </c>
      <c r="N82" t="n">
        <v>0</v>
      </c>
      <c r="O82" t="n">
        <v>0</v>
      </c>
      <c r="P82" t="n">
        <v>0</v>
      </c>
      <c r="Q82" t="n">
        <v>0</v>
      </c>
      <c r="R82" s="2" t="inlineStr"/>
    </row>
    <row r="83" ht="15" customHeight="1">
      <c r="A83" t="inlineStr">
        <is>
          <t>A 6196-2020</t>
        </is>
      </c>
      <c r="B83" s="1" t="n">
        <v>43865</v>
      </c>
      <c r="C83" s="1" t="n">
        <v>45742</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6914-2020</t>
        </is>
      </c>
      <c r="B84" s="1" t="n">
        <v>43868</v>
      </c>
      <c r="C84" s="1" t="n">
        <v>45742</v>
      </c>
      <c r="D84" t="inlineStr">
        <is>
          <t>ÖREBRO LÄN</t>
        </is>
      </c>
      <c r="E84" t="inlineStr">
        <is>
          <t>HÄLLEFORS</t>
        </is>
      </c>
      <c r="F84" t="inlineStr">
        <is>
          <t>Sveaskog</t>
        </is>
      </c>
      <c r="G84" t="n">
        <v>3.2</v>
      </c>
      <c r="H84" t="n">
        <v>0</v>
      </c>
      <c r="I84" t="n">
        <v>0</v>
      </c>
      <c r="J84" t="n">
        <v>0</v>
      </c>
      <c r="K84" t="n">
        <v>0</v>
      </c>
      <c r="L84" t="n">
        <v>0</v>
      </c>
      <c r="M84" t="n">
        <v>0</v>
      </c>
      <c r="N84" t="n">
        <v>0</v>
      </c>
      <c r="O84" t="n">
        <v>0</v>
      </c>
      <c r="P84" t="n">
        <v>0</v>
      </c>
      <c r="Q84" t="n">
        <v>0</v>
      </c>
      <c r="R84" s="2" t="inlineStr"/>
    </row>
    <row r="85" ht="15" customHeight="1">
      <c r="A85" t="inlineStr">
        <is>
          <t>A 9959-2020</t>
        </is>
      </c>
      <c r="B85" s="1" t="n">
        <v>43882</v>
      </c>
      <c r="C85" s="1" t="n">
        <v>45742</v>
      </c>
      <c r="D85" t="inlineStr">
        <is>
          <t>ÖREBRO LÄN</t>
        </is>
      </c>
      <c r="E85" t="inlineStr">
        <is>
          <t>HÄLLEFORS</t>
        </is>
      </c>
      <c r="F85" t="inlineStr">
        <is>
          <t>Bergvik skog väst AB</t>
        </is>
      </c>
      <c r="G85" t="n">
        <v>2.2</v>
      </c>
      <c r="H85" t="n">
        <v>0</v>
      </c>
      <c r="I85" t="n">
        <v>0</v>
      </c>
      <c r="J85" t="n">
        <v>0</v>
      </c>
      <c r="K85" t="n">
        <v>0</v>
      </c>
      <c r="L85" t="n">
        <v>0</v>
      </c>
      <c r="M85" t="n">
        <v>0</v>
      </c>
      <c r="N85" t="n">
        <v>0</v>
      </c>
      <c r="O85" t="n">
        <v>0</v>
      </c>
      <c r="P85" t="n">
        <v>0</v>
      </c>
      <c r="Q85" t="n">
        <v>0</v>
      </c>
      <c r="R85" s="2" t="inlineStr"/>
    </row>
    <row r="86" ht="15" customHeight="1">
      <c r="A86" t="inlineStr">
        <is>
          <t>A 11308-2020</t>
        </is>
      </c>
      <c r="B86" s="1" t="n">
        <v>43892</v>
      </c>
      <c r="C86" s="1" t="n">
        <v>45742</v>
      </c>
      <c r="D86" t="inlineStr">
        <is>
          <t>ÖREBRO LÄN</t>
        </is>
      </c>
      <c r="E86" t="inlineStr">
        <is>
          <t>HÄLLEFORS</t>
        </is>
      </c>
      <c r="F86" t="inlineStr">
        <is>
          <t>Bergvik skog väst AB</t>
        </is>
      </c>
      <c r="G86" t="n">
        <v>1.8</v>
      </c>
      <c r="H86" t="n">
        <v>0</v>
      </c>
      <c r="I86" t="n">
        <v>0</v>
      </c>
      <c r="J86" t="n">
        <v>0</v>
      </c>
      <c r="K86" t="n">
        <v>0</v>
      </c>
      <c r="L86" t="n">
        <v>0</v>
      </c>
      <c r="M86" t="n">
        <v>0</v>
      </c>
      <c r="N86" t="n">
        <v>0</v>
      </c>
      <c r="O86" t="n">
        <v>0</v>
      </c>
      <c r="P86" t="n">
        <v>0</v>
      </c>
      <c r="Q86" t="n">
        <v>0</v>
      </c>
      <c r="R86" s="2" t="inlineStr"/>
    </row>
    <row r="87" ht="15" customHeight="1">
      <c r="A87" t="inlineStr">
        <is>
          <t>A 11235-2020</t>
        </is>
      </c>
      <c r="B87" s="1" t="n">
        <v>43892</v>
      </c>
      <c r="C87" s="1" t="n">
        <v>45742</v>
      </c>
      <c r="D87" t="inlineStr">
        <is>
          <t>ÖREBRO LÄN</t>
        </is>
      </c>
      <c r="E87" t="inlineStr">
        <is>
          <t>HÄLLEFORS</t>
        </is>
      </c>
      <c r="F87" t="inlineStr">
        <is>
          <t>Bergvik skog väst AB</t>
        </is>
      </c>
      <c r="G87" t="n">
        <v>0.8</v>
      </c>
      <c r="H87" t="n">
        <v>0</v>
      </c>
      <c r="I87" t="n">
        <v>0</v>
      </c>
      <c r="J87" t="n">
        <v>0</v>
      </c>
      <c r="K87" t="n">
        <v>0</v>
      </c>
      <c r="L87" t="n">
        <v>0</v>
      </c>
      <c r="M87" t="n">
        <v>0</v>
      </c>
      <c r="N87" t="n">
        <v>0</v>
      </c>
      <c r="O87" t="n">
        <v>0</v>
      </c>
      <c r="P87" t="n">
        <v>0</v>
      </c>
      <c r="Q87" t="n">
        <v>0</v>
      </c>
      <c r="R87" s="2" t="inlineStr"/>
    </row>
    <row r="88" ht="15" customHeight="1">
      <c r="A88" t="inlineStr">
        <is>
          <t>A 12170-2020</t>
        </is>
      </c>
      <c r="B88" s="1" t="n">
        <v>43895</v>
      </c>
      <c r="C88" s="1" t="n">
        <v>45742</v>
      </c>
      <c r="D88" t="inlineStr">
        <is>
          <t>ÖREBRO LÄN</t>
        </is>
      </c>
      <c r="E88" t="inlineStr">
        <is>
          <t>HÄLLEFORS</t>
        </is>
      </c>
      <c r="F88" t="inlineStr">
        <is>
          <t>Bergvik skog väst AB</t>
        </is>
      </c>
      <c r="G88" t="n">
        <v>1.6</v>
      </c>
      <c r="H88" t="n">
        <v>0</v>
      </c>
      <c r="I88" t="n">
        <v>0</v>
      </c>
      <c r="J88" t="n">
        <v>0</v>
      </c>
      <c r="K88" t="n">
        <v>0</v>
      </c>
      <c r="L88" t="n">
        <v>0</v>
      </c>
      <c r="M88" t="n">
        <v>0</v>
      </c>
      <c r="N88" t="n">
        <v>0</v>
      </c>
      <c r="O88" t="n">
        <v>0</v>
      </c>
      <c r="P88" t="n">
        <v>0</v>
      </c>
      <c r="Q88" t="n">
        <v>0</v>
      </c>
      <c r="R88" s="2" t="inlineStr"/>
    </row>
    <row r="89" ht="15" customHeight="1">
      <c r="A89" t="inlineStr">
        <is>
          <t>A 16829-2020</t>
        </is>
      </c>
      <c r="B89" s="1" t="n">
        <v>43921</v>
      </c>
      <c r="C89" s="1" t="n">
        <v>45742</v>
      </c>
      <c r="D89" t="inlineStr">
        <is>
          <t>ÖREBRO LÄN</t>
        </is>
      </c>
      <c r="E89" t="inlineStr">
        <is>
          <t>HÄLLEFORS</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18000-2020</t>
        </is>
      </c>
      <c r="B90" s="1" t="n">
        <v>43927</v>
      </c>
      <c r="C90" s="1" t="n">
        <v>45742</v>
      </c>
      <c r="D90" t="inlineStr">
        <is>
          <t>ÖREBRO LÄN</t>
        </is>
      </c>
      <c r="E90" t="inlineStr">
        <is>
          <t>HÄLLEFORS</t>
        </is>
      </c>
      <c r="F90" t="inlineStr">
        <is>
          <t>Bergvik skog väst AB</t>
        </is>
      </c>
      <c r="G90" t="n">
        <v>11.1</v>
      </c>
      <c r="H90" t="n">
        <v>0</v>
      </c>
      <c r="I90" t="n">
        <v>0</v>
      </c>
      <c r="J90" t="n">
        <v>0</v>
      </c>
      <c r="K90" t="n">
        <v>0</v>
      </c>
      <c r="L90" t="n">
        <v>0</v>
      </c>
      <c r="M90" t="n">
        <v>0</v>
      </c>
      <c r="N90" t="n">
        <v>0</v>
      </c>
      <c r="O90" t="n">
        <v>0</v>
      </c>
      <c r="P90" t="n">
        <v>0</v>
      </c>
      <c r="Q90" t="n">
        <v>0</v>
      </c>
      <c r="R90" s="2" t="inlineStr"/>
    </row>
    <row r="91" ht="15" customHeight="1">
      <c r="A91" t="inlineStr">
        <is>
          <t>A 18669-2020</t>
        </is>
      </c>
      <c r="B91" s="1" t="n">
        <v>43930</v>
      </c>
      <c r="C91" s="1" t="n">
        <v>45742</v>
      </c>
      <c r="D91" t="inlineStr">
        <is>
          <t>ÖREBRO LÄN</t>
        </is>
      </c>
      <c r="E91" t="inlineStr">
        <is>
          <t>HÄLLEFORS</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18672-2020</t>
        </is>
      </c>
      <c r="B92" s="1" t="n">
        <v>43930</v>
      </c>
      <c r="C92" s="1" t="n">
        <v>45742</v>
      </c>
      <c r="D92" t="inlineStr">
        <is>
          <t>ÖREBRO LÄN</t>
        </is>
      </c>
      <c r="E92" t="inlineStr">
        <is>
          <t>HÄLLEFORS</t>
        </is>
      </c>
      <c r="F92" t="inlineStr">
        <is>
          <t>Sveaskog</t>
        </is>
      </c>
      <c r="G92" t="n">
        <v>0.6</v>
      </c>
      <c r="H92" t="n">
        <v>0</v>
      </c>
      <c r="I92" t="n">
        <v>0</v>
      </c>
      <c r="J92" t="n">
        <v>0</v>
      </c>
      <c r="K92" t="n">
        <v>0</v>
      </c>
      <c r="L92" t="n">
        <v>0</v>
      </c>
      <c r="M92" t="n">
        <v>0</v>
      </c>
      <c r="N92" t="n">
        <v>0</v>
      </c>
      <c r="O92" t="n">
        <v>0</v>
      </c>
      <c r="P92" t="n">
        <v>0</v>
      </c>
      <c r="Q92" t="n">
        <v>0</v>
      </c>
      <c r="R92" s="2" t="inlineStr"/>
    </row>
    <row r="93" ht="15" customHeight="1">
      <c r="A93" t="inlineStr">
        <is>
          <t>A 20719-2020</t>
        </is>
      </c>
      <c r="B93" s="1" t="n">
        <v>43949</v>
      </c>
      <c r="C93" s="1" t="n">
        <v>45742</v>
      </c>
      <c r="D93" t="inlineStr">
        <is>
          <t>ÖREBRO LÄN</t>
        </is>
      </c>
      <c r="E93" t="inlineStr">
        <is>
          <t>HÄLLEFORS</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20718-2020</t>
        </is>
      </c>
      <c r="B94" s="1" t="n">
        <v>43949</v>
      </c>
      <c r="C94" s="1" t="n">
        <v>45742</v>
      </c>
      <c r="D94" t="inlineStr">
        <is>
          <t>ÖREBRO LÄN</t>
        </is>
      </c>
      <c r="E94" t="inlineStr">
        <is>
          <t>HÄLLEFORS</t>
        </is>
      </c>
      <c r="F94" t="inlineStr">
        <is>
          <t>Bergvik skog väst AB</t>
        </is>
      </c>
      <c r="G94" t="n">
        <v>0.8</v>
      </c>
      <c r="H94" t="n">
        <v>0</v>
      </c>
      <c r="I94" t="n">
        <v>0</v>
      </c>
      <c r="J94" t="n">
        <v>0</v>
      </c>
      <c r="K94" t="n">
        <v>0</v>
      </c>
      <c r="L94" t="n">
        <v>0</v>
      </c>
      <c r="M94" t="n">
        <v>0</v>
      </c>
      <c r="N94" t="n">
        <v>0</v>
      </c>
      <c r="O94" t="n">
        <v>0</v>
      </c>
      <c r="P94" t="n">
        <v>0</v>
      </c>
      <c r="Q94" t="n">
        <v>0</v>
      </c>
      <c r="R94" s="2" t="inlineStr"/>
    </row>
    <row r="95" ht="15" customHeight="1">
      <c r="A95" t="inlineStr">
        <is>
          <t>A 21177-2020</t>
        </is>
      </c>
      <c r="B95" s="1" t="n">
        <v>43951</v>
      </c>
      <c r="C95" s="1" t="n">
        <v>45742</v>
      </c>
      <c r="D95" t="inlineStr">
        <is>
          <t>ÖREBRO LÄN</t>
        </is>
      </c>
      <c r="E95" t="inlineStr">
        <is>
          <t>HÄLLEFORS</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21750-2020</t>
        </is>
      </c>
      <c r="B96" s="1" t="n">
        <v>43957</v>
      </c>
      <c r="C96" s="1" t="n">
        <v>45742</v>
      </c>
      <c r="D96" t="inlineStr">
        <is>
          <t>ÖREBRO LÄN</t>
        </is>
      </c>
      <c r="E96" t="inlineStr">
        <is>
          <t>HÄLLEFORS</t>
        </is>
      </c>
      <c r="G96" t="n">
        <v>0.8</v>
      </c>
      <c r="H96" t="n">
        <v>0</v>
      </c>
      <c r="I96" t="n">
        <v>0</v>
      </c>
      <c r="J96" t="n">
        <v>0</v>
      </c>
      <c r="K96" t="n">
        <v>0</v>
      </c>
      <c r="L96" t="n">
        <v>0</v>
      </c>
      <c r="M96" t="n">
        <v>0</v>
      </c>
      <c r="N96" t="n">
        <v>0</v>
      </c>
      <c r="O96" t="n">
        <v>0</v>
      </c>
      <c r="P96" t="n">
        <v>0</v>
      </c>
      <c r="Q96" t="n">
        <v>0</v>
      </c>
      <c r="R96" s="2" t="inlineStr"/>
    </row>
    <row r="97" ht="15" customHeight="1">
      <c r="A97" t="inlineStr">
        <is>
          <t>A 21859-2020</t>
        </is>
      </c>
      <c r="B97" s="1" t="n">
        <v>43958</v>
      </c>
      <c r="C97" s="1" t="n">
        <v>45742</v>
      </c>
      <c r="D97" t="inlineStr">
        <is>
          <t>ÖREBRO LÄN</t>
        </is>
      </c>
      <c r="E97" t="inlineStr">
        <is>
          <t>HÄLLEFORS</t>
        </is>
      </c>
      <c r="F97" t="inlineStr">
        <is>
          <t>Bergvik skog väst AB</t>
        </is>
      </c>
      <c r="G97" t="n">
        <v>0.9</v>
      </c>
      <c r="H97" t="n">
        <v>0</v>
      </c>
      <c r="I97" t="n">
        <v>0</v>
      </c>
      <c r="J97" t="n">
        <v>0</v>
      </c>
      <c r="K97" t="n">
        <v>0</v>
      </c>
      <c r="L97" t="n">
        <v>0</v>
      </c>
      <c r="M97" t="n">
        <v>0</v>
      </c>
      <c r="N97" t="n">
        <v>0</v>
      </c>
      <c r="O97" t="n">
        <v>0</v>
      </c>
      <c r="P97" t="n">
        <v>0</v>
      </c>
      <c r="Q97" t="n">
        <v>0</v>
      </c>
      <c r="R97" s="2" t="inlineStr"/>
    </row>
    <row r="98" ht="15" customHeight="1">
      <c r="A98" t="inlineStr">
        <is>
          <t>A 22729-2020</t>
        </is>
      </c>
      <c r="B98" s="1" t="n">
        <v>43962</v>
      </c>
      <c r="C98" s="1" t="n">
        <v>45742</v>
      </c>
      <c r="D98" t="inlineStr">
        <is>
          <t>ÖREBRO LÄN</t>
        </is>
      </c>
      <c r="E98" t="inlineStr">
        <is>
          <t>HÄLLEFORS</t>
        </is>
      </c>
      <c r="G98" t="n">
        <v>1.5</v>
      </c>
      <c r="H98" t="n">
        <v>0</v>
      </c>
      <c r="I98" t="n">
        <v>0</v>
      </c>
      <c r="J98" t="n">
        <v>0</v>
      </c>
      <c r="K98" t="n">
        <v>0</v>
      </c>
      <c r="L98" t="n">
        <v>0</v>
      </c>
      <c r="M98" t="n">
        <v>0</v>
      </c>
      <c r="N98" t="n">
        <v>0</v>
      </c>
      <c r="O98" t="n">
        <v>0</v>
      </c>
      <c r="P98" t="n">
        <v>0</v>
      </c>
      <c r="Q98" t="n">
        <v>0</v>
      </c>
      <c r="R98" s="2" t="inlineStr"/>
    </row>
    <row r="99" ht="15" customHeight="1">
      <c r="A99" t="inlineStr">
        <is>
          <t>A 24483-2020</t>
        </is>
      </c>
      <c r="B99" s="1" t="n">
        <v>43977</v>
      </c>
      <c r="C99" s="1" t="n">
        <v>45742</v>
      </c>
      <c r="D99" t="inlineStr">
        <is>
          <t>ÖREBRO LÄN</t>
        </is>
      </c>
      <c r="E99" t="inlineStr">
        <is>
          <t>HÄLLEFORS</t>
        </is>
      </c>
      <c r="F99" t="inlineStr">
        <is>
          <t>Bergvik skog väst AB</t>
        </is>
      </c>
      <c r="G99" t="n">
        <v>0.3</v>
      </c>
      <c r="H99" t="n">
        <v>0</v>
      </c>
      <c r="I99" t="n">
        <v>0</v>
      </c>
      <c r="J99" t="n">
        <v>0</v>
      </c>
      <c r="K99" t="n">
        <v>0</v>
      </c>
      <c r="L99" t="n">
        <v>0</v>
      </c>
      <c r="M99" t="n">
        <v>0</v>
      </c>
      <c r="N99" t="n">
        <v>0</v>
      </c>
      <c r="O99" t="n">
        <v>0</v>
      </c>
      <c r="P99" t="n">
        <v>0</v>
      </c>
      <c r="Q99" t="n">
        <v>0</v>
      </c>
      <c r="R99" s="2" t="inlineStr"/>
    </row>
    <row r="100" ht="15" customHeight="1">
      <c r="A100" t="inlineStr">
        <is>
          <t>A 27171-2020</t>
        </is>
      </c>
      <c r="B100" s="1" t="n">
        <v>43991</v>
      </c>
      <c r="C100" s="1" t="n">
        <v>45742</v>
      </c>
      <c r="D100" t="inlineStr">
        <is>
          <t>ÖREBRO LÄN</t>
        </is>
      </c>
      <c r="E100" t="inlineStr">
        <is>
          <t>HÄLLEFORS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27173-2020</t>
        </is>
      </c>
      <c r="B101" s="1" t="n">
        <v>43991</v>
      </c>
      <c r="C101" s="1" t="n">
        <v>45742</v>
      </c>
      <c r="D101" t="inlineStr">
        <is>
          <t>ÖREBRO LÄN</t>
        </is>
      </c>
      <c r="E101" t="inlineStr">
        <is>
          <t>HÄLLEFORS</t>
        </is>
      </c>
      <c r="G101" t="n">
        <v>2.9</v>
      </c>
      <c r="H101" t="n">
        <v>0</v>
      </c>
      <c r="I101" t="n">
        <v>0</v>
      </c>
      <c r="J101" t="n">
        <v>0</v>
      </c>
      <c r="K101" t="n">
        <v>0</v>
      </c>
      <c r="L101" t="n">
        <v>0</v>
      </c>
      <c r="M101" t="n">
        <v>0</v>
      </c>
      <c r="N101" t="n">
        <v>0</v>
      </c>
      <c r="O101" t="n">
        <v>0</v>
      </c>
      <c r="P101" t="n">
        <v>0</v>
      </c>
      <c r="Q101" t="n">
        <v>0</v>
      </c>
      <c r="R101" s="2" t="inlineStr"/>
    </row>
    <row r="102" ht="15" customHeight="1">
      <c r="A102" t="inlineStr">
        <is>
          <t>A 28373-2020</t>
        </is>
      </c>
      <c r="B102" s="1" t="n">
        <v>43998</v>
      </c>
      <c r="C102" s="1" t="n">
        <v>45742</v>
      </c>
      <c r="D102" t="inlineStr">
        <is>
          <t>ÖREBRO LÄN</t>
        </is>
      </c>
      <c r="E102" t="inlineStr">
        <is>
          <t>HÄLLEFORS</t>
        </is>
      </c>
      <c r="F102" t="inlineStr">
        <is>
          <t>Bergvik skog väst AB</t>
        </is>
      </c>
      <c r="G102" t="n">
        <v>0.5</v>
      </c>
      <c r="H102" t="n">
        <v>0</v>
      </c>
      <c r="I102" t="n">
        <v>0</v>
      </c>
      <c r="J102" t="n">
        <v>0</v>
      </c>
      <c r="K102" t="n">
        <v>0</v>
      </c>
      <c r="L102" t="n">
        <v>0</v>
      </c>
      <c r="M102" t="n">
        <v>0</v>
      </c>
      <c r="N102" t="n">
        <v>0</v>
      </c>
      <c r="O102" t="n">
        <v>0</v>
      </c>
      <c r="P102" t="n">
        <v>0</v>
      </c>
      <c r="Q102" t="n">
        <v>0</v>
      </c>
      <c r="R102" s="2" t="inlineStr"/>
    </row>
    <row r="103" ht="15" customHeight="1">
      <c r="A103" t="inlineStr">
        <is>
          <t>A 32649-2020</t>
        </is>
      </c>
      <c r="B103" s="1" t="n">
        <v>44018</v>
      </c>
      <c r="C103" s="1" t="n">
        <v>45742</v>
      </c>
      <c r="D103" t="inlineStr">
        <is>
          <t>ÖREBRO LÄN</t>
        </is>
      </c>
      <c r="E103" t="inlineStr">
        <is>
          <t>HÄLLEFORS</t>
        </is>
      </c>
      <c r="F103" t="inlineStr">
        <is>
          <t>Kyrkan</t>
        </is>
      </c>
      <c r="G103" t="n">
        <v>10.8</v>
      </c>
      <c r="H103" t="n">
        <v>0</v>
      </c>
      <c r="I103" t="n">
        <v>0</v>
      </c>
      <c r="J103" t="n">
        <v>0</v>
      </c>
      <c r="K103" t="n">
        <v>0</v>
      </c>
      <c r="L103" t="n">
        <v>0</v>
      </c>
      <c r="M103" t="n">
        <v>0</v>
      </c>
      <c r="N103" t="n">
        <v>0</v>
      </c>
      <c r="O103" t="n">
        <v>0</v>
      </c>
      <c r="P103" t="n">
        <v>0</v>
      </c>
      <c r="Q103" t="n">
        <v>0</v>
      </c>
      <c r="R103" s="2" t="inlineStr"/>
    </row>
    <row r="104" ht="15" customHeight="1">
      <c r="A104" t="inlineStr">
        <is>
          <t>A 34415-2020</t>
        </is>
      </c>
      <c r="B104" s="1" t="n">
        <v>44032</v>
      </c>
      <c r="C104" s="1" t="n">
        <v>45742</v>
      </c>
      <c r="D104" t="inlineStr">
        <is>
          <t>ÖREBRO LÄN</t>
        </is>
      </c>
      <c r="E104" t="inlineStr">
        <is>
          <t>HÄLLEFORS</t>
        </is>
      </c>
      <c r="F104" t="inlineStr">
        <is>
          <t>Bergvik skog väst AB</t>
        </is>
      </c>
      <c r="G104" t="n">
        <v>2.1</v>
      </c>
      <c r="H104" t="n">
        <v>0</v>
      </c>
      <c r="I104" t="n">
        <v>0</v>
      </c>
      <c r="J104" t="n">
        <v>0</v>
      </c>
      <c r="K104" t="n">
        <v>0</v>
      </c>
      <c r="L104" t="n">
        <v>0</v>
      </c>
      <c r="M104" t="n">
        <v>0</v>
      </c>
      <c r="N104" t="n">
        <v>0</v>
      </c>
      <c r="O104" t="n">
        <v>0</v>
      </c>
      <c r="P104" t="n">
        <v>0</v>
      </c>
      <c r="Q104" t="n">
        <v>0</v>
      </c>
      <c r="R104" s="2" t="inlineStr"/>
    </row>
    <row r="105" ht="15" customHeight="1">
      <c r="A105" t="inlineStr">
        <is>
          <t>A 35825-2020</t>
        </is>
      </c>
      <c r="B105" s="1" t="n">
        <v>44047</v>
      </c>
      <c r="C105" s="1" t="n">
        <v>45742</v>
      </c>
      <c r="D105" t="inlineStr">
        <is>
          <t>ÖREBRO LÄN</t>
        </is>
      </c>
      <c r="E105" t="inlineStr">
        <is>
          <t>HÄLLEFORS</t>
        </is>
      </c>
      <c r="G105" t="n">
        <v>4.8</v>
      </c>
      <c r="H105" t="n">
        <v>0</v>
      </c>
      <c r="I105" t="n">
        <v>0</v>
      </c>
      <c r="J105" t="n">
        <v>0</v>
      </c>
      <c r="K105" t="n">
        <v>0</v>
      </c>
      <c r="L105" t="n">
        <v>0</v>
      </c>
      <c r="M105" t="n">
        <v>0</v>
      </c>
      <c r="N105" t="n">
        <v>0</v>
      </c>
      <c r="O105" t="n">
        <v>0</v>
      </c>
      <c r="P105" t="n">
        <v>0</v>
      </c>
      <c r="Q105" t="n">
        <v>0</v>
      </c>
      <c r="R105" s="2" t="inlineStr"/>
    </row>
    <row r="106" ht="15" customHeight="1">
      <c r="A106" t="inlineStr">
        <is>
          <t>A 39505-2020</t>
        </is>
      </c>
      <c r="B106" s="1" t="n">
        <v>44064</v>
      </c>
      <c r="C106" s="1" t="n">
        <v>45742</v>
      </c>
      <c r="D106" t="inlineStr">
        <is>
          <t>ÖREBRO LÄN</t>
        </is>
      </c>
      <c r="E106" t="inlineStr">
        <is>
          <t>HÄLLEFORS</t>
        </is>
      </c>
      <c r="F106" t="inlineStr">
        <is>
          <t>Bergvik skog väst AB</t>
        </is>
      </c>
      <c r="G106" t="n">
        <v>3.9</v>
      </c>
      <c r="H106" t="n">
        <v>0</v>
      </c>
      <c r="I106" t="n">
        <v>0</v>
      </c>
      <c r="J106" t="n">
        <v>0</v>
      </c>
      <c r="K106" t="n">
        <v>0</v>
      </c>
      <c r="L106" t="n">
        <v>0</v>
      </c>
      <c r="M106" t="n">
        <v>0</v>
      </c>
      <c r="N106" t="n">
        <v>0</v>
      </c>
      <c r="O106" t="n">
        <v>0</v>
      </c>
      <c r="P106" t="n">
        <v>0</v>
      </c>
      <c r="Q106" t="n">
        <v>0</v>
      </c>
      <c r="R106" s="2" t="inlineStr"/>
    </row>
    <row r="107" ht="15" customHeight="1">
      <c r="A107" t="inlineStr">
        <is>
          <t>A 39512-2020</t>
        </is>
      </c>
      <c r="B107" s="1" t="n">
        <v>44064</v>
      </c>
      <c r="C107" s="1" t="n">
        <v>45742</v>
      </c>
      <c r="D107" t="inlineStr">
        <is>
          <t>ÖREBRO LÄN</t>
        </is>
      </c>
      <c r="E107" t="inlineStr">
        <is>
          <t>HÄLLEFORS</t>
        </is>
      </c>
      <c r="F107" t="inlineStr">
        <is>
          <t>Bergvik skog väst AB</t>
        </is>
      </c>
      <c r="G107" t="n">
        <v>2.9</v>
      </c>
      <c r="H107" t="n">
        <v>0</v>
      </c>
      <c r="I107" t="n">
        <v>0</v>
      </c>
      <c r="J107" t="n">
        <v>0</v>
      </c>
      <c r="K107" t="n">
        <v>0</v>
      </c>
      <c r="L107" t="n">
        <v>0</v>
      </c>
      <c r="M107" t="n">
        <v>0</v>
      </c>
      <c r="N107" t="n">
        <v>0</v>
      </c>
      <c r="O107" t="n">
        <v>0</v>
      </c>
      <c r="P107" t="n">
        <v>0</v>
      </c>
      <c r="Q107" t="n">
        <v>0</v>
      </c>
      <c r="R107" s="2" t="inlineStr"/>
    </row>
    <row r="108" ht="15" customHeight="1">
      <c r="A108" t="inlineStr">
        <is>
          <t>A 39557-2020</t>
        </is>
      </c>
      <c r="B108" s="1" t="n">
        <v>44064</v>
      </c>
      <c r="C108" s="1" t="n">
        <v>45742</v>
      </c>
      <c r="D108" t="inlineStr">
        <is>
          <t>ÖREBRO LÄN</t>
        </is>
      </c>
      <c r="E108" t="inlineStr">
        <is>
          <t>HÄLLEFORS</t>
        </is>
      </c>
      <c r="F108" t="inlineStr">
        <is>
          <t>Bergvik skog väst AB</t>
        </is>
      </c>
      <c r="G108" t="n">
        <v>18.1</v>
      </c>
      <c r="H108" t="n">
        <v>0</v>
      </c>
      <c r="I108" t="n">
        <v>0</v>
      </c>
      <c r="J108" t="n">
        <v>0</v>
      </c>
      <c r="K108" t="n">
        <v>0</v>
      </c>
      <c r="L108" t="n">
        <v>0</v>
      </c>
      <c r="M108" t="n">
        <v>0</v>
      </c>
      <c r="N108" t="n">
        <v>0</v>
      </c>
      <c r="O108" t="n">
        <v>0</v>
      </c>
      <c r="P108" t="n">
        <v>0</v>
      </c>
      <c r="Q108" t="n">
        <v>0</v>
      </c>
      <c r="R108" s="2" t="inlineStr"/>
    </row>
    <row r="109" ht="15" customHeight="1">
      <c r="A109" t="inlineStr">
        <is>
          <t>A 39484-2020</t>
        </is>
      </c>
      <c r="B109" s="1" t="n">
        <v>44064</v>
      </c>
      <c r="C109" s="1" t="n">
        <v>45742</v>
      </c>
      <c r="D109" t="inlineStr">
        <is>
          <t>ÖREBRO LÄN</t>
        </is>
      </c>
      <c r="E109" t="inlineStr">
        <is>
          <t>HÄLLEFORS</t>
        </is>
      </c>
      <c r="F109" t="inlineStr">
        <is>
          <t>Bergvik skog väst AB</t>
        </is>
      </c>
      <c r="G109" t="n">
        <v>1.6</v>
      </c>
      <c r="H109" t="n">
        <v>0</v>
      </c>
      <c r="I109" t="n">
        <v>0</v>
      </c>
      <c r="J109" t="n">
        <v>0</v>
      </c>
      <c r="K109" t="n">
        <v>0</v>
      </c>
      <c r="L109" t="n">
        <v>0</v>
      </c>
      <c r="M109" t="n">
        <v>0</v>
      </c>
      <c r="N109" t="n">
        <v>0</v>
      </c>
      <c r="O109" t="n">
        <v>0</v>
      </c>
      <c r="P109" t="n">
        <v>0</v>
      </c>
      <c r="Q109" t="n">
        <v>0</v>
      </c>
      <c r="R109" s="2" t="inlineStr"/>
    </row>
    <row r="110" ht="15" customHeight="1">
      <c r="A110" t="inlineStr">
        <is>
          <t>A 39499-2020</t>
        </is>
      </c>
      <c r="B110" s="1" t="n">
        <v>44064</v>
      </c>
      <c r="C110" s="1" t="n">
        <v>45742</v>
      </c>
      <c r="D110" t="inlineStr">
        <is>
          <t>ÖREBRO LÄN</t>
        </is>
      </c>
      <c r="E110" t="inlineStr">
        <is>
          <t>HÄLLEFORS</t>
        </is>
      </c>
      <c r="F110" t="inlineStr">
        <is>
          <t>Bergvik skog väst AB</t>
        </is>
      </c>
      <c r="G110" t="n">
        <v>2</v>
      </c>
      <c r="H110" t="n">
        <v>0</v>
      </c>
      <c r="I110" t="n">
        <v>0</v>
      </c>
      <c r="J110" t="n">
        <v>0</v>
      </c>
      <c r="K110" t="n">
        <v>0</v>
      </c>
      <c r="L110" t="n">
        <v>0</v>
      </c>
      <c r="M110" t="n">
        <v>0</v>
      </c>
      <c r="N110" t="n">
        <v>0</v>
      </c>
      <c r="O110" t="n">
        <v>0</v>
      </c>
      <c r="P110" t="n">
        <v>0</v>
      </c>
      <c r="Q110" t="n">
        <v>0</v>
      </c>
      <c r="R110" s="2" t="inlineStr"/>
    </row>
    <row r="111" ht="15" customHeight="1">
      <c r="A111" t="inlineStr">
        <is>
          <t>A 39607-2020</t>
        </is>
      </c>
      <c r="B111" s="1" t="n">
        <v>44064</v>
      </c>
      <c r="C111" s="1" t="n">
        <v>45742</v>
      </c>
      <c r="D111" t="inlineStr">
        <is>
          <t>ÖREBRO LÄN</t>
        </is>
      </c>
      <c r="E111" t="inlineStr">
        <is>
          <t>HÄLLEFORS</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39572-2020</t>
        </is>
      </c>
      <c r="B112" s="1" t="n">
        <v>44064</v>
      </c>
      <c r="C112" s="1" t="n">
        <v>45742</v>
      </c>
      <c r="D112" t="inlineStr">
        <is>
          <t>ÖREBRO LÄN</t>
        </is>
      </c>
      <c r="E112" t="inlineStr">
        <is>
          <t>HÄLLEFORS</t>
        </is>
      </c>
      <c r="F112" t="inlineStr">
        <is>
          <t>Bergvik skog väst AB</t>
        </is>
      </c>
      <c r="G112" t="n">
        <v>1.5</v>
      </c>
      <c r="H112" t="n">
        <v>0</v>
      </c>
      <c r="I112" t="n">
        <v>0</v>
      </c>
      <c r="J112" t="n">
        <v>0</v>
      </c>
      <c r="K112" t="n">
        <v>0</v>
      </c>
      <c r="L112" t="n">
        <v>0</v>
      </c>
      <c r="M112" t="n">
        <v>0</v>
      </c>
      <c r="N112" t="n">
        <v>0</v>
      </c>
      <c r="O112" t="n">
        <v>0</v>
      </c>
      <c r="P112" t="n">
        <v>0</v>
      </c>
      <c r="Q112" t="n">
        <v>0</v>
      </c>
      <c r="R112" s="2" t="inlineStr"/>
    </row>
    <row r="113" ht="15" customHeight="1">
      <c r="A113" t="inlineStr">
        <is>
          <t>A 39603-2020</t>
        </is>
      </c>
      <c r="B113" s="1" t="n">
        <v>44064</v>
      </c>
      <c r="C113" s="1" t="n">
        <v>45742</v>
      </c>
      <c r="D113" t="inlineStr">
        <is>
          <t>ÖREBRO LÄN</t>
        </is>
      </c>
      <c r="E113" t="inlineStr">
        <is>
          <t>HÄLLEFORS</t>
        </is>
      </c>
      <c r="F113" t="inlineStr">
        <is>
          <t>Bergvik skog väst AB</t>
        </is>
      </c>
      <c r="G113" t="n">
        <v>2.9</v>
      </c>
      <c r="H113" t="n">
        <v>0</v>
      </c>
      <c r="I113" t="n">
        <v>0</v>
      </c>
      <c r="J113" t="n">
        <v>0</v>
      </c>
      <c r="K113" t="n">
        <v>0</v>
      </c>
      <c r="L113" t="n">
        <v>0</v>
      </c>
      <c r="M113" t="n">
        <v>0</v>
      </c>
      <c r="N113" t="n">
        <v>0</v>
      </c>
      <c r="O113" t="n">
        <v>0</v>
      </c>
      <c r="P113" t="n">
        <v>0</v>
      </c>
      <c r="Q113" t="n">
        <v>0</v>
      </c>
      <c r="R113" s="2" t="inlineStr"/>
    </row>
    <row r="114" ht="15" customHeight="1">
      <c r="A114" t="inlineStr">
        <is>
          <t>A 39613-2020</t>
        </is>
      </c>
      <c r="B114" s="1" t="n">
        <v>44064</v>
      </c>
      <c r="C114" s="1" t="n">
        <v>45742</v>
      </c>
      <c r="D114" t="inlineStr">
        <is>
          <t>ÖREBRO LÄN</t>
        </is>
      </c>
      <c r="E114" t="inlineStr">
        <is>
          <t>HÄLLEFORS</t>
        </is>
      </c>
      <c r="F114" t="inlineStr">
        <is>
          <t>Bergvik skog väst AB</t>
        </is>
      </c>
      <c r="G114" t="n">
        <v>5</v>
      </c>
      <c r="H114" t="n">
        <v>0</v>
      </c>
      <c r="I114" t="n">
        <v>0</v>
      </c>
      <c r="J114" t="n">
        <v>0</v>
      </c>
      <c r="K114" t="n">
        <v>0</v>
      </c>
      <c r="L114" t="n">
        <v>0</v>
      </c>
      <c r="M114" t="n">
        <v>0</v>
      </c>
      <c r="N114" t="n">
        <v>0</v>
      </c>
      <c r="O114" t="n">
        <v>0</v>
      </c>
      <c r="P114" t="n">
        <v>0</v>
      </c>
      <c r="Q114" t="n">
        <v>0</v>
      </c>
      <c r="R114" s="2" t="inlineStr"/>
    </row>
    <row r="115" ht="15" customHeight="1">
      <c r="A115" t="inlineStr">
        <is>
          <t>A 39564-2020</t>
        </is>
      </c>
      <c r="B115" s="1" t="n">
        <v>44064</v>
      </c>
      <c r="C115" s="1" t="n">
        <v>45742</v>
      </c>
      <c r="D115" t="inlineStr">
        <is>
          <t>ÖREBRO LÄN</t>
        </is>
      </c>
      <c r="E115" t="inlineStr">
        <is>
          <t>HÄLLEFORS</t>
        </is>
      </c>
      <c r="F115" t="inlineStr">
        <is>
          <t>Bergvik skog väst AB</t>
        </is>
      </c>
      <c r="G115" t="n">
        <v>3</v>
      </c>
      <c r="H115" t="n">
        <v>0</v>
      </c>
      <c r="I115" t="n">
        <v>0</v>
      </c>
      <c r="J115" t="n">
        <v>0</v>
      </c>
      <c r="K115" t="n">
        <v>0</v>
      </c>
      <c r="L115" t="n">
        <v>0</v>
      </c>
      <c r="M115" t="n">
        <v>0</v>
      </c>
      <c r="N115" t="n">
        <v>0</v>
      </c>
      <c r="O115" t="n">
        <v>0</v>
      </c>
      <c r="P115" t="n">
        <v>0</v>
      </c>
      <c r="Q115" t="n">
        <v>0</v>
      </c>
      <c r="R115" s="2" t="inlineStr"/>
    </row>
    <row r="116" ht="15" customHeight="1">
      <c r="A116" t="inlineStr">
        <is>
          <t>A 39914-2020</t>
        </is>
      </c>
      <c r="B116" s="1" t="n">
        <v>44067</v>
      </c>
      <c r="C116" s="1" t="n">
        <v>45742</v>
      </c>
      <c r="D116" t="inlineStr">
        <is>
          <t>ÖREBRO LÄN</t>
        </is>
      </c>
      <c r="E116" t="inlineStr">
        <is>
          <t>HÄLLEFORS</t>
        </is>
      </c>
      <c r="F116" t="inlineStr">
        <is>
          <t>Bergvik skog väst AB</t>
        </is>
      </c>
      <c r="G116" t="n">
        <v>1.4</v>
      </c>
      <c r="H116" t="n">
        <v>0</v>
      </c>
      <c r="I116" t="n">
        <v>0</v>
      </c>
      <c r="J116" t="n">
        <v>0</v>
      </c>
      <c r="K116" t="n">
        <v>0</v>
      </c>
      <c r="L116" t="n">
        <v>0</v>
      </c>
      <c r="M116" t="n">
        <v>0</v>
      </c>
      <c r="N116" t="n">
        <v>0</v>
      </c>
      <c r="O116" t="n">
        <v>0</v>
      </c>
      <c r="P116" t="n">
        <v>0</v>
      </c>
      <c r="Q116" t="n">
        <v>0</v>
      </c>
      <c r="R116" s="2" t="inlineStr"/>
    </row>
    <row r="117" ht="15" customHeight="1">
      <c r="A117" t="inlineStr">
        <is>
          <t>A 39921-2020</t>
        </is>
      </c>
      <c r="B117" s="1" t="n">
        <v>44067</v>
      </c>
      <c r="C117" s="1" t="n">
        <v>45742</v>
      </c>
      <c r="D117" t="inlineStr">
        <is>
          <t>ÖREBRO LÄN</t>
        </is>
      </c>
      <c r="E117" t="inlineStr">
        <is>
          <t>HÄLLEFORS</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40467-2020</t>
        </is>
      </c>
      <c r="B118" s="1" t="n">
        <v>44069</v>
      </c>
      <c r="C118" s="1" t="n">
        <v>45742</v>
      </c>
      <c r="D118" t="inlineStr">
        <is>
          <t>ÖREBRO LÄN</t>
        </is>
      </c>
      <c r="E118" t="inlineStr">
        <is>
          <t>HÄLLEFORS</t>
        </is>
      </c>
      <c r="G118" t="n">
        <v>0.5</v>
      </c>
      <c r="H118" t="n">
        <v>0</v>
      </c>
      <c r="I118" t="n">
        <v>0</v>
      </c>
      <c r="J118" t="n">
        <v>0</v>
      </c>
      <c r="K118" t="n">
        <v>0</v>
      </c>
      <c r="L118" t="n">
        <v>0</v>
      </c>
      <c r="M118" t="n">
        <v>0</v>
      </c>
      <c r="N118" t="n">
        <v>0</v>
      </c>
      <c r="O118" t="n">
        <v>0</v>
      </c>
      <c r="P118" t="n">
        <v>0</v>
      </c>
      <c r="Q118" t="n">
        <v>0</v>
      </c>
      <c r="R118" s="2" t="inlineStr"/>
    </row>
    <row r="119" ht="15" customHeight="1">
      <c r="A119" t="inlineStr">
        <is>
          <t>A 40935-2020</t>
        </is>
      </c>
      <c r="B119" s="1" t="n">
        <v>44070</v>
      </c>
      <c r="C119" s="1" t="n">
        <v>45742</v>
      </c>
      <c r="D119" t="inlineStr">
        <is>
          <t>ÖREBRO LÄN</t>
        </is>
      </c>
      <c r="E119" t="inlineStr">
        <is>
          <t>HÄLLEFORS</t>
        </is>
      </c>
      <c r="F119" t="inlineStr">
        <is>
          <t>Bergvik skog väst AB</t>
        </is>
      </c>
      <c r="G119" t="n">
        <v>8.1</v>
      </c>
      <c r="H119" t="n">
        <v>0</v>
      </c>
      <c r="I119" t="n">
        <v>0</v>
      </c>
      <c r="J119" t="n">
        <v>0</v>
      </c>
      <c r="K119" t="n">
        <v>0</v>
      </c>
      <c r="L119" t="n">
        <v>0</v>
      </c>
      <c r="M119" t="n">
        <v>0</v>
      </c>
      <c r="N119" t="n">
        <v>0</v>
      </c>
      <c r="O119" t="n">
        <v>0</v>
      </c>
      <c r="P119" t="n">
        <v>0</v>
      </c>
      <c r="Q119" t="n">
        <v>0</v>
      </c>
      <c r="R119" s="2" t="inlineStr"/>
    </row>
    <row r="120" ht="15" customHeight="1">
      <c r="A120" t="inlineStr">
        <is>
          <t>A 42613-2020</t>
        </is>
      </c>
      <c r="B120" s="1" t="n">
        <v>44077</v>
      </c>
      <c r="C120" s="1" t="n">
        <v>45742</v>
      </c>
      <c r="D120" t="inlineStr">
        <is>
          <t>ÖREBRO LÄN</t>
        </is>
      </c>
      <c r="E120" t="inlineStr">
        <is>
          <t>HÄLLEFORS</t>
        </is>
      </c>
      <c r="F120" t="inlineStr">
        <is>
          <t>Bergvik skog väst AB</t>
        </is>
      </c>
      <c r="G120" t="n">
        <v>1.5</v>
      </c>
      <c r="H120" t="n">
        <v>0</v>
      </c>
      <c r="I120" t="n">
        <v>0</v>
      </c>
      <c r="J120" t="n">
        <v>0</v>
      </c>
      <c r="K120" t="n">
        <v>0</v>
      </c>
      <c r="L120" t="n">
        <v>0</v>
      </c>
      <c r="M120" t="n">
        <v>0</v>
      </c>
      <c r="N120" t="n">
        <v>0</v>
      </c>
      <c r="O120" t="n">
        <v>0</v>
      </c>
      <c r="P120" t="n">
        <v>0</v>
      </c>
      <c r="Q120" t="n">
        <v>0</v>
      </c>
      <c r="R120" s="2" t="inlineStr"/>
    </row>
    <row r="121" ht="15" customHeight="1">
      <c r="A121" t="inlineStr">
        <is>
          <t>A 44924-2020</t>
        </is>
      </c>
      <c r="B121" s="1" t="n">
        <v>44083</v>
      </c>
      <c r="C121" s="1" t="n">
        <v>45742</v>
      </c>
      <c r="D121" t="inlineStr">
        <is>
          <t>ÖREBRO LÄN</t>
        </is>
      </c>
      <c r="E121" t="inlineStr">
        <is>
          <t>HÄLLEFORS</t>
        </is>
      </c>
      <c r="G121" t="n">
        <v>0.7</v>
      </c>
      <c r="H121" t="n">
        <v>0</v>
      </c>
      <c r="I121" t="n">
        <v>0</v>
      </c>
      <c r="J121" t="n">
        <v>0</v>
      </c>
      <c r="K121" t="n">
        <v>0</v>
      </c>
      <c r="L121" t="n">
        <v>0</v>
      </c>
      <c r="M121" t="n">
        <v>0</v>
      </c>
      <c r="N121" t="n">
        <v>0</v>
      </c>
      <c r="O121" t="n">
        <v>0</v>
      </c>
      <c r="P121" t="n">
        <v>0</v>
      </c>
      <c r="Q121" t="n">
        <v>0</v>
      </c>
      <c r="R121" s="2" t="inlineStr"/>
    </row>
    <row r="122" ht="15" customHeight="1">
      <c r="A122" t="inlineStr">
        <is>
          <t>A 44556-2020</t>
        </is>
      </c>
      <c r="B122" s="1" t="n">
        <v>44085</v>
      </c>
      <c r="C122" s="1" t="n">
        <v>45742</v>
      </c>
      <c r="D122" t="inlineStr">
        <is>
          <t>ÖREBRO LÄN</t>
        </is>
      </c>
      <c r="E122" t="inlineStr">
        <is>
          <t>HÄLLEFORS</t>
        </is>
      </c>
      <c r="F122" t="inlineStr">
        <is>
          <t>Bergvik skog väst AB</t>
        </is>
      </c>
      <c r="G122" t="n">
        <v>3</v>
      </c>
      <c r="H122" t="n">
        <v>0</v>
      </c>
      <c r="I122" t="n">
        <v>0</v>
      </c>
      <c r="J122" t="n">
        <v>0</v>
      </c>
      <c r="K122" t="n">
        <v>0</v>
      </c>
      <c r="L122" t="n">
        <v>0</v>
      </c>
      <c r="M122" t="n">
        <v>0</v>
      </c>
      <c r="N122" t="n">
        <v>0</v>
      </c>
      <c r="O122" t="n">
        <v>0</v>
      </c>
      <c r="P122" t="n">
        <v>0</v>
      </c>
      <c r="Q122" t="n">
        <v>0</v>
      </c>
      <c r="R122" s="2" t="inlineStr"/>
    </row>
    <row r="123" ht="15" customHeight="1">
      <c r="A123" t="inlineStr">
        <is>
          <t>A 45459-2020</t>
        </is>
      </c>
      <c r="B123" s="1" t="n">
        <v>44089</v>
      </c>
      <c r="C123" s="1" t="n">
        <v>45742</v>
      </c>
      <c r="D123" t="inlineStr">
        <is>
          <t>ÖREBRO LÄN</t>
        </is>
      </c>
      <c r="E123" t="inlineStr">
        <is>
          <t>HÄLLEFORS</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47609-2020</t>
        </is>
      </c>
      <c r="B124" s="1" t="n">
        <v>44098</v>
      </c>
      <c r="C124" s="1" t="n">
        <v>45742</v>
      </c>
      <c r="D124" t="inlineStr">
        <is>
          <t>ÖREBRO LÄN</t>
        </is>
      </c>
      <c r="E124" t="inlineStr">
        <is>
          <t>HÄLLEFORS</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47702-2020</t>
        </is>
      </c>
      <c r="B125" s="1" t="n">
        <v>44098</v>
      </c>
      <c r="C125" s="1" t="n">
        <v>45742</v>
      </c>
      <c r="D125" t="inlineStr">
        <is>
          <t>ÖREBRO LÄN</t>
        </is>
      </c>
      <c r="E125" t="inlineStr">
        <is>
          <t>HÄLLEFORS</t>
        </is>
      </c>
      <c r="F125" t="inlineStr">
        <is>
          <t>Bergvik skog väst AB</t>
        </is>
      </c>
      <c r="G125" t="n">
        <v>1.6</v>
      </c>
      <c r="H125" t="n">
        <v>0</v>
      </c>
      <c r="I125" t="n">
        <v>0</v>
      </c>
      <c r="J125" t="n">
        <v>0</v>
      </c>
      <c r="K125" t="n">
        <v>0</v>
      </c>
      <c r="L125" t="n">
        <v>0</v>
      </c>
      <c r="M125" t="n">
        <v>0</v>
      </c>
      <c r="N125" t="n">
        <v>0</v>
      </c>
      <c r="O125" t="n">
        <v>0</v>
      </c>
      <c r="P125" t="n">
        <v>0</v>
      </c>
      <c r="Q125" t="n">
        <v>0</v>
      </c>
      <c r="R125" s="2" t="inlineStr"/>
    </row>
    <row r="126" ht="15" customHeight="1">
      <c r="A126" t="inlineStr">
        <is>
          <t>A 47614-2020</t>
        </is>
      </c>
      <c r="B126" s="1" t="n">
        <v>44098</v>
      </c>
      <c r="C126" s="1" t="n">
        <v>45742</v>
      </c>
      <c r="D126" t="inlineStr">
        <is>
          <t>ÖREBRO LÄN</t>
        </is>
      </c>
      <c r="E126" t="inlineStr">
        <is>
          <t>HÄLLEFORS</t>
        </is>
      </c>
      <c r="F126" t="inlineStr">
        <is>
          <t>Bergvik skog väst AB</t>
        </is>
      </c>
      <c r="G126" t="n">
        <v>0.3</v>
      </c>
      <c r="H126" t="n">
        <v>0</v>
      </c>
      <c r="I126" t="n">
        <v>0</v>
      </c>
      <c r="J126" t="n">
        <v>0</v>
      </c>
      <c r="K126" t="n">
        <v>0</v>
      </c>
      <c r="L126" t="n">
        <v>0</v>
      </c>
      <c r="M126" t="n">
        <v>0</v>
      </c>
      <c r="N126" t="n">
        <v>0</v>
      </c>
      <c r="O126" t="n">
        <v>0</v>
      </c>
      <c r="P126" t="n">
        <v>0</v>
      </c>
      <c r="Q126" t="n">
        <v>0</v>
      </c>
      <c r="R126" s="2" t="inlineStr"/>
    </row>
    <row r="127" ht="15" customHeight="1">
      <c r="A127" t="inlineStr">
        <is>
          <t>A 47731-2020</t>
        </is>
      </c>
      <c r="B127" s="1" t="n">
        <v>44098</v>
      </c>
      <c r="C127" s="1" t="n">
        <v>45742</v>
      </c>
      <c r="D127" t="inlineStr">
        <is>
          <t>ÖREBRO LÄN</t>
        </is>
      </c>
      <c r="E127" t="inlineStr">
        <is>
          <t>HÄLLEFORS</t>
        </is>
      </c>
      <c r="F127" t="inlineStr">
        <is>
          <t>Bergvik skog väst AB</t>
        </is>
      </c>
      <c r="G127" t="n">
        <v>0.4</v>
      </c>
      <c r="H127" t="n">
        <v>0</v>
      </c>
      <c r="I127" t="n">
        <v>0</v>
      </c>
      <c r="J127" t="n">
        <v>0</v>
      </c>
      <c r="K127" t="n">
        <v>0</v>
      </c>
      <c r="L127" t="n">
        <v>0</v>
      </c>
      <c r="M127" t="n">
        <v>0</v>
      </c>
      <c r="N127" t="n">
        <v>0</v>
      </c>
      <c r="O127" t="n">
        <v>0</v>
      </c>
      <c r="P127" t="n">
        <v>0</v>
      </c>
      <c r="Q127" t="n">
        <v>0</v>
      </c>
      <c r="R127" s="2" t="inlineStr"/>
    </row>
    <row r="128" ht="15" customHeight="1">
      <c r="A128" t="inlineStr">
        <is>
          <t>A 48127-2020</t>
        </is>
      </c>
      <c r="B128" s="1" t="n">
        <v>44102</v>
      </c>
      <c r="C128" s="1" t="n">
        <v>45742</v>
      </c>
      <c r="D128" t="inlineStr">
        <is>
          <t>ÖREBRO LÄN</t>
        </is>
      </c>
      <c r="E128" t="inlineStr">
        <is>
          <t>HÄLLEFORS</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48316-2020</t>
        </is>
      </c>
      <c r="B129" s="1" t="n">
        <v>44102</v>
      </c>
      <c r="C129" s="1" t="n">
        <v>45742</v>
      </c>
      <c r="D129" t="inlineStr">
        <is>
          <t>ÖREBRO LÄN</t>
        </is>
      </c>
      <c r="E129" t="inlineStr">
        <is>
          <t>HÄLLEFORS</t>
        </is>
      </c>
      <c r="F129" t="inlineStr">
        <is>
          <t>Bergvik skog väst AB</t>
        </is>
      </c>
      <c r="G129" t="n">
        <v>2</v>
      </c>
      <c r="H129" t="n">
        <v>0</v>
      </c>
      <c r="I129" t="n">
        <v>0</v>
      </c>
      <c r="J129" t="n">
        <v>0</v>
      </c>
      <c r="K129" t="n">
        <v>0</v>
      </c>
      <c r="L129" t="n">
        <v>0</v>
      </c>
      <c r="M129" t="n">
        <v>0</v>
      </c>
      <c r="N129" t="n">
        <v>0</v>
      </c>
      <c r="O129" t="n">
        <v>0</v>
      </c>
      <c r="P129" t="n">
        <v>0</v>
      </c>
      <c r="Q129" t="n">
        <v>0</v>
      </c>
      <c r="R129" s="2" t="inlineStr"/>
    </row>
    <row r="130" ht="15" customHeight="1">
      <c r="A130" t="inlineStr">
        <is>
          <t>A 49640-2020</t>
        </is>
      </c>
      <c r="B130" s="1" t="n">
        <v>44106</v>
      </c>
      <c r="C130" s="1" t="n">
        <v>45742</v>
      </c>
      <c r="D130" t="inlineStr">
        <is>
          <t>ÖREBRO LÄN</t>
        </is>
      </c>
      <c r="E130" t="inlineStr">
        <is>
          <t>HÄLLEFORS</t>
        </is>
      </c>
      <c r="F130" t="inlineStr">
        <is>
          <t>Bergvik skog väst AB</t>
        </is>
      </c>
      <c r="G130" t="n">
        <v>2</v>
      </c>
      <c r="H130" t="n">
        <v>0</v>
      </c>
      <c r="I130" t="n">
        <v>0</v>
      </c>
      <c r="J130" t="n">
        <v>0</v>
      </c>
      <c r="K130" t="n">
        <v>0</v>
      </c>
      <c r="L130" t="n">
        <v>0</v>
      </c>
      <c r="M130" t="n">
        <v>0</v>
      </c>
      <c r="N130" t="n">
        <v>0</v>
      </c>
      <c r="O130" t="n">
        <v>0</v>
      </c>
      <c r="P130" t="n">
        <v>0</v>
      </c>
      <c r="Q130" t="n">
        <v>0</v>
      </c>
      <c r="R130" s="2" t="inlineStr"/>
    </row>
    <row r="131" ht="15" customHeight="1">
      <c r="A131" t="inlineStr">
        <is>
          <t>A 49719-2020</t>
        </is>
      </c>
      <c r="B131" s="1" t="n">
        <v>44106</v>
      </c>
      <c r="C131" s="1" t="n">
        <v>45742</v>
      </c>
      <c r="D131" t="inlineStr">
        <is>
          <t>ÖREBRO LÄN</t>
        </is>
      </c>
      <c r="E131" t="inlineStr">
        <is>
          <t>HÄLLEFORS</t>
        </is>
      </c>
      <c r="F131" t="inlineStr">
        <is>
          <t>Bergvik skog väst AB</t>
        </is>
      </c>
      <c r="G131" t="n">
        <v>2.1</v>
      </c>
      <c r="H131" t="n">
        <v>0</v>
      </c>
      <c r="I131" t="n">
        <v>0</v>
      </c>
      <c r="J131" t="n">
        <v>0</v>
      </c>
      <c r="K131" t="n">
        <v>0</v>
      </c>
      <c r="L131" t="n">
        <v>0</v>
      </c>
      <c r="M131" t="n">
        <v>0</v>
      </c>
      <c r="N131" t="n">
        <v>0</v>
      </c>
      <c r="O131" t="n">
        <v>0</v>
      </c>
      <c r="P131" t="n">
        <v>0</v>
      </c>
      <c r="Q131" t="n">
        <v>0</v>
      </c>
      <c r="R131" s="2" t="inlineStr"/>
    </row>
    <row r="132" ht="15" customHeight="1">
      <c r="A132" t="inlineStr">
        <is>
          <t>A 49642-2020</t>
        </is>
      </c>
      <c r="B132" s="1" t="n">
        <v>44106</v>
      </c>
      <c r="C132" s="1" t="n">
        <v>45742</v>
      </c>
      <c r="D132" t="inlineStr">
        <is>
          <t>ÖREBRO LÄN</t>
        </is>
      </c>
      <c r="E132" t="inlineStr">
        <is>
          <t>HÄLLEFORS</t>
        </is>
      </c>
      <c r="F132" t="inlineStr">
        <is>
          <t>Bergvik skog väst AB</t>
        </is>
      </c>
      <c r="G132" t="n">
        <v>3.9</v>
      </c>
      <c r="H132" t="n">
        <v>0</v>
      </c>
      <c r="I132" t="n">
        <v>0</v>
      </c>
      <c r="J132" t="n">
        <v>0</v>
      </c>
      <c r="K132" t="n">
        <v>0</v>
      </c>
      <c r="L132" t="n">
        <v>0</v>
      </c>
      <c r="M132" t="n">
        <v>0</v>
      </c>
      <c r="N132" t="n">
        <v>0</v>
      </c>
      <c r="O132" t="n">
        <v>0</v>
      </c>
      <c r="P132" t="n">
        <v>0</v>
      </c>
      <c r="Q132" t="n">
        <v>0</v>
      </c>
      <c r="R132" s="2" t="inlineStr"/>
    </row>
    <row r="133" ht="15" customHeight="1">
      <c r="A133" t="inlineStr">
        <is>
          <t>A 49650-2020</t>
        </is>
      </c>
      <c r="B133" s="1" t="n">
        <v>44106</v>
      </c>
      <c r="C133" s="1" t="n">
        <v>45742</v>
      </c>
      <c r="D133" t="inlineStr">
        <is>
          <t>ÖREBRO LÄN</t>
        </is>
      </c>
      <c r="E133" t="inlineStr">
        <is>
          <t>HÄLLEFORS</t>
        </is>
      </c>
      <c r="F133" t="inlineStr">
        <is>
          <t>Bergvik skog väst AB</t>
        </is>
      </c>
      <c r="G133" t="n">
        <v>1.2</v>
      </c>
      <c r="H133" t="n">
        <v>0</v>
      </c>
      <c r="I133" t="n">
        <v>0</v>
      </c>
      <c r="J133" t="n">
        <v>0</v>
      </c>
      <c r="K133" t="n">
        <v>0</v>
      </c>
      <c r="L133" t="n">
        <v>0</v>
      </c>
      <c r="M133" t="n">
        <v>0</v>
      </c>
      <c r="N133" t="n">
        <v>0</v>
      </c>
      <c r="O133" t="n">
        <v>0</v>
      </c>
      <c r="P133" t="n">
        <v>0</v>
      </c>
      <c r="Q133" t="n">
        <v>0</v>
      </c>
      <c r="R133" s="2" t="inlineStr"/>
    </row>
    <row r="134" ht="15" customHeight="1">
      <c r="A134" t="inlineStr">
        <is>
          <t>A 49882-2020</t>
        </is>
      </c>
      <c r="B134" s="1" t="n">
        <v>44108</v>
      </c>
      <c r="C134" s="1" t="n">
        <v>45742</v>
      </c>
      <c r="D134" t="inlineStr">
        <is>
          <t>ÖREBRO LÄN</t>
        </is>
      </c>
      <c r="E134" t="inlineStr">
        <is>
          <t>HÄLLEFORS</t>
        </is>
      </c>
      <c r="G134" t="n">
        <v>1.7</v>
      </c>
      <c r="H134" t="n">
        <v>0</v>
      </c>
      <c r="I134" t="n">
        <v>0</v>
      </c>
      <c r="J134" t="n">
        <v>0</v>
      </c>
      <c r="K134" t="n">
        <v>0</v>
      </c>
      <c r="L134" t="n">
        <v>0</v>
      </c>
      <c r="M134" t="n">
        <v>0</v>
      </c>
      <c r="N134" t="n">
        <v>0</v>
      </c>
      <c r="O134" t="n">
        <v>0</v>
      </c>
      <c r="P134" t="n">
        <v>0</v>
      </c>
      <c r="Q134" t="n">
        <v>0</v>
      </c>
      <c r="R134" s="2" t="inlineStr"/>
    </row>
    <row r="135" ht="15" customHeight="1">
      <c r="A135" t="inlineStr">
        <is>
          <t>A 50345-2020</t>
        </is>
      </c>
      <c r="B135" s="1" t="n">
        <v>44110</v>
      </c>
      <c r="C135" s="1" t="n">
        <v>45742</v>
      </c>
      <c r="D135" t="inlineStr">
        <is>
          <t>ÖREBRO LÄN</t>
        </is>
      </c>
      <c r="E135" t="inlineStr">
        <is>
          <t>HÄLLEFORS</t>
        </is>
      </c>
      <c r="F135" t="inlineStr">
        <is>
          <t>Bergvik skog väst AB</t>
        </is>
      </c>
      <c r="G135" t="n">
        <v>4</v>
      </c>
      <c r="H135" t="n">
        <v>0</v>
      </c>
      <c r="I135" t="n">
        <v>0</v>
      </c>
      <c r="J135" t="n">
        <v>0</v>
      </c>
      <c r="K135" t="n">
        <v>0</v>
      </c>
      <c r="L135" t="n">
        <v>0</v>
      </c>
      <c r="M135" t="n">
        <v>0</v>
      </c>
      <c r="N135" t="n">
        <v>0</v>
      </c>
      <c r="O135" t="n">
        <v>0</v>
      </c>
      <c r="P135" t="n">
        <v>0</v>
      </c>
      <c r="Q135" t="n">
        <v>0</v>
      </c>
      <c r="R135" s="2" t="inlineStr"/>
    </row>
    <row r="136" ht="15" customHeight="1">
      <c r="A136" t="inlineStr">
        <is>
          <t>A 58534-2020</t>
        </is>
      </c>
      <c r="B136" s="1" t="n">
        <v>44145</v>
      </c>
      <c r="C136" s="1" t="n">
        <v>45742</v>
      </c>
      <c r="D136" t="inlineStr">
        <is>
          <t>ÖREBRO LÄN</t>
        </is>
      </c>
      <c r="E136" t="inlineStr">
        <is>
          <t>HÄLLEFORS</t>
        </is>
      </c>
      <c r="G136" t="n">
        <v>3.1</v>
      </c>
      <c r="H136" t="n">
        <v>0</v>
      </c>
      <c r="I136" t="n">
        <v>0</v>
      </c>
      <c r="J136" t="n">
        <v>0</v>
      </c>
      <c r="K136" t="n">
        <v>0</v>
      </c>
      <c r="L136" t="n">
        <v>0</v>
      </c>
      <c r="M136" t="n">
        <v>0</v>
      </c>
      <c r="N136" t="n">
        <v>0</v>
      </c>
      <c r="O136" t="n">
        <v>0</v>
      </c>
      <c r="P136" t="n">
        <v>0</v>
      </c>
      <c r="Q136" t="n">
        <v>0</v>
      </c>
      <c r="R136" s="2" t="inlineStr"/>
    </row>
    <row r="137" ht="15" customHeight="1">
      <c r="A137" t="inlineStr">
        <is>
          <t>A 58756-2020</t>
        </is>
      </c>
      <c r="B137" s="1" t="n">
        <v>44146</v>
      </c>
      <c r="C137" s="1" t="n">
        <v>45742</v>
      </c>
      <c r="D137" t="inlineStr">
        <is>
          <t>ÖREBRO LÄN</t>
        </is>
      </c>
      <c r="E137" t="inlineStr">
        <is>
          <t>HÄLLEFORS</t>
        </is>
      </c>
      <c r="F137" t="inlineStr">
        <is>
          <t>Sveaskog</t>
        </is>
      </c>
      <c r="G137" t="n">
        <v>2</v>
      </c>
      <c r="H137" t="n">
        <v>0</v>
      </c>
      <c r="I137" t="n">
        <v>0</v>
      </c>
      <c r="J137" t="n">
        <v>0</v>
      </c>
      <c r="K137" t="n">
        <v>0</v>
      </c>
      <c r="L137" t="n">
        <v>0</v>
      </c>
      <c r="M137" t="n">
        <v>0</v>
      </c>
      <c r="N137" t="n">
        <v>0</v>
      </c>
      <c r="O137" t="n">
        <v>0</v>
      </c>
      <c r="P137" t="n">
        <v>0</v>
      </c>
      <c r="Q137" t="n">
        <v>0</v>
      </c>
      <c r="R137" s="2" t="inlineStr"/>
      <c r="U137">
        <f>HYPERLINK("https://klasma.github.io/Logging_1863/knärot/A 58756-2020 karta knärot.png", "A 58756-2020")</f>
        <v/>
      </c>
      <c r="V137">
        <f>HYPERLINK("https://klasma.github.io/Logging_1863/klagomål/A 58756-2020 FSC-klagomål.docx", "A 58756-2020")</f>
        <v/>
      </c>
      <c r="W137">
        <f>HYPERLINK("https://klasma.github.io/Logging_1863/klagomålsmail/A 58756-2020 FSC-klagomål mail.docx", "A 58756-2020")</f>
        <v/>
      </c>
      <c r="X137">
        <f>HYPERLINK("https://klasma.github.io/Logging_1863/tillsyn/A 58756-2020 tillsynsbegäran.docx", "A 58756-2020")</f>
        <v/>
      </c>
      <c r="Y137">
        <f>HYPERLINK("https://klasma.github.io/Logging_1863/tillsynsmail/A 58756-2020 tillsynsbegäran mail.docx", "A 58756-2020")</f>
        <v/>
      </c>
    </row>
    <row r="138" ht="15" customHeight="1">
      <c r="A138" t="inlineStr">
        <is>
          <t>A 59294-2020</t>
        </is>
      </c>
      <c r="B138" s="1" t="n">
        <v>44147</v>
      </c>
      <c r="C138" s="1" t="n">
        <v>45742</v>
      </c>
      <c r="D138" t="inlineStr">
        <is>
          <t>ÖREBRO LÄN</t>
        </is>
      </c>
      <c r="E138" t="inlineStr">
        <is>
          <t>HÄLLEFORS</t>
        </is>
      </c>
      <c r="F138" t="inlineStr">
        <is>
          <t>Kyrkan</t>
        </is>
      </c>
      <c r="G138" t="n">
        <v>10.2</v>
      </c>
      <c r="H138" t="n">
        <v>0</v>
      </c>
      <c r="I138" t="n">
        <v>0</v>
      </c>
      <c r="J138" t="n">
        <v>0</v>
      </c>
      <c r="K138" t="n">
        <v>0</v>
      </c>
      <c r="L138" t="n">
        <v>0</v>
      </c>
      <c r="M138" t="n">
        <v>0</v>
      </c>
      <c r="N138" t="n">
        <v>0</v>
      </c>
      <c r="O138" t="n">
        <v>0</v>
      </c>
      <c r="P138" t="n">
        <v>0</v>
      </c>
      <c r="Q138" t="n">
        <v>0</v>
      </c>
      <c r="R138" s="2" t="inlineStr"/>
    </row>
    <row r="139" ht="15" customHeight="1">
      <c r="A139" t="inlineStr">
        <is>
          <t>A 59298-2020</t>
        </is>
      </c>
      <c r="B139" s="1" t="n">
        <v>44147</v>
      </c>
      <c r="C139" s="1" t="n">
        <v>45742</v>
      </c>
      <c r="D139" t="inlineStr">
        <is>
          <t>ÖREBRO LÄN</t>
        </is>
      </c>
      <c r="E139" t="inlineStr">
        <is>
          <t>HÄLLEFORS</t>
        </is>
      </c>
      <c r="F139" t="inlineStr">
        <is>
          <t>Kyrkan</t>
        </is>
      </c>
      <c r="G139" t="n">
        <v>5.2</v>
      </c>
      <c r="H139" t="n">
        <v>0</v>
      </c>
      <c r="I139" t="n">
        <v>0</v>
      </c>
      <c r="J139" t="n">
        <v>0</v>
      </c>
      <c r="K139" t="n">
        <v>0</v>
      </c>
      <c r="L139" t="n">
        <v>0</v>
      </c>
      <c r="M139" t="n">
        <v>0</v>
      </c>
      <c r="N139" t="n">
        <v>0</v>
      </c>
      <c r="O139" t="n">
        <v>0</v>
      </c>
      <c r="P139" t="n">
        <v>0</v>
      </c>
      <c r="Q139" t="n">
        <v>0</v>
      </c>
      <c r="R139" s="2" t="inlineStr"/>
    </row>
    <row r="140" ht="15" customHeight="1">
      <c r="A140" t="inlineStr">
        <is>
          <t>A 59601-2020</t>
        </is>
      </c>
      <c r="B140" s="1" t="n">
        <v>44149</v>
      </c>
      <c r="C140" s="1" t="n">
        <v>45742</v>
      </c>
      <c r="D140" t="inlineStr">
        <is>
          <t>ÖREBRO LÄN</t>
        </is>
      </c>
      <c r="E140" t="inlineStr">
        <is>
          <t>HÄLLEFORS</t>
        </is>
      </c>
      <c r="G140" t="n">
        <v>5.8</v>
      </c>
      <c r="H140" t="n">
        <v>0</v>
      </c>
      <c r="I140" t="n">
        <v>0</v>
      </c>
      <c r="J140" t="n">
        <v>0</v>
      </c>
      <c r="K140" t="n">
        <v>0</v>
      </c>
      <c r="L140" t="n">
        <v>0</v>
      </c>
      <c r="M140" t="n">
        <v>0</v>
      </c>
      <c r="N140" t="n">
        <v>0</v>
      </c>
      <c r="O140" t="n">
        <v>0</v>
      </c>
      <c r="P140" t="n">
        <v>0</v>
      </c>
      <c r="Q140" t="n">
        <v>0</v>
      </c>
      <c r="R140" s="2" t="inlineStr"/>
    </row>
    <row r="141" ht="15" customHeight="1">
      <c r="A141" t="inlineStr">
        <is>
          <t>A 60724-2020</t>
        </is>
      </c>
      <c r="B141" s="1" t="n">
        <v>44153</v>
      </c>
      <c r="C141" s="1" t="n">
        <v>45742</v>
      </c>
      <c r="D141" t="inlineStr">
        <is>
          <t>ÖREBRO LÄN</t>
        </is>
      </c>
      <c r="E141" t="inlineStr">
        <is>
          <t>HÄLLEFORS</t>
        </is>
      </c>
      <c r="F141" t="inlineStr">
        <is>
          <t>Kyrkan</t>
        </is>
      </c>
      <c r="G141" t="n">
        <v>2.1</v>
      </c>
      <c r="H141" t="n">
        <v>0</v>
      </c>
      <c r="I141" t="n">
        <v>0</v>
      </c>
      <c r="J141" t="n">
        <v>0</v>
      </c>
      <c r="K141" t="n">
        <v>0</v>
      </c>
      <c r="L141" t="n">
        <v>0</v>
      </c>
      <c r="M141" t="n">
        <v>0</v>
      </c>
      <c r="N141" t="n">
        <v>0</v>
      </c>
      <c r="O141" t="n">
        <v>0</v>
      </c>
      <c r="P141" t="n">
        <v>0</v>
      </c>
      <c r="Q141" t="n">
        <v>0</v>
      </c>
      <c r="R141" s="2" t="inlineStr"/>
    </row>
    <row r="142" ht="15" customHeight="1">
      <c r="A142" t="inlineStr">
        <is>
          <t>A 62454-2020</t>
        </is>
      </c>
      <c r="B142" s="1" t="n">
        <v>44160</v>
      </c>
      <c r="C142" s="1" t="n">
        <v>45742</v>
      </c>
      <c r="D142" t="inlineStr">
        <is>
          <t>ÖREBRO LÄN</t>
        </is>
      </c>
      <c r="E142" t="inlineStr">
        <is>
          <t>HÄLLEFORS</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62455-2020</t>
        </is>
      </c>
      <c r="B143" s="1" t="n">
        <v>44160</v>
      </c>
      <c r="C143" s="1" t="n">
        <v>45742</v>
      </c>
      <c r="D143" t="inlineStr">
        <is>
          <t>ÖREBRO LÄN</t>
        </is>
      </c>
      <c r="E143" t="inlineStr">
        <is>
          <t>HÄLLEFORS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62591-2020</t>
        </is>
      </c>
      <c r="B144" s="1" t="n">
        <v>44161</v>
      </c>
      <c r="C144" s="1" t="n">
        <v>45742</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62803-2020</t>
        </is>
      </c>
      <c r="B145" s="1" t="n">
        <v>44161</v>
      </c>
      <c r="C145" s="1" t="n">
        <v>45742</v>
      </c>
      <c r="D145" t="inlineStr">
        <is>
          <t>ÖREBRO LÄN</t>
        </is>
      </c>
      <c r="E145" t="inlineStr">
        <is>
          <t>HÄLLEFORS</t>
        </is>
      </c>
      <c r="F145" t="inlineStr">
        <is>
          <t>Kyrkan</t>
        </is>
      </c>
      <c r="G145" t="n">
        <v>0.7</v>
      </c>
      <c r="H145" t="n">
        <v>0</v>
      </c>
      <c r="I145" t="n">
        <v>0</v>
      </c>
      <c r="J145" t="n">
        <v>0</v>
      </c>
      <c r="K145" t="n">
        <v>0</v>
      </c>
      <c r="L145" t="n">
        <v>0</v>
      </c>
      <c r="M145" t="n">
        <v>0</v>
      </c>
      <c r="N145" t="n">
        <v>0</v>
      </c>
      <c r="O145" t="n">
        <v>0</v>
      </c>
      <c r="P145" t="n">
        <v>0</v>
      </c>
      <c r="Q145" t="n">
        <v>0</v>
      </c>
      <c r="R145" s="2" t="inlineStr"/>
    </row>
    <row r="146" ht="15" customHeight="1">
      <c r="A146" t="inlineStr">
        <is>
          <t>A 65861-2020</t>
        </is>
      </c>
      <c r="B146" s="1" t="n">
        <v>44174</v>
      </c>
      <c r="C146" s="1" t="n">
        <v>45742</v>
      </c>
      <c r="D146" t="inlineStr">
        <is>
          <t>ÖREBRO LÄN</t>
        </is>
      </c>
      <c r="E146" t="inlineStr">
        <is>
          <t>HÄLLEFORS</t>
        </is>
      </c>
      <c r="G146" t="n">
        <v>3.6</v>
      </c>
      <c r="H146" t="n">
        <v>0</v>
      </c>
      <c r="I146" t="n">
        <v>0</v>
      </c>
      <c r="J146" t="n">
        <v>0</v>
      </c>
      <c r="K146" t="n">
        <v>0</v>
      </c>
      <c r="L146" t="n">
        <v>0</v>
      </c>
      <c r="M146" t="n">
        <v>0</v>
      </c>
      <c r="N146" t="n">
        <v>0</v>
      </c>
      <c r="O146" t="n">
        <v>0</v>
      </c>
      <c r="P146" t="n">
        <v>0</v>
      </c>
      <c r="Q146" t="n">
        <v>0</v>
      </c>
      <c r="R146" s="2" t="inlineStr"/>
    </row>
    <row r="147" ht="15" customHeight="1">
      <c r="A147" t="inlineStr">
        <is>
          <t>A 65856-2020</t>
        </is>
      </c>
      <c r="B147" s="1" t="n">
        <v>44174</v>
      </c>
      <c r="C147" s="1" t="n">
        <v>45742</v>
      </c>
      <c r="D147" t="inlineStr">
        <is>
          <t>ÖREBRO LÄN</t>
        </is>
      </c>
      <c r="E147" t="inlineStr">
        <is>
          <t>HÄLLEFORS</t>
        </is>
      </c>
      <c r="G147" t="n">
        <v>1</v>
      </c>
      <c r="H147" t="n">
        <v>0</v>
      </c>
      <c r="I147" t="n">
        <v>0</v>
      </c>
      <c r="J147" t="n">
        <v>0</v>
      </c>
      <c r="K147" t="n">
        <v>0</v>
      </c>
      <c r="L147" t="n">
        <v>0</v>
      </c>
      <c r="M147" t="n">
        <v>0</v>
      </c>
      <c r="N147" t="n">
        <v>0</v>
      </c>
      <c r="O147" t="n">
        <v>0</v>
      </c>
      <c r="P147" t="n">
        <v>0</v>
      </c>
      <c r="Q147" t="n">
        <v>0</v>
      </c>
      <c r="R147" s="2" t="inlineStr"/>
    </row>
    <row r="148" ht="15" customHeight="1">
      <c r="A148" t="inlineStr">
        <is>
          <t>A 66151-2020</t>
        </is>
      </c>
      <c r="B148" s="1" t="n">
        <v>44175</v>
      </c>
      <c r="C148" s="1" t="n">
        <v>45742</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67446-2020</t>
        </is>
      </c>
      <c r="B149" s="1" t="n">
        <v>44181</v>
      </c>
      <c r="C149" s="1" t="n">
        <v>45742</v>
      </c>
      <c r="D149" t="inlineStr">
        <is>
          <t>ÖREBRO LÄN</t>
        </is>
      </c>
      <c r="E149" t="inlineStr">
        <is>
          <t>HÄLLEFORS</t>
        </is>
      </c>
      <c r="F149" t="inlineStr">
        <is>
          <t>Bergvik skog väst AB</t>
        </is>
      </c>
      <c r="G149" t="n">
        <v>6.7</v>
      </c>
      <c r="H149" t="n">
        <v>0</v>
      </c>
      <c r="I149" t="n">
        <v>0</v>
      </c>
      <c r="J149" t="n">
        <v>0</v>
      </c>
      <c r="K149" t="n">
        <v>0</v>
      </c>
      <c r="L149" t="n">
        <v>0</v>
      </c>
      <c r="M149" t="n">
        <v>0</v>
      </c>
      <c r="N149" t="n">
        <v>0</v>
      </c>
      <c r="O149" t="n">
        <v>0</v>
      </c>
      <c r="P149" t="n">
        <v>0</v>
      </c>
      <c r="Q149" t="n">
        <v>0</v>
      </c>
      <c r="R149" s="2" t="inlineStr"/>
    </row>
    <row r="150" ht="15" customHeight="1">
      <c r="A150" t="inlineStr">
        <is>
          <t>A 3619-2021</t>
        </is>
      </c>
      <c r="B150" s="1" t="n">
        <v>44221</v>
      </c>
      <c r="C150" s="1" t="n">
        <v>45742</v>
      </c>
      <c r="D150" t="inlineStr">
        <is>
          <t>ÖREBRO LÄN</t>
        </is>
      </c>
      <c r="E150" t="inlineStr">
        <is>
          <t>HÄLLEFORS</t>
        </is>
      </c>
      <c r="F150" t="inlineStr">
        <is>
          <t>Kyrkan</t>
        </is>
      </c>
      <c r="G150" t="n">
        <v>0.6</v>
      </c>
      <c r="H150" t="n">
        <v>0</v>
      </c>
      <c r="I150" t="n">
        <v>0</v>
      </c>
      <c r="J150" t="n">
        <v>0</v>
      </c>
      <c r="K150" t="n">
        <v>0</v>
      </c>
      <c r="L150" t="n">
        <v>0</v>
      </c>
      <c r="M150" t="n">
        <v>0</v>
      </c>
      <c r="N150" t="n">
        <v>0</v>
      </c>
      <c r="O150" t="n">
        <v>0</v>
      </c>
      <c r="P150" t="n">
        <v>0</v>
      </c>
      <c r="Q150" t="n">
        <v>0</v>
      </c>
      <c r="R150" s="2" t="inlineStr"/>
    </row>
    <row r="151" ht="15" customHeight="1">
      <c r="A151" t="inlineStr">
        <is>
          <t>A 7123-2021</t>
        </is>
      </c>
      <c r="B151" s="1" t="n">
        <v>44238</v>
      </c>
      <c r="C151" s="1" t="n">
        <v>45742</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10083-2021</t>
        </is>
      </c>
      <c r="B152" s="1" t="n">
        <v>44256</v>
      </c>
      <c r="C152" s="1" t="n">
        <v>45742</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11002-2021</t>
        </is>
      </c>
      <c r="B153" s="1" t="n">
        <v>44260</v>
      </c>
      <c r="C153" s="1" t="n">
        <v>45742</v>
      </c>
      <c r="D153" t="inlineStr">
        <is>
          <t>ÖREBRO LÄN</t>
        </is>
      </c>
      <c r="E153" t="inlineStr">
        <is>
          <t>HÄLLEFORS</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11044-2021</t>
        </is>
      </c>
      <c r="B154" s="1" t="n">
        <v>44260</v>
      </c>
      <c r="C154" s="1" t="n">
        <v>45742</v>
      </c>
      <c r="D154" t="inlineStr">
        <is>
          <t>ÖREBRO LÄN</t>
        </is>
      </c>
      <c r="E154" t="inlineStr">
        <is>
          <t>HÄLLEFORS</t>
        </is>
      </c>
      <c r="F154" t="inlineStr">
        <is>
          <t>Kyrkan</t>
        </is>
      </c>
      <c r="G154" t="n">
        <v>3.6</v>
      </c>
      <c r="H154" t="n">
        <v>0</v>
      </c>
      <c r="I154" t="n">
        <v>0</v>
      </c>
      <c r="J154" t="n">
        <v>0</v>
      </c>
      <c r="K154" t="n">
        <v>0</v>
      </c>
      <c r="L154" t="n">
        <v>0</v>
      </c>
      <c r="M154" t="n">
        <v>0</v>
      </c>
      <c r="N154" t="n">
        <v>0</v>
      </c>
      <c r="O154" t="n">
        <v>0</v>
      </c>
      <c r="P154" t="n">
        <v>0</v>
      </c>
      <c r="Q154" t="n">
        <v>0</v>
      </c>
      <c r="R154" s="2" t="inlineStr"/>
    </row>
    <row r="155" ht="15" customHeight="1">
      <c r="A155" t="inlineStr">
        <is>
          <t>A 10976-2021</t>
        </is>
      </c>
      <c r="B155" s="1" t="n">
        <v>44260</v>
      </c>
      <c r="C155" s="1" t="n">
        <v>45742</v>
      </c>
      <c r="D155" t="inlineStr">
        <is>
          <t>ÖREBRO LÄN</t>
        </is>
      </c>
      <c r="E155" t="inlineStr">
        <is>
          <t>HÄLLEFORS</t>
        </is>
      </c>
      <c r="G155" t="n">
        <v>1.9</v>
      </c>
      <c r="H155" t="n">
        <v>0</v>
      </c>
      <c r="I155" t="n">
        <v>0</v>
      </c>
      <c r="J155" t="n">
        <v>0</v>
      </c>
      <c r="K155" t="n">
        <v>0</v>
      </c>
      <c r="L155" t="n">
        <v>0</v>
      </c>
      <c r="M155" t="n">
        <v>0</v>
      </c>
      <c r="N155" t="n">
        <v>0</v>
      </c>
      <c r="O155" t="n">
        <v>0</v>
      </c>
      <c r="P155" t="n">
        <v>0</v>
      </c>
      <c r="Q155" t="n">
        <v>0</v>
      </c>
      <c r="R155" s="2" t="inlineStr"/>
    </row>
    <row r="156" ht="15" customHeight="1">
      <c r="A156" t="inlineStr">
        <is>
          <t>A 11571-2021</t>
        </is>
      </c>
      <c r="B156" s="1" t="n">
        <v>44264</v>
      </c>
      <c r="C156" s="1" t="n">
        <v>45742</v>
      </c>
      <c r="D156" t="inlineStr">
        <is>
          <t>ÖREBRO LÄN</t>
        </is>
      </c>
      <c r="E156" t="inlineStr">
        <is>
          <t>HÄLLEFORS</t>
        </is>
      </c>
      <c r="G156" t="n">
        <v>0.6</v>
      </c>
      <c r="H156" t="n">
        <v>0</v>
      </c>
      <c r="I156" t="n">
        <v>0</v>
      </c>
      <c r="J156" t="n">
        <v>0</v>
      </c>
      <c r="K156" t="n">
        <v>0</v>
      </c>
      <c r="L156" t="n">
        <v>0</v>
      </c>
      <c r="M156" t="n">
        <v>0</v>
      </c>
      <c r="N156" t="n">
        <v>0</v>
      </c>
      <c r="O156" t="n">
        <v>0</v>
      </c>
      <c r="P156" t="n">
        <v>0</v>
      </c>
      <c r="Q156" t="n">
        <v>0</v>
      </c>
      <c r="R156" s="2" t="inlineStr"/>
    </row>
    <row r="157" ht="15" customHeight="1">
      <c r="A157" t="inlineStr">
        <is>
          <t>A 12127-2021</t>
        </is>
      </c>
      <c r="B157" s="1" t="n">
        <v>44266</v>
      </c>
      <c r="C157" s="1" t="n">
        <v>45742</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12339-2021</t>
        </is>
      </c>
      <c r="B158" s="1" t="n">
        <v>44267</v>
      </c>
      <c r="C158" s="1" t="n">
        <v>45742</v>
      </c>
      <c r="D158" t="inlineStr">
        <is>
          <t>ÖREBRO LÄN</t>
        </is>
      </c>
      <c r="E158" t="inlineStr">
        <is>
          <t>HÄLLEFORS</t>
        </is>
      </c>
      <c r="F158" t="inlineStr">
        <is>
          <t>Bergvik skog väst AB</t>
        </is>
      </c>
      <c r="G158" t="n">
        <v>7.6</v>
      </c>
      <c r="H158" t="n">
        <v>0</v>
      </c>
      <c r="I158" t="n">
        <v>0</v>
      </c>
      <c r="J158" t="n">
        <v>0</v>
      </c>
      <c r="K158" t="n">
        <v>0</v>
      </c>
      <c r="L158" t="n">
        <v>0</v>
      </c>
      <c r="M158" t="n">
        <v>0</v>
      </c>
      <c r="N158" t="n">
        <v>0</v>
      </c>
      <c r="O158" t="n">
        <v>0</v>
      </c>
      <c r="P158" t="n">
        <v>0</v>
      </c>
      <c r="Q158" t="n">
        <v>0</v>
      </c>
      <c r="R158" s="2" t="inlineStr"/>
    </row>
    <row r="159" ht="15" customHeight="1">
      <c r="A159" t="inlineStr">
        <is>
          <t>A 12966-2021</t>
        </is>
      </c>
      <c r="B159" s="1" t="n">
        <v>44271</v>
      </c>
      <c r="C159" s="1" t="n">
        <v>45742</v>
      </c>
      <c r="D159" t="inlineStr">
        <is>
          <t>ÖREBRO LÄN</t>
        </is>
      </c>
      <c r="E159" t="inlineStr">
        <is>
          <t>HÄLLEFORS</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13347-2021</t>
        </is>
      </c>
      <c r="B160" s="1" t="n">
        <v>44273</v>
      </c>
      <c r="C160" s="1" t="n">
        <v>45742</v>
      </c>
      <c r="D160" t="inlineStr">
        <is>
          <t>ÖREBRO LÄN</t>
        </is>
      </c>
      <c r="E160" t="inlineStr">
        <is>
          <t>HÄLLEFORS</t>
        </is>
      </c>
      <c r="F160" t="inlineStr">
        <is>
          <t>Bergvik skog väst AB</t>
        </is>
      </c>
      <c r="G160" t="n">
        <v>10.9</v>
      </c>
      <c r="H160" t="n">
        <v>0</v>
      </c>
      <c r="I160" t="n">
        <v>0</v>
      </c>
      <c r="J160" t="n">
        <v>0</v>
      </c>
      <c r="K160" t="n">
        <v>0</v>
      </c>
      <c r="L160" t="n">
        <v>0</v>
      </c>
      <c r="M160" t="n">
        <v>0</v>
      </c>
      <c r="N160" t="n">
        <v>0</v>
      </c>
      <c r="O160" t="n">
        <v>0</v>
      </c>
      <c r="P160" t="n">
        <v>0</v>
      </c>
      <c r="Q160" t="n">
        <v>0</v>
      </c>
      <c r="R160" s="2" t="inlineStr"/>
    </row>
    <row r="161" ht="15" customHeight="1">
      <c r="A161" t="inlineStr">
        <is>
          <t>A 15799-2021</t>
        </is>
      </c>
      <c r="B161" s="1" t="n">
        <v>44286</v>
      </c>
      <c r="C161" s="1" t="n">
        <v>45742</v>
      </c>
      <c r="D161" t="inlineStr">
        <is>
          <t>ÖREBRO LÄN</t>
        </is>
      </c>
      <c r="E161" t="inlineStr">
        <is>
          <t>HÄLLEFORS</t>
        </is>
      </c>
      <c r="G161" t="n">
        <v>0.7</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45742</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20071-2021</t>
        </is>
      </c>
      <c r="B163" s="1" t="n">
        <v>44314</v>
      </c>
      <c r="C163" s="1" t="n">
        <v>45742</v>
      </c>
      <c r="D163" t="inlineStr">
        <is>
          <t>ÖREBRO LÄN</t>
        </is>
      </c>
      <c r="E163" t="inlineStr">
        <is>
          <t>HÄLLEFORS</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20072-2021</t>
        </is>
      </c>
      <c r="B164" s="1" t="n">
        <v>44314</v>
      </c>
      <c r="C164" s="1" t="n">
        <v>45742</v>
      </c>
      <c r="D164" t="inlineStr">
        <is>
          <t>ÖREBRO LÄN</t>
        </is>
      </c>
      <c r="E164" t="inlineStr">
        <is>
          <t>HÄLLEFORS</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20070-2021</t>
        </is>
      </c>
      <c r="B165" s="1" t="n">
        <v>44314</v>
      </c>
      <c r="C165" s="1" t="n">
        <v>45742</v>
      </c>
      <c r="D165" t="inlineStr">
        <is>
          <t>ÖREBRO LÄN</t>
        </is>
      </c>
      <c r="E165" t="inlineStr">
        <is>
          <t>HÄLLEFORS</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20238-2021</t>
        </is>
      </c>
      <c r="B166" s="1" t="n">
        <v>44314</v>
      </c>
      <c r="C166" s="1" t="n">
        <v>45742</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20244-2021</t>
        </is>
      </c>
      <c r="B167" s="1" t="n">
        <v>44314</v>
      </c>
      <c r="C167" s="1" t="n">
        <v>45742</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22053-2021</t>
        </is>
      </c>
      <c r="B168" s="1" t="n">
        <v>44323</v>
      </c>
      <c r="C168" s="1" t="n">
        <v>45742</v>
      </c>
      <c r="D168" t="inlineStr">
        <is>
          <t>ÖREBRO LÄN</t>
        </is>
      </c>
      <c r="E168" t="inlineStr">
        <is>
          <t>HÄLLEFORS</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22819-2021</t>
        </is>
      </c>
      <c r="B169" s="1" t="n">
        <v>44328</v>
      </c>
      <c r="C169" s="1" t="n">
        <v>45742</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26527-2021</t>
        </is>
      </c>
      <c r="B170" s="1" t="n">
        <v>44348</v>
      </c>
      <c r="C170" s="1" t="n">
        <v>45742</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26537-2021</t>
        </is>
      </c>
      <c r="B171" s="1" t="n">
        <v>44348</v>
      </c>
      <c r="C171" s="1" t="n">
        <v>45742</v>
      </c>
      <c r="D171" t="inlineStr">
        <is>
          <t>ÖREBRO LÄN</t>
        </is>
      </c>
      <c r="E171" t="inlineStr">
        <is>
          <t>HÄLLEFORS</t>
        </is>
      </c>
      <c r="F171" t="inlineStr">
        <is>
          <t>Bergvik skog väst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27175-2021</t>
        </is>
      </c>
      <c r="B172" s="1" t="n">
        <v>44350</v>
      </c>
      <c r="C172" s="1" t="n">
        <v>45742</v>
      </c>
      <c r="D172" t="inlineStr">
        <is>
          <t>ÖREBRO LÄN</t>
        </is>
      </c>
      <c r="E172" t="inlineStr">
        <is>
          <t>HÄLLEFORS</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27513-2021</t>
        </is>
      </c>
      <c r="B173" s="1" t="n">
        <v>44351</v>
      </c>
      <c r="C173" s="1" t="n">
        <v>45742</v>
      </c>
      <c r="D173" t="inlineStr">
        <is>
          <t>ÖREBRO LÄN</t>
        </is>
      </c>
      <c r="E173" t="inlineStr">
        <is>
          <t>HÄLLEFORS</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28657-2021</t>
        </is>
      </c>
      <c r="B174" s="1" t="n">
        <v>44357</v>
      </c>
      <c r="C174" s="1" t="n">
        <v>45742</v>
      </c>
      <c r="D174" t="inlineStr">
        <is>
          <t>ÖREBRO LÄN</t>
        </is>
      </c>
      <c r="E174" t="inlineStr">
        <is>
          <t>HÄLLEFORS</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45742</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34893-2021</t>
        </is>
      </c>
      <c r="B176" s="1" t="n">
        <v>44383</v>
      </c>
      <c r="C176" s="1" t="n">
        <v>45742</v>
      </c>
      <c r="D176" t="inlineStr">
        <is>
          <t>ÖREBRO LÄN</t>
        </is>
      </c>
      <c r="E176" t="inlineStr">
        <is>
          <t>HÄLLEFORS</t>
        </is>
      </c>
      <c r="F176" t="inlineStr">
        <is>
          <t>Bergvik skog väst AB</t>
        </is>
      </c>
      <c r="G176" t="n">
        <v>11.1</v>
      </c>
      <c r="H176" t="n">
        <v>0</v>
      </c>
      <c r="I176" t="n">
        <v>0</v>
      </c>
      <c r="J176" t="n">
        <v>0</v>
      </c>
      <c r="K176" t="n">
        <v>0</v>
      </c>
      <c r="L176" t="n">
        <v>0</v>
      </c>
      <c r="M176" t="n">
        <v>0</v>
      </c>
      <c r="N176" t="n">
        <v>0</v>
      </c>
      <c r="O176" t="n">
        <v>0</v>
      </c>
      <c r="P176" t="n">
        <v>0</v>
      </c>
      <c r="Q176" t="n">
        <v>0</v>
      </c>
      <c r="R176" s="2" t="inlineStr"/>
    </row>
    <row r="177" ht="15" customHeight="1">
      <c r="A177" t="inlineStr">
        <is>
          <t>A 35594-2021</t>
        </is>
      </c>
      <c r="B177" s="1" t="n">
        <v>44386</v>
      </c>
      <c r="C177" s="1" t="n">
        <v>45742</v>
      </c>
      <c r="D177" t="inlineStr">
        <is>
          <t>ÖREBRO LÄN</t>
        </is>
      </c>
      <c r="E177" t="inlineStr">
        <is>
          <t>HÄLLEFORS</t>
        </is>
      </c>
      <c r="F177" t="inlineStr">
        <is>
          <t>Bergvik skog väst AB</t>
        </is>
      </c>
      <c r="G177" t="n">
        <v>0.2</v>
      </c>
      <c r="H177" t="n">
        <v>0</v>
      </c>
      <c r="I177" t="n">
        <v>0</v>
      </c>
      <c r="J177" t="n">
        <v>0</v>
      </c>
      <c r="K177" t="n">
        <v>0</v>
      </c>
      <c r="L177" t="n">
        <v>0</v>
      </c>
      <c r="M177" t="n">
        <v>0</v>
      </c>
      <c r="N177" t="n">
        <v>0</v>
      </c>
      <c r="O177" t="n">
        <v>0</v>
      </c>
      <c r="P177" t="n">
        <v>0</v>
      </c>
      <c r="Q177" t="n">
        <v>0</v>
      </c>
      <c r="R177" s="2" t="inlineStr"/>
    </row>
    <row r="178" ht="15" customHeight="1">
      <c r="A178" t="inlineStr">
        <is>
          <t>A 37028-2021</t>
        </is>
      </c>
      <c r="B178" s="1" t="n">
        <v>44393</v>
      </c>
      <c r="C178" s="1" t="n">
        <v>45742</v>
      </c>
      <c r="D178" t="inlineStr">
        <is>
          <t>ÖREBRO LÄN</t>
        </is>
      </c>
      <c r="E178" t="inlineStr">
        <is>
          <t>HÄLLEFORS</t>
        </is>
      </c>
      <c r="F178" t="inlineStr">
        <is>
          <t>Bergvik skog väst AB</t>
        </is>
      </c>
      <c r="G178" t="n">
        <v>3.1</v>
      </c>
      <c r="H178" t="n">
        <v>0</v>
      </c>
      <c r="I178" t="n">
        <v>0</v>
      </c>
      <c r="J178" t="n">
        <v>0</v>
      </c>
      <c r="K178" t="n">
        <v>0</v>
      </c>
      <c r="L178" t="n">
        <v>0</v>
      </c>
      <c r="M178" t="n">
        <v>0</v>
      </c>
      <c r="N178" t="n">
        <v>0</v>
      </c>
      <c r="O178" t="n">
        <v>0</v>
      </c>
      <c r="P178" t="n">
        <v>0</v>
      </c>
      <c r="Q178" t="n">
        <v>0</v>
      </c>
      <c r="R178" s="2" t="inlineStr"/>
    </row>
    <row r="179" ht="15" customHeight="1">
      <c r="A179" t="inlineStr">
        <is>
          <t>A 38908-2021</t>
        </is>
      </c>
      <c r="B179" s="1" t="n">
        <v>44411</v>
      </c>
      <c r="C179" s="1" t="n">
        <v>45742</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44322-2021</t>
        </is>
      </c>
      <c r="B180" s="1" t="n">
        <v>44435</v>
      </c>
      <c r="C180" s="1" t="n">
        <v>45742</v>
      </c>
      <c r="D180" t="inlineStr">
        <is>
          <t>ÖREBRO LÄN</t>
        </is>
      </c>
      <c r="E180" t="inlineStr">
        <is>
          <t>HÄLLEFORS</t>
        </is>
      </c>
      <c r="G180" t="n">
        <v>10.9</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v>
      </c>
      <c r="C181" s="1" t="n">
        <v>45742</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46114-2021</t>
        </is>
      </c>
      <c r="B182" s="1" t="n">
        <v>44442</v>
      </c>
      <c r="C182" s="1" t="n">
        <v>45742</v>
      </c>
      <c r="D182" t="inlineStr">
        <is>
          <t>ÖREBRO LÄN</t>
        </is>
      </c>
      <c r="E182" t="inlineStr">
        <is>
          <t>HÄLLEFORS</t>
        </is>
      </c>
      <c r="F182" t="inlineStr">
        <is>
          <t>Sveaskog</t>
        </is>
      </c>
      <c r="G182" t="n">
        <v>4.1</v>
      </c>
      <c r="H182" t="n">
        <v>0</v>
      </c>
      <c r="I182" t="n">
        <v>0</v>
      </c>
      <c r="J182" t="n">
        <v>0</v>
      </c>
      <c r="K182" t="n">
        <v>0</v>
      </c>
      <c r="L182" t="n">
        <v>0</v>
      </c>
      <c r="M182" t="n">
        <v>0</v>
      </c>
      <c r="N182" t="n">
        <v>0</v>
      </c>
      <c r="O182" t="n">
        <v>0</v>
      </c>
      <c r="P182" t="n">
        <v>0</v>
      </c>
      <c r="Q182" t="n">
        <v>0</v>
      </c>
      <c r="R182" s="2" t="inlineStr"/>
    </row>
    <row r="183" ht="15" customHeight="1">
      <c r="A183" t="inlineStr">
        <is>
          <t>A 46335-2021</t>
        </is>
      </c>
      <c r="B183" s="1" t="n">
        <v>44442</v>
      </c>
      <c r="C183" s="1" t="n">
        <v>45742</v>
      </c>
      <c r="D183" t="inlineStr">
        <is>
          <t>ÖREBRO LÄN</t>
        </is>
      </c>
      <c r="E183" t="inlineStr">
        <is>
          <t>HÄLLEFORS</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46280-2021</t>
        </is>
      </c>
      <c r="B184" s="1" t="n">
        <v>44442</v>
      </c>
      <c r="C184" s="1" t="n">
        <v>45742</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49154-2021</t>
        </is>
      </c>
      <c r="B185" s="1" t="n">
        <v>44453</v>
      </c>
      <c r="C185" s="1" t="n">
        <v>45742</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51488-2021</t>
        </is>
      </c>
      <c r="B186" s="1" t="n">
        <v>44460</v>
      </c>
      <c r="C186" s="1" t="n">
        <v>45742</v>
      </c>
      <c r="D186" t="inlineStr">
        <is>
          <t>ÖREBRO LÄN</t>
        </is>
      </c>
      <c r="E186" t="inlineStr">
        <is>
          <t>HÄLLEFORS</t>
        </is>
      </c>
      <c r="G186" t="n">
        <v>2.8</v>
      </c>
      <c r="H186" t="n">
        <v>0</v>
      </c>
      <c r="I186" t="n">
        <v>0</v>
      </c>
      <c r="J186" t="n">
        <v>0</v>
      </c>
      <c r="K186" t="n">
        <v>0</v>
      </c>
      <c r="L186" t="n">
        <v>0</v>
      </c>
      <c r="M186" t="n">
        <v>0</v>
      </c>
      <c r="N186" t="n">
        <v>0</v>
      </c>
      <c r="O186" t="n">
        <v>0</v>
      </c>
      <c r="P186" t="n">
        <v>0</v>
      </c>
      <c r="Q186" t="n">
        <v>0</v>
      </c>
      <c r="R186" s="2" t="inlineStr"/>
    </row>
    <row r="187" ht="15" customHeight="1">
      <c r="A187" t="inlineStr">
        <is>
          <t>A 52172-2021</t>
        </is>
      </c>
      <c r="B187" s="1" t="n">
        <v>44462</v>
      </c>
      <c r="C187" s="1" t="n">
        <v>45742</v>
      </c>
      <c r="D187" t="inlineStr">
        <is>
          <t>ÖREBRO LÄN</t>
        </is>
      </c>
      <c r="E187" t="inlineStr">
        <is>
          <t>HÄLLEFORS</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56295-2021</t>
        </is>
      </c>
      <c r="B188" s="1" t="n">
        <v>44477</v>
      </c>
      <c r="C188" s="1" t="n">
        <v>45742</v>
      </c>
      <c r="D188" t="inlineStr">
        <is>
          <t>ÖREBRO LÄN</t>
        </is>
      </c>
      <c r="E188" t="inlineStr">
        <is>
          <t>HÄLLEFORS</t>
        </is>
      </c>
      <c r="G188" t="n">
        <v>11.3</v>
      </c>
      <c r="H188" t="n">
        <v>0</v>
      </c>
      <c r="I188" t="n">
        <v>0</v>
      </c>
      <c r="J188" t="n">
        <v>0</v>
      </c>
      <c r="K188" t="n">
        <v>0</v>
      </c>
      <c r="L188" t="n">
        <v>0</v>
      </c>
      <c r="M188" t="n">
        <v>0</v>
      </c>
      <c r="N188" t="n">
        <v>0</v>
      </c>
      <c r="O188" t="n">
        <v>0</v>
      </c>
      <c r="P188" t="n">
        <v>0</v>
      </c>
      <c r="Q188" t="n">
        <v>0</v>
      </c>
      <c r="R188" s="2" t="inlineStr"/>
    </row>
    <row r="189" ht="15" customHeight="1">
      <c r="A189" t="inlineStr">
        <is>
          <t>A 58133-2021</t>
        </is>
      </c>
      <c r="B189" s="1" t="n">
        <v>44487</v>
      </c>
      <c r="C189" s="1" t="n">
        <v>45742</v>
      </c>
      <c r="D189" t="inlineStr">
        <is>
          <t>ÖREBRO LÄN</t>
        </is>
      </c>
      <c r="E189" t="inlineStr">
        <is>
          <t>HÄLLEFORS</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59382-2021</t>
        </is>
      </c>
      <c r="B190" s="1" t="n">
        <v>44491</v>
      </c>
      <c r="C190" s="1" t="n">
        <v>45742</v>
      </c>
      <c r="D190" t="inlineStr">
        <is>
          <t>ÖREBRO LÄN</t>
        </is>
      </c>
      <c r="E190" t="inlineStr">
        <is>
          <t>HÄLLEFORS</t>
        </is>
      </c>
      <c r="G190" t="n">
        <v>3.1</v>
      </c>
      <c r="H190" t="n">
        <v>0</v>
      </c>
      <c r="I190" t="n">
        <v>0</v>
      </c>
      <c r="J190" t="n">
        <v>0</v>
      </c>
      <c r="K190" t="n">
        <v>0</v>
      </c>
      <c r="L190" t="n">
        <v>0</v>
      </c>
      <c r="M190" t="n">
        <v>0</v>
      </c>
      <c r="N190" t="n">
        <v>0</v>
      </c>
      <c r="O190" t="n">
        <v>0</v>
      </c>
      <c r="P190" t="n">
        <v>0</v>
      </c>
      <c r="Q190" t="n">
        <v>0</v>
      </c>
      <c r="R190" s="2" t="inlineStr"/>
    </row>
    <row r="191" ht="15" customHeight="1">
      <c r="A191" t="inlineStr">
        <is>
          <t>A 59374-2021</t>
        </is>
      </c>
      <c r="B191" s="1" t="n">
        <v>44491</v>
      </c>
      <c r="C191" s="1" t="n">
        <v>45742</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60518-2021</t>
        </is>
      </c>
      <c r="B192" s="1" t="n">
        <v>44496</v>
      </c>
      <c r="C192" s="1" t="n">
        <v>45742</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62178-2021</t>
        </is>
      </c>
      <c r="B193" s="1" t="n">
        <v>44502</v>
      </c>
      <c r="C193" s="1" t="n">
        <v>45742</v>
      </c>
      <c r="D193" t="inlineStr">
        <is>
          <t>ÖREBRO LÄN</t>
        </is>
      </c>
      <c r="E193" t="inlineStr">
        <is>
          <t>HÄLLEFORS</t>
        </is>
      </c>
      <c r="G193" t="n">
        <v>2.5</v>
      </c>
      <c r="H193" t="n">
        <v>0</v>
      </c>
      <c r="I193" t="n">
        <v>0</v>
      </c>
      <c r="J193" t="n">
        <v>0</v>
      </c>
      <c r="K193" t="n">
        <v>0</v>
      </c>
      <c r="L193" t="n">
        <v>0</v>
      </c>
      <c r="M193" t="n">
        <v>0</v>
      </c>
      <c r="N193" t="n">
        <v>0</v>
      </c>
      <c r="O193" t="n">
        <v>0</v>
      </c>
      <c r="P193" t="n">
        <v>0</v>
      </c>
      <c r="Q193" t="n">
        <v>0</v>
      </c>
      <c r="R193" s="2" t="inlineStr"/>
    </row>
    <row r="194" ht="15" customHeight="1">
      <c r="A194" t="inlineStr">
        <is>
          <t>A 65240-2021</t>
        </is>
      </c>
      <c r="B194" s="1" t="n">
        <v>44515</v>
      </c>
      <c r="C194" s="1" t="n">
        <v>45742</v>
      </c>
      <c r="D194" t="inlineStr">
        <is>
          <t>ÖREBRO LÄN</t>
        </is>
      </c>
      <c r="E194" t="inlineStr">
        <is>
          <t>HÄLLEFORS</t>
        </is>
      </c>
      <c r="G194" t="n">
        <v>0.8</v>
      </c>
      <c r="H194" t="n">
        <v>0</v>
      </c>
      <c r="I194" t="n">
        <v>0</v>
      </c>
      <c r="J194" t="n">
        <v>0</v>
      </c>
      <c r="K194" t="n">
        <v>0</v>
      </c>
      <c r="L194" t="n">
        <v>0</v>
      </c>
      <c r="M194" t="n">
        <v>0</v>
      </c>
      <c r="N194" t="n">
        <v>0</v>
      </c>
      <c r="O194" t="n">
        <v>0</v>
      </c>
      <c r="P194" t="n">
        <v>0</v>
      </c>
      <c r="Q194" t="n">
        <v>0</v>
      </c>
      <c r="R194" s="2" t="inlineStr"/>
    </row>
    <row r="195" ht="15" customHeight="1">
      <c r="A195" t="inlineStr">
        <is>
          <t>A 65054-2021</t>
        </is>
      </c>
      <c r="B195" s="1" t="n">
        <v>44515</v>
      </c>
      <c r="C195" s="1" t="n">
        <v>45742</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67027-2021</t>
        </is>
      </c>
      <c r="B196" s="1" t="n">
        <v>44522</v>
      </c>
      <c r="C196" s="1" t="n">
        <v>45742</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67439-2021</t>
        </is>
      </c>
      <c r="B197" s="1" t="n">
        <v>44523</v>
      </c>
      <c r="C197" s="1" t="n">
        <v>45742</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67780-2021</t>
        </is>
      </c>
      <c r="B198" s="1" t="n">
        <v>44525</v>
      </c>
      <c r="C198" s="1" t="n">
        <v>45742</v>
      </c>
      <c r="D198" t="inlineStr">
        <is>
          <t>ÖREBRO LÄN</t>
        </is>
      </c>
      <c r="E198" t="inlineStr">
        <is>
          <t>HÄLLEFORS</t>
        </is>
      </c>
      <c r="G198" t="n">
        <v>7.9</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v>
      </c>
      <c r="C199" s="1" t="n">
        <v>45742</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67971-2021</t>
        </is>
      </c>
      <c r="B200" s="1" t="n">
        <v>44525</v>
      </c>
      <c r="C200" s="1" t="n">
        <v>45742</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67967-2021</t>
        </is>
      </c>
      <c r="B201" s="1" t="n">
        <v>44525</v>
      </c>
      <c r="C201" s="1" t="n">
        <v>45742</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67953-2021</t>
        </is>
      </c>
      <c r="B202" s="1" t="n">
        <v>44525</v>
      </c>
      <c r="C202" s="1" t="n">
        <v>45742</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70356-2021</t>
        </is>
      </c>
      <c r="B203" s="1" t="n">
        <v>44536</v>
      </c>
      <c r="C203" s="1" t="n">
        <v>45742</v>
      </c>
      <c r="D203" t="inlineStr">
        <is>
          <t>ÖREBRO LÄN</t>
        </is>
      </c>
      <c r="E203" t="inlineStr">
        <is>
          <t>HÄLLEFORS</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71766-2021</t>
        </is>
      </c>
      <c r="B204" s="1" t="n">
        <v>44543</v>
      </c>
      <c r="C204" s="1" t="n">
        <v>45742</v>
      </c>
      <c r="D204" t="inlineStr">
        <is>
          <t>ÖREBRO LÄN</t>
        </is>
      </c>
      <c r="E204" t="inlineStr">
        <is>
          <t>HÄLLEFORS</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71826-2021</t>
        </is>
      </c>
      <c r="B205" s="1" t="n">
        <v>44543</v>
      </c>
      <c r="C205" s="1" t="n">
        <v>45742</v>
      </c>
      <c r="D205" t="inlineStr">
        <is>
          <t>ÖREBRO LÄN</t>
        </is>
      </c>
      <c r="E205" t="inlineStr">
        <is>
          <t>HÄLLEFORS</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73201-2021</t>
        </is>
      </c>
      <c r="B206" s="1" t="n">
        <v>44550</v>
      </c>
      <c r="C206" s="1" t="n">
        <v>45742</v>
      </c>
      <c r="D206" t="inlineStr">
        <is>
          <t>ÖREBRO LÄN</t>
        </is>
      </c>
      <c r="E206" t="inlineStr">
        <is>
          <t>HÄLLEFORS</t>
        </is>
      </c>
      <c r="G206" t="n">
        <v>3.7</v>
      </c>
      <c r="H206" t="n">
        <v>0</v>
      </c>
      <c r="I206" t="n">
        <v>0</v>
      </c>
      <c r="J206" t="n">
        <v>0</v>
      </c>
      <c r="K206" t="n">
        <v>0</v>
      </c>
      <c r="L206" t="n">
        <v>0</v>
      </c>
      <c r="M206" t="n">
        <v>0</v>
      </c>
      <c r="N206" t="n">
        <v>0</v>
      </c>
      <c r="O206" t="n">
        <v>0</v>
      </c>
      <c r="P206" t="n">
        <v>0</v>
      </c>
      <c r="Q206" t="n">
        <v>0</v>
      </c>
      <c r="R206" s="2" t="inlineStr"/>
    </row>
    <row r="207" ht="15" customHeight="1">
      <c r="A207" t="inlineStr">
        <is>
          <t>A 74464-2021</t>
        </is>
      </c>
      <c r="B207" s="1" t="n">
        <v>44560</v>
      </c>
      <c r="C207" s="1" t="n">
        <v>45742</v>
      </c>
      <c r="D207" t="inlineStr">
        <is>
          <t>ÖREBRO LÄN</t>
        </is>
      </c>
      <c r="E207" t="inlineStr">
        <is>
          <t>HÄLLEFORS</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4548-2022</t>
        </is>
      </c>
      <c r="B208" s="1" t="n">
        <v>44590</v>
      </c>
      <c r="C208" s="1" t="n">
        <v>45742</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4716-2022</t>
        </is>
      </c>
      <c r="B209" s="1" t="n">
        <v>44592</v>
      </c>
      <c r="C209" s="1" t="n">
        <v>45742</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5025-2022</t>
        </is>
      </c>
      <c r="B210" s="1" t="n">
        <v>44593</v>
      </c>
      <c r="C210" s="1" t="n">
        <v>45742</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6107-2022</t>
        </is>
      </c>
      <c r="B211" s="1" t="n">
        <v>44599</v>
      </c>
      <c r="C211" s="1" t="n">
        <v>45742</v>
      </c>
      <c r="D211" t="inlineStr">
        <is>
          <t>ÖREBRO LÄN</t>
        </is>
      </c>
      <c r="E211" t="inlineStr">
        <is>
          <t>HÄLLEFORS</t>
        </is>
      </c>
      <c r="G211" t="n">
        <v>5.3</v>
      </c>
      <c r="H211" t="n">
        <v>0</v>
      </c>
      <c r="I211" t="n">
        <v>0</v>
      </c>
      <c r="J211" t="n">
        <v>0</v>
      </c>
      <c r="K211" t="n">
        <v>0</v>
      </c>
      <c r="L211" t="n">
        <v>0</v>
      </c>
      <c r="M211" t="n">
        <v>0</v>
      </c>
      <c r="N211" t="n">
        <v>0</v>
      </c>
      <c r="O211" t="n">
        <v>0</v>
      </c>
      <c r="P211" t="n">
        <v>0</v>
      </c>
      <c r="Q211" t="n">
        <v>0</v>
      </c>
      <c r="R211" s="2" t="inlineStr"/>
    </row>
    <row r="212" ht="15" customHeight="1">
      <c r="A212" t="inlineStr">
        <is>
          <t>A 6231-2022</t>
        </is>
      </c>
      <c r="B212" s="1" t="n">
        <v>44600</v>
      </c>
      <c r="C212" s="1" t="n">
        <v>45742</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7294-2022</t>
        </is>
      </c>
      <c r="B213" s="1" t="n">
        <v>44606</v>
      </c>
      <c r="C213" s="1" t="n">
        <v>45742</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7774-2022</t>
        </is>
      </c>
      <c r="B214" s="1" t="n">
        <v>44608</v>
      </c>
      <c r="C214" s="1" t="n">
        <v>45742</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8387-2022</t>
        </is>
      </c>
      <c r="B215" s="1" t="n">
        <v>44610</v>
      </c>
      <c r="C215" s="1" t="n">
        <v>45742</v>
      </c>
      <c r="D215" t="inlineStr">
        <is>
          <t>ÖREBRO LÄN</t>
        </is>
      </c>
      <c r="E215" t="inlineStr">
        <is>
          <t>HÄLLEFORS</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8503-2022</t>
        </is>
      </c>
      <c r="B216" s="1" t="n">
        <v>44613</v>
      </c>
      <c r="C216" s="1" t="n">
        <v>45742</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8513-2022</t>
        </is>
      </c>
      <c r="B217" s="1" t="n">
        <v>44613</v>
      </c>
      <c r="C217" s="1" t="n">
        <v>45742</v>
      </c>
      <c r="D217" t="inlineStr">
        <is>
          <t>ÖREBRO LÄN</t>
        </is>
      </c>
      <c r="E217" t="inlineStr">
        <is>
          <t>HÄLLEFORS</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9387-2022</t>
        </is>
      </c>
      <c r="B218" s="1" t="n">
        <v>44616</v>
      </c>
      <c r="C218" s="1" t="n">
        <v>45742</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9405-2022</t>
        </is>
      </c>
      <c r="B219" s="1" t="n">
        <v>44616</v>
      </c>
      <c r="C219" s="1" t="n">
        <v>45742</v>
      </c>
      <c r="D219" t="inlineStr">
        <is>
          <t>ÖREBRO LÄN</t>
        </is>
      </c>
      <c r="E219" t="inlineStr">
        <is>
          <t>HÄLLEFORS</t>
        </is>
      </c>
      <c r="G219" t="n">
        <v>3.1</v>
      </c>
      <c r="H219" t="n">
        <v>0</v>
      </c>
      <c r="I219" t="n">
        <v>0</v>
      </c>
      <c r="J219" t="n">
        <v>0</v>
      </c>
      <c r="K219" t="n">
        <v>0</v>
      </c>
      <c r="L219" t="n">
        <v>0</v>
      </c>
      <c r="M219" t="n">
        <v>0</v>
      </c>
      <c r="N219" t="n">
        <v>0</v>
      </c>
      <c r="O219" t="n">
        <v>0</v>
      </c>
      <c r="P219" t="n">
        <v>0</v>
      </c>
      <c r="Q219" t="n">
        <v>0</v>
      </c>
      <c r="R219" s="2" t="inlineStr"/>
    </row>
    <row r="220" ht="15" customHeight="1">
      <c r="A220" t="inlineStr">
        <is>
          <t>A 9411-2022</t>
        </is>
      </c>
      <c r="B220" s="1" t="n">
        <v>44616</v>
      </c>
      <c r="C220" s="1" t="n">
        <v>45742</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9417-2022</t>
        </is>
      </c>
      <c r="B221" s="1" t="n">
        <v>44616</v>
      </c>
      <c r="C221" s="1" t="n">
        <v>45742</v>
      </c>
      <c r="D221" t="inlineStr">
        <is>
          <t>ÖREBRO LÄN</t>
        </is>
      </c>
      <c r="E221" t="inlineStr">
        <is>
          <t>HÄLLEFORS</t>
        </is>
      </c>
      <c r="G221" t="n">
        <v>1.6</v>
      </c>
      <c r="H221" t="n">
        <v>0</v>
      </c>
      <c r="I221" t="n">
        <v>0</v>
      </c>
      <c r="J221" t="n">
        <v>0</v>
      </c>
      <c r="K221" t="n">
        <v>0</v>
      </c>
      <c r="L221" t="n">
        <v>0</v>
      </c>
      <c r="M221" t="n">
        <v>0</v>
      </c>
      <c r="N221" t="n">
        <v>0</v>
      </c>
      <c r="O221" t="n">
        <v>0</v>
      </c>
      <c r="P221" t="n">
        <v>0</v>
      </c>
      <c r="Q221" t="n">
        <v>0</v>
      </c>
      <c r="R221" s="2" t="inlineStr"/>
    </row>
    <row r="222" ht="15" customHeight="1">
      <c r="A222" t="inlineStr">
        <is>
          <t>A 9378-2022</t>
        </is>
      </c>
      <c r="B222" s="1" t="n">
        <v>44616</v>
      </c>
      <c r="C222" s="1" t="n">
        <v>45742</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9424-2022</t>
        </is>
      </c>
      <c r="B223" s="1" t="n">
        <v>44616</v>
      </c>
      <c r="C223" s="1" t="n">
        <v>45742</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13382-2022</t>
        </is>
      </c>
      <c r="B224" s="1" t="n">
        <v>44645</v>
      </c>
      <c r="C224" s="1" t="n">
        <v>45742</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15073-2022</t>
        </is>
      </c>
      <c r="B225" s="1" t="n">
        <v>44657</v>
      </c>
      <c r="C225" s="1" t="n">
        <v>45742</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15475-2022</t>
        </is>
      </c>
      <c r="B226" s="1" t="n">
        <v>44662</v>
      </c>
      <c r="C226" s="1" t="n">
        <v>45742</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v>
      </c>
      <c r="C227" s="1" t="n">
        <v>45742</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18424-2022</t>
        </is>
      </c>
      <c r="B228" s="1" t="n">
        <v>44686</v>
      </c>
      <c r="C228" s="1" t="n">
        <v>45742</v>
      </c>
      <c r="D228" t="inlineStr">
        <is>
          <t>ÖREBRO LÄN</t>
        </is>
      </c>
      <c r="E228" t="inlineStr">
        <is>
          <t>HÄLLEFORS</t>
        </is>
      </c>
      <c r="F228" t="inlineStr">
        <is>
          <t>Bergvik skog väst AB</t>
        </is>
      </c>
      <c r="G228" t="n">
        <v>5.9</v>
      </c>
      <c r="H228" t="n">
        <v>0</v>
      </c>
      <c r="I228" t="n">
        <v>0</v>
      </c>
      <c r="J228" t="n">
        <v>0</v>
      </c>
      <c r="K228" t="n">
        <v>0</v>
      </c>
      <c r="L228" t="n">
        <v>0</v>
      </c>
      <c r="M228" t="n">
        <v>0</v>
      </c>
      <c r="N228" t="n">
        <v>0</v>
      </c>
      <c r="O228" t="n">
        <v>0</v>
      </c>
      <c r="P228" t="n">
        <v>0</v>
      </c>
      <c r="Q228" t="n">
        <v>0</v>
      </c>
      <c r="R228" s="2" t="inlineStr"/>
    </row>
    <row r="229" ht="15" customHeight="1">
      <c r="A229" t="inlineStr">
        <is>
          <t>A 18803-2022</t>
        </is>
      </c>
      <c r="B229" s="1" t="n">
        <v>44690</v>
      </c>
      <c r="C229" s="1" t="n">
        <v>45742</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18801-2022</t>
        </is>
      </c>
      <c r="B230" s="1" t="n">
        <v>44690</v>
      </c>
      <c r="C230" s="1" t="n">
        <v>45742</v>
      </c>
      <c r="D230" t="inlineStr">
        <is>
          <t>ÖREBRO LÄN</t>
        </is>
      </c>
      <c r="E230" t="inlineStr">
        <is>
          <t>HÄLLEFORS</t>
        </is>
      </c>
      <c r="G230" t="n">
        <v>3.7</v>
      </c>
      <c r="H230" t="n">
        <v>0</v>
      </c>
      <c r="I230" t="n">
        <v>0</v>
      </c>
      <c r="J230" t="n">
        <v>0</v>
      </c>
      <c r="K230" t="n">
        <v>0</v>
      </c>
      <c r="L230" t="n">
        <v>0</v>
      </c>
      <c r="M230" t="n">
        <v>0</v>
      </c>
      <c r="N230" t="n">
        <v>0</v>
      </c>
      <c r="O230" t="n">
        <v>0</v>
      </c>
      <c r="P230" t="n">
        <v>0</v>
      </c>
      <c r="Q230" t="n">
        <v>0</v>
      </c>
      <c r="R230" s="2" t="inlineStr"/>
    </row>
    <row r="231" ht="15" customHeight="1">
      <c r="A231" t="inlineStr">
        <is>
          <t>A 18882-2022</t>
        </is>
      </c>
      <c r="B231" s="1" t="n">
        <v>44690</v>
      </c>
      <c r="C231" s="1" t="n">
        <v>45742</v>
      </c>
      <c r="D231" t="inlineStr">
        <is>
          <t>ÖREBRO LÄN</t>
        </is>
      </c>
      <c r="E231" t="inlineStr">
        <is>
          <t>HÄLLEFORS</t>
        </is>
      </c>
      <c r="G231" t="n">
        <v>1.2</v>
      </c>
      <c r="H231" t="n">
        <v>0</v>
      </c>
      <c r="I231" t="n">
        <v>0</v>
      </c>
      <c r="J231" t="n">
        <v>0</v>
      </c>
      <c r="K231" t="n">
        <v>0</v>
      </c>
      <c r="L231" t="n">
        <v>0</v>
      </c>
      <c r="M231" t="n">
        <v>0</v>
      </c>
      <c r="N231" t="n">
        <v>0</v>
      </c>
      <c r="O231" t="n">
        <v>0</v>
      </c>
      <c r="P231" t="n">
        <v>0</v>
      </c>
      <c r="Q231" t="n">
        <v>0</v>
      </c>
      <c r="R231" s="2" t="inlineStr"/>
    </row>
    <row r="232" ht="15" customHeight="1">
      <c r="A232" t="inlineStr">
        <is>
          <t>A 19367-2022</t>
        </is>
      </c>
      <c r="B232" s="1" t="n">
        <v>44692</v>
      </c>
      <c r="C232" s="1" t="n">
        <v>45742</v>
      </c>
      <c r="D232" t="inlineStr">
        <is>
          <t>ÖREBRO LÄN</t>
        </is>
      </c>
      <c r="E232" t="inlineStr">
        <is>
          <t>HÄLLEFORS</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19864-2022</t>
        </is>
      </c>
      <c r="B233" s="1" t="n">
        <v>44697</v>
      </c>
      <c r="C233" s="1" t="n">
        <v>45742</v>
      </c>
      <c r="D233" t="inlineStr">
        <is>
          <t>ÖREBRO LÄN</t>
        </is>
      </c>
      <c r="E233" t="inlineStr">
        <is>
          <t>HÄLLEFORS</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20354-2022</t>
        </is>
      </c>
      <c r="B234" s="1" t="n">
        <v>44699</v>
      </c>
      <c r="C234" s="1" t="n">
        <v>45742</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21801-2022</t>
        </is>
      </c>
      <c r="B235" s="1" t="n">
        <v>44708</v>
      </c>
      <c r="C235" s="1" t="n">
        <v>45742</v>
      </c>
      <c r="D235" t="inlineStr">
        <is>
          <t>ÖREBRO LÄN</t>
        </is>
      </c>
      <c r="E235" t="inlineStr">
        <is>
          <t>HÄLLEFORS</t>
        </is>
      </c>
      <c r="G235" t="n">
        <v>3.3</v>
      </c>
      <c r="H235" t="n">
        <v>0</v>
      </c>
      <c r="I235" t="n">
        <v>0</v>
      </c>
      <c r="J235" t="n">
        <v>0</v>
      </c>
      <c r="K235" t="n">
        <v>0</v>
      </c>
      <c r="L235" t="n">
        <v>0</v>
      </c>
      <c r="M235" t="n">
        <v>0</v>
      </c>
      <c r="N235" t="n">
        <v>0</v>
      </c>
      <c r="O235" t="n">
        <v>0</v>
      </c>
      <c r="P235" t="n">
        <v>0</v>
      </c>
      <c r="Q235" t="n">
        <v>0</v>
      </c>
      <c r="R235" s="2" t="inlineStr"/>
    </row>
    <row r="236" ht="15" customHeight="1">
      <c r="A236" t="inlineStr">
        <is>
          <t>A 22673-2022</t>
        </is>
      </c>
      <c r="B236" s="1" t="n">
        <v>44714</v>
      </c>
      <c r="C236" s="1" t="n">
        <v>45742</v>
      </c>
      <c r="D236" t="inlineStr">
        <is>
          <t>ÖREBRO LÄN</t>
        </is>
      </c>
      <c r="E236" t="inlineStr">
        <is>
          <t>HÄLLEFORS</t>
        </is>
      </c>
      <c r="G236" t="n">
        <v>0.5</v>
      </c>
      <c r="H236" t="n">
        <v>0</v>
      </c>
      <c r="I236" t="n">
        <v>0</v>
      </c>
      <c r="J236" t="n">
        <v>0</v>
      </c>
      <c r="K236" t="n">
        <v>0</v>
      </c>
      <c r="L236" t="n">
        <v>0</v>
      </c>
      <c r="M236" t="n">
        <v>0</v>
      </c>
      <c r="N236" t="n">
        <v>0</v>
      </c>
      <c r="O236" t="n">
        <v>0</v>
      </c>
      <c r="P236" t="n">
        <v>0</v>
      </c>
      <c r="Q236" t="n">
        <v>0</v>
      </c>
      <c r="R236" s="2" t="inlineStr"/>
    </row>
    <row r="237" ht="15" customHeight="1">
      <c r="A237" t="inlineStr">
        <is>
          <t>A 23121-2022</t>
        </is>
      </c>
      <c r="B237" s="1" t="n">
        <v>44719</v>
      </c>
      <c r="C237" s="1" t="n">
        <v>45742</v>
      </c>
      <c r="D237" t="inlineStr">
        <is>
          <t>ÖREBRO LÄN</t>
        </is>
      </c>
      <c r="E237" t="inlineStr">
        <is>
          <t>HÄLLEFORS</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23022-2022</t>
        </is>
      </c>
      <c r="B238" s="1" t="n">
        <v>44719</v>
      </c>
      <c r="C238" s="1" t="n">
        <v>45742</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23665-2022</t>
        </is>
      </c>
      <c r="B239" s="1" t="n">
        <v>44721</v>
      </c>
      <c r="C239" s="1" t="n">
        <v>45742</v>
      </c>
      <c r="D239" t="inlineStr">
        <is>
          <t>ÖREBRO LÄN</t>
        </is>
      </c>
      <c r="E239" t="inlineStr">
        <is>
          <t>HÄLLEFORS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23719-2022</t>
        </is>
      </c>
      <c r="B240" s="1" t="n">
        <v>44722</v>
      </c>
      <c r="C240" s="1" t="n">
        <v>45742</v>
      </c>
      <c r="D240" t="inlineStr">
        <is>
          <t>ÖREBRO LÄN</t>
        </is>
      </c>
      <c r="E240" t="inlineStr">
        <is>
          <t>HÄLLEFORS</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23882-2022</t>
        </is>
      </c>
      <c r="B241" s="1" t="n">
        <v>44722</v>
      </c>
      <c r="C241" s="1" t="n">
        <v>45742</v>
      </c>
      <c r="D241" t="inlineStr">
        <is>
          <t>ÖREBRO LÄN</t>
        </is>
      </c>
      <c r="E241" t="inlineStr">
        <is>
          <t>HÄLLEFORS</t>
        </is>
      </c>
      <c r="F241" t="inlineStr">
        <is>
          <t>Bergvik skog väst AB</t>
        </is>
      </c>
      <c r="G241" t="n">
        <v>15.2</v>
      </c>
      <c r="H241" t="n">
        <v>0</v>
      </c>
      <c r="I241" t="n">
        <v>0</v>
      </c>
      <c r="J241" t="n">
        <v>0</v>
      </c>
      <c r="K241" t="n">
        <v>0</v>
      </c>
      <c r="L241" t="n">
        <v>0</v>
      </c>
      <c r="M241" t="n">
        <v>0</v>
      </c>
      <c r="N241" t="n">
        <v>0</v>
      </c>
      <c r="O241" t="n">
        <v>0</v>
      </c>
      <c r="P241" t="n">
        <v>0</v>
      </c>
      <c r="Q241" t="n">
        <v>0</v>
      </c>
      <c r="R241" s="2" t="inlineStr"/>
    </row>
    <row r="242" ht="15" customHeight="1">
      <c r="A242" t="inlineStr">
        <is>
          <t>A 28004-2022</t>
        </is>
      </c>
      <c r="B242" s="1" t="n">
        <v>44746</v>
      </c>
      <c r="C242" s="1" t="n">
        <v>45742</v>
      </c>
      <c r="D242" t="inlineStr">
        <is>
          <t>ÖREBRO LÄN</t>
        </is>
      </c>
      <c r="E242" t="inlineStr">
        <is>
          <t>HÄLLEFORS</t>
        </is>
      </c>
      <c r="G242" t="n">
        <v>2.9</v>
      </c>
      <c r="H242" t="n">
        <v>0</v>
      </c>
      <c r="I242" t="n">
        <v>0</v>
      </c>
      <c r="J242" t="n">
        <v>0</v>
      </c>
      <c r="K242" t="n">
        <v>0</v>
      </c>
      <c r="L242" t="n">
        <v>0</v>
      </c>
      <c r="M242" t="n">
        <v>0</v>
      </c>
      <c r="N242" t="n">
        <v>0</v>
      </c>
      <c r="O242" t="n">
        <v>0</v>
      </c>
      <c r="P242" t="n">
        <v>0</v>
      </c>
      <c r="Q242" t="n">
        <v>0</v>
      </c>
      <c r="R242" s="2" t="inlineStr"/>
    </row>
    <row r="243" ht="15" customHeight="1">
      <c r="A243" t="inlineStr">
        <is>
          <t>A 28558-2022</t>
        </is>
      </c>
      <c r="B243" s="1" t="n">
        <v>44748</v>
      </c>
      <c r="C243" s="1" t="n">
        <v>45742</v>
      </c>
      <c r="D243" t="inlineStr">
        <is>
          <t>ÖREBRO LÄN</t>
        </is>
      </c>
      <c r="E243" t="inlineStr">
        <is>
          <t>HÄLLEFORS</t>
        </is>
      </c>
      <c r="G243" t="n">
        <v>0.2</v>
      </c>
      <c r="H243" t="n">
        <v>0</v>
      </c>
      <c r="I243" t="n">
        <v>0</v>
      </c>
      <c r="J243" t="n">
        <v>0</v>
      </c>
      <c r="K243" t="n">
        <v>0</v>
      </c>
      <c r="L243" t="n">
        <v>0</v>
      </c>
      <c r="M243" t="n">
        <v>0</v>
      </c>
      <c r="N243" t="n">
        <v>0</v>
      </c>
      <c r="O243" t="n">
        <v>0</v>
      </c>
      <c r="P243" t="n">
        <v>0</v>
      </c>
      <c r="Q243" t="n">
        <v>0</v>
      </c>
      <c r="R243" s="2" t="inlineStr"/>
    </row>
    <row r="244" ht="15" customHeight="1">
      <c r="A244" t="inlineStr">
        <is>
          <t>A 28788-2022</t>
        </is>
      </c>
      <c r="B244" s="1" t="n">
        <v>44749</v>
      </c>
      <c r="C244" s="1" t="n">
        <v>45742</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28784-2022</t>
        </is>
      </c>
      <c r="B245" s="1" t="n">
        <v>44749</v>
      </c>
      <c r="C245" s="1" t="n">
        <v>45742</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29062-2022</t>
        </is>
      </c>
      <c r="B246" s="1" t="n">
        <v>44750</v>
      </c>
      <c r="C246" s="1" t="n">
        <v>45742</v>
      </c>
      <c r="D246" t="inlineStr">
        <is>
          <t>ÖREBRO LÄN</t>
        </is>
      </c>
      <c r="E246" t="inlineStr">
        <is>
          <t>HÄLLEFORS</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29058-2022</t>
        </is>
      </c>
      <c r="B247" s="1" t="n">
        <v>44750</v>
      </c>
      <c r="C247" s="1" t="n">
        <v>45742</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29661-2022</t>
        </is>
      </c>
      <c r="B248" s="1" t="n">
        <v>44754</v>
      </c>
      <c r="C248" s="1" t="n">
        <v>45742</v>
      </c>
      <c r="D248" t="inlineStr">
        <is>
          <t>ÖREBRO LÄN</t>
        </is>
      </c>
      <c r="E248" t="inlineStr">
        <is>
          <t>HÄLLEFORS</t>
        </is>
      </c>
      <c r="F248" t="inlineStr">
        <is>
          <t>Bergvik skog väst AB</t>
        </is>
      </c>
      <c r="G248" t="n">
        <v>18.5</v>
      </c>
      <c r="H248" t="n">
        <v>0</v>
      </c>
      <c r="I248" t="n">
        <v>0</v>
      </c>
      <c r="J248" t="n">
        <v>0</v>
      </c>
      <c r="K248" t="n">
        <v>0</v>
      </c>
      <c r="L248" t="n">
        <v>0</v>
      </c>
      <c r="M248" t="n">
        <v>0</v>
      </c>
      <c r="N248" t="n">
        <v>0</v>
      </c>
      <c r="O248" t="n">
        <v>0</v>
      </c>
      <c r="P248" t="n">
        <v>0</v>
      </c>
      <c r="Q248" t="n">
        <v>0</v>
      </c>
      <c r="R248" s="2" t="inlineStr"/>
    </row>
    <row r="249" ht="15" customHeight="1">
      <c r="A249" t="inlineStr">
        <is>
          <t>A 29665-2022</t>
        </is>
      </c>
      <c r="B249" s="1" t="n">
        <v>44754</v>
      </c>
      <c r="C249" s="1" t="n">
        <v>45742</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29662-2022</t>
        </is>
      </c>
      <c r="B250" s="1" t="n">
        <v>44754</v>
      </c>
      <c r="C250" s="1" t="n">
        <v>45742</v>
      </c>
      <c r="D250" t="inlineStr">
        <is>
          <t>ÖREBRO LÄN</t>
        </is>
      </c>
      <c r="E250" t="inlineStr">
        <is>
          <t>HÄLLEFORS</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29664-2022</t>
        </is>
      </c>
      <c r="B251" s="1" t="n">
        <v>44754</v>
      </c>
      <c r="C251" s="1" t="n">
        <v>45742</v>
      </c>
      <c r="D251" t="inlineStr">
        <is>
          <t>ÖREBRO LÄN</t>
        </is>
      </c>
      <c r="E251" t="inlineStr">
        <is>
          <t>HÄLLEFORS</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29668-2022</t>
        </is>
      </c>
      <c r="B252" s="1" t="n">
        <v>44754</v>
      </c>
      <c r="C252" s="1" t="n">
        <v>45742</v>
      </c>
      <c r="D252" t="inlineStr">
        <is>
          <t>ÖREBRO LÄN</t>
        </is>
      </c>
      <c r="E252" t="inlineStr">
        <is>
          <t>HÄLLEFORS</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29669-2022</t>
        </is>
      </c>
      <c r="B253" s="1" t="n">
        <v>44754</v>
      </c>
      <c r="C253" s="1" t="n">
        <v>45742</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29663-2022</t>
        </is>
      </c>
      <c r="B254" s="1" t="n">
        <v>44754</v>
      </c>
      <c r="C254" s="1" t="n">
        <v>45742</v>
      </c>
      <c r="D254" t="inlineStr">
        <is>
          <t>ÖREBRO LÄN</t>
        </is>
      </c>
      <c r="E254" t="inlineStr">
        <is>
          <t>HÄLLEFORS</t>
        </is>
      </c>
      <c r="F254" t="inlineStr">
        <is>
          <t>Bergvik skog väst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29667-2022</t>
        </is>
      </c>
      <c r="B255" s="1" t="n">
        <v>44754</v>
      </c>
      <c r="C255" s="1" t="n">
        <v>45742</v>
      </c>
      <c r="D255" t="inlineStr">
        <is>
          <t>ÖREBRO LÄN</t>
        </is>
      </c>
      <c r="E255" t="inlineStr">
        <is>
          <t>HÄLLEFORS</t>
        </is>
      </c>
      <c r="F255" t="inlineStr">
        <is>
          <t>Bergvik skog väst AB</t>
        </is>
      </c>
      <c r="G255" t="n">
        <v>7</v>
      </c>
      <c r="H255" t="n">
        <v>0</v>
      </c>
      <c r="I255" t="n">
        <v>0</v>
      </c>
      <c r="J255" t="n">
        <v>0</v>
      </c>
      <c r="K255" t="n">
        <v>0</v>
      </c>
      <c r="L255" t="n">
        <v>0</v>
      </c>
      <c r="M255" t="n">
        <v>0</v>
      </c>
      <c r="N255" t="n">
        <v>0</v>
      </c>
      <c r="O255" t="n">
        <v>0</v>
      </c>
      <c r="P255" t="n">
        <v>0</v>
      </c>
      <c r="Q255" t="n">
        <v>0</v>
      </c>
      <c r="R255" s="2" t="inlineStr"/>
    </row>
    <row r="256" ht="15" customHeight="1">
      <c r="A256" t="inlineStr">
        <is>
          <t>A 29884-2022</t>
        </is>
      </c>
      <c r="B256" s="1" t="n">
        <v>44756</v>
      </c>
      <c r="C256" s="1" t="n">
        <v>45742</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30380-2022</t>
        </is>
      </c>
      <c r="B257" s="1" t="n">
        <v>44760</v>
      </c>
      <c r="C257" s="1" t="n">
        <v>45742</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30532-2022</t>
        </is>
      </c>
      <c r="B258" s="1" t="n">
        <v>44762</v>
      </c>
      <c r="C258" s="1" t="n">
        <v>45742</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33609-2022</t>
        </is>
      </c>
      <c r="B259" s="1" t="n">
        <v>44782</v>
      </c>
      <c r="C259" s="1" t="n">
        <v>45742</v>
      </c>
      <c r="D259" t="inlineStr">
        <is>
          <t>ÖREBRO LÄN</t>
        </is>
      </c>
      <c r="E259" t="inlineStr">
        <is>
          <t>HÄLLEFORS</t>
        </is>
      </c>
      <c r="G259" t="n">
        <v>5.7</v>
      </c>
      <c r="H259" t="n">
        <v>0</v>
      </c>
      <c r="I259" t="n">
        <v>0</v>
      </c>
      <c r="J259" t="n">
        <v>0</v>
      </c>
      <c r="K259" t="n">
        <v>0</v>
      </c>
      <c r="L259" t="n">
        <v>0</v>
      </c>
      <c r="M259" t="n">
        <v>0</v>
      </c>
      <c r="N259" t="n">
        <v>0</v>
      </c>
      <c r="O259" t="n">
        <v>0</v>
      </c>
      <c r="P259" t="n">
        <v>0</v>
      </c>
      <c r="Q259" t="n">
        <v>0</v>
      </c>
      <c r="R259" s="2" t="inlineStr"/>
    </row>
    <row r="260" ht="15" customHeight="1">
      <c r="A260" t="inlineStr">
        <is>
          <t>A 34103-2022</t>
        </is>
      </c>
      <c r="B260" s="1" t="n">
        <v>44782</v>
      </c>
      <c r="C260" s="1" t="n">
        <v>45742</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33617-2022</t>
        </is>
      </c>
      <c r="B261" s="1" t="n">
        <v>44782</v>
      </c>
      <c r="C261" s="1" t="n">
        <v>45742</v>
      </c>
      <c r="D261" t="inlineStr">
        <is>
          <t>ÖREBRO LÄN</t>
        </is>
      </c>
      <c r="E261" t="inlineStr">
        <is>
          <t>HÄLLEFORS</t>
        </is>
      </c>
      <c r="G261" t="n">
        <v>8.6</v>
      </c>
      <c r="H261" t="n">
        <v>0</v>
      </c>
      <c r="I261" t="n">
        <v>0</v>
      </c>
      <c r="J261" t="n">
        <v>0</v>
      </c>
      <c r="K261" t="n">
        <v>0</v>
      </c>
      <c r="L261" t="n">
        <v>0</v>
      </c>
      <c r="M261" t="n">
        <v>0</v>
      </c>
      <c r="N261" t="n">
        <v>0</v>
      </c>
      <c r="O261" t="n">
        <v>0</v>
      </c>
      <c r="P261" t="n">
        <v>0</v>
      </c>
      <c r="Q261" t="n">
        <v>0</v>
      </c>
      <c r="R261" s="2" t="inlineStr"/>
    </row>
    <row r="262" ht="15" customHeight="1">
      <c r="A262" t="inlineStr">
        <is>
          <t>A 33488-2022</t>
        </is>
      </c>
      <c r="B262" s="1" t="n">
        <v>44788</v>
      </c>
      <c r="C262" s="1" t="n">
        <v>45742</v>
      </c>
      <c r="D262" t="inlineStr">
        <is>
          <t>ÖREBRO LÄN</t>
        </is>
      </c>
      <c r="E262" t="inlineStr">
        <is>
          <t>HÄLLEFORS</t>
        </is>
      </c>
      <c r="G262" t="n">
        <v>5.8</v>
      </c>
      <c r="H262" t="n">
        <v>0</v>
      </c>
      <c r="I262" t="n">
        <v>0</v>
      </c>
      <c r="J262" t="n">
        <v>0</v>
      </c>
      <c r="K262" t="n">
        <v>0</v>
      </c>
      <c r="L262" t="n">
        <v>0</v>
      </c>
      <c r="M262" t="n">
        <v>0</v>
      </c>
      <c r="N262" t="n">
        <v>0</v>
      </c>
      <c r="O262" t="n">
        <v>0</v>
      </c>
      <c r="P262" t="n">
        <v>0</v>
      </c>
      <c r="Q262" t="n">
        <v>0</v>
      </c>
      <c r="R262" s="2" t="inlineStr"/>
    </row>
    <row r="263" ht="15" customHeight="1">
      <c r="A263" t="inlineStr">
        <is>
          <t>A 34015-2022</t>
        </is>
      </c>
      <c r="B263" s="1" t="n">
        <v>44791</v>
      </c>
      <c r="C263" s="1" t="n">
        <v>45742</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34311-2022</t>
        </is>
      </c>
      <c r="B264" s="1" t="n">
        <v>44792</v>
      </c>
      <c r="C264" s="1" t="n">
        <v>45742</v>
      </c>
      <c r="D264" t="inlineStr">
        <is>
          <t>ÖREBRO LÄN</t>
        </is>
      </c>
      <c r="E264" t="inlineStr">
        <is>
          <t>HÄLLEFORS</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34384-2022</t>
        </is>
      </c>
      <c r="B265" s="1" t="n">
        <v>44792</v>
      </c>
      <c r="C265" s="1" t="n">
        <v>45742</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34313-2022</t>
        </is>
      </c>
      <c r="B266" s="1" t="n">
        <v>44792</v>
      </c>
      <c r="C266" s="1" t="n">
        <v>45742</v>
      </c>
      <c r="D266" t="inlineStr">
        <is>
          <t>ÖREBRO LÄN</t>
        </is>
      </c>
      <c r="E266" t="inlineStr">
        <is>
          <t>HÄLLEFORS</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34355-2022</t>
        </is>
      </c>
      <c r="B267" s="1" t="n">
        <v>44792</v>
      </c>
      <c r="C267" s="1" t="n">
        <v>45742</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34344-2022</t>
        </is>
      </c>
      <c r="B268" s="1" t="n">
        <v>44792</v>
      </c>
      <c r="C268" s="1" t="n">
        <v>45742</v>
      </c>
      <c r="D268" t="inlineStr">
        <is>
          <t>ÖREBRO LÄN</t>
        </is>
      </c>
      <c r="E268" t="inlineStr">
        <is>
          <t>HÄLLEFORS</t>
        </is>
      </c>
      <c r="G268" t="n">
        <v>2.3</v>
      </c>
      <c r="H268" t="n">
        <v>0</v>
      </c>
      <c r="I268" t="n">
        <v>0</v>
      </c>
      <c r="J268" t="n">
        <v>0</v>
      </c>
      <c r="K268" t="n">
        <v>0</v>
      </c>
      <c r="L268" t="n">
        <v>0</v>
      </c>
      <c r="M268" t="n">
        <v>0</v>
      </c>
      <c r="N268" t="n">
        <v>0</v>
      </c>
      <c r="O268" t="n">
        <v>0</v>
      </c>
      <c r="P268" t="n">
        <v>0</v>
      </c>
      <c r="Q268" t="n">
        <v>0</v>
      </c>
      <c r="R268" s="2" t="inlineStr"/>
    </row>
    <row r="269" ht="15" customHeight="1">
      <c r="A269" t="inlineStr">
        <is>
          <t>A 34478-2022</t>
        </is>
      </c>
      <c r="B269" s="1" t="n">
        <v>44792</v>
      </c>
      <c r="C269" s="1" t="n">
        <v>45742</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34479-2022</t>
        </is>
      </c>
      <c r="B270" s="1" t="n">
        <v>44792</v>
      </c>
      <c r="C270" s="1" t="n">
        <v>45742</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34480-2022</t>
        </is>
      </c>
      <c r="B271" s="1" t="n">
        <v>44792</v>
      </c>
      <c r="C271" s="1" t="n">
        <v>45742</v>
      </c>
      <c r="D271" t="inlineStr">
        <is>
          <t>ÖREBRO LÄN</t>
        </is>
      </c>
      <c r="E271" t="inlineStr">
        <is>
          <t>HÄLLEFORS</t>
        </is>
      </c>
      <c r="G271" t="n">
        <v>0.5</v>
      </c>
      <c r="H271" t="n">
        <v>0</v>
      </c>
      <c r="I271" t="n">
        <v>0</v>
      </c>
      <c r="J271" t="n">
        <v>0</v>
      </c>
      <c r="K271" t="n">
        <v>0</v>
      </c>
      <c r="L271" t="n">
        <v>0</v>
      </c>
      <c r="M271" t="n">
        <v>0</v>
      </c>
      <c r="N271" t="n">
        <v>0</v>
      </c>
      <c r="O271" t="n">
        <v>0</v>
      </c>
      <c r="P271" t="n">
        <v>0</v>
      </c>
      <c r="Q271" t="n">
        <v>0</v>
      </c>
      <c r="R271" s="2" t="inlineStr"/>
    </row>
    <row r="272" ht="15" customHeight="1">
      <c r="A272" t="inlineStr">
        <is>
          <t>A 34653-2022</t>
        </is>
      </c>
      <c r="B272" s="1" t="n">
        <v>44795</v>
      </c>
      <c r="C272" s="1" t="n">
        <v>45742</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35243-2022</t>
        </is>
      </c>
      <c r="B273" s="1" t="n">
        <v>44798</v>
      </c>
      <c r="C273" s="1" t="n">
        <v>45742</v>
      </c>
      <c r="D273" t="inlineStr">
        <is>
          <t>ÖREBRO LÄN</t>
        </is>
      </c>
      <c r="E273" t="inlineStr">
        <is>
          <t>HÄLLEFORS</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35345-2022</t>
        </is>
      </c>
      <c r="B274" s="1" t="n">
        <v>44798</v>
      </c>
      <c r="C274" s="1" t="n">
        <v>45742</v>
      </c>
      <c r="D274" t="inlineStr">
        <is>
          <t>ÖREBRO LÄN</t>
        </is>
      </c>
      <c r="E274" t="inlineStr">
        <is>
          <t>HÄLLEFORS</t>
        </is>
      </c>
      <c r="G274" t="n">
        <v>1.7</v>
      </c>
      <c r="H274" t="n">
        <v>0</v>
      </c>
      <c r="I274" t="n">
        <v>0</v>
      </c>
      <c r="J274" t="n">
        <v>0</v>
      </c>
      <c r="K274" t="n">
        <v>0</v>
      </c>
      <c r="L274" t="n">
        <v>0</v>
      </c>
      <c r="M274" t="n">
        <v>0</v>
      </c>
      <c r="N274" t="n">
        <v>0</v>
      </c>
      <c r="O274" t="n">
        <v>0</v>
      </c>
      <c r="P274" t="n">
        <v>0</v>
      </c>
      <c r="Q274" t="n">
        <v>0</v>
      </c>
      <c r="R274" s="2" t="inlineStr"/>
    </row>
    <row r="275" ht="15" customHeight="1">
      <c r="A275" t="inlineStr">
        <is>
          <t>A 36635-2022</t>
        </is>
      </c>
      <c r="B275" s="1" t="n">
        <v>44804</v>
      </c>
      <c r="C275" s="1" t="n">
        <v>45742</v>
      </c>
      <c r="D275" t="inlineStr">
        <is>
          <t>ÖREBRO LÄN</t>
        </is>
      </c>
      <c r="E275" t="inlineStr">
        <is>
          <t>HÄLLEFORS</t>
        </is>
      </c>
      <c r="G275" t="n">
        <v>2.5</v>
      </c>
      <c r="H275" t="n">
        <v>0</v>
      </c>
      <c r="I275" t="n">
        <v>0</v>
      </c>
      <c r="J275" t="n">
        <v>0</v>
      </c>
      <c r="K275" t="n">
        <v>0</v>
      </c>
      <c r="L275" t="n">
        <v>0</v>
      </c>
      <c r="M275" t="n">
        <v>0</v>
      </c>
      <c r="N275" t="n">
        <v>0</v>
      </c>
      <c r="O275" t="n">
        <v>0</v>
      </c>
      <c r="P275" t="n">
        <v>0</v>
      </c>
      <c r="Q275" t="n">
        <v>0</v>
      </c>
      <c r="R275" s="2" t="inlineStr"/>
    </row>
    <row r="276" ht="15" customHeight="1">
      <c r="A276" t="inlineStr">
        <is>
          <t>A 37027-2022</t>
        </is>
      </c>
      <c r="B276" s="1" t="n">
        <v>44806</v>
      </c>
      <c r="C276" s="1" t="n">
        <v>45742</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37783-2022</t>
        </is>
      </c>
      <c r="B277" s="1" t="n">
        <v>44810</v>
      </c>
      <c r="C277" s="1" t="n">
        <v>45742</v>
      </c>
      <c r="D277" t="inlineStr">
        <is>
          <t>ÖREBRO LÄN</t>
        </is>
      </c>
      <c r="E277" t="inlineStr">
        <is>
          <t>HÄLLEFORS</t>
        </is>
      </c>
      <c r="G277" t="n">
        <v>14.1</v>
      </c>
      <c r="H277" t="n">
        <v>0</v>
      </c>
      <c r="I277" t="n">
        <v>0</v>
      </c>
      <c r="J277" t="n">
        <v>0</v>
      </c>
      <c r="K277" t="n">
        <v>0</v>
      </c>
      <c r="L277" t="n">
        <v>0</v>
      </c>
      <c r="M277" t="n">
        <v>0</v>
      </c>
      <c r="N277" t="n">
        <v>0</v>
      </c>
      <c r="O277" t="n">
        <v>0</v>
      </c>
      <c r="P277" t="n">
        <v>0</v>
      </c>
      <c r="Q277" t="n">
        <v>0</v>
      </c>
      <c r="R277" s="2" t="inlineStr"/>
    </row>
    <row r="278" ht="15" customHeight="1">
      <c r="A278" t="inlineStr">
        <is>
          <t>A 38030-2022</t>
        </is>
      </c>
      <c r="B278" s="1" t="n">
        <v>44811</v>
      </c>
      <c r="C278" s="1" t="n">
        <v>45742</v>
      </c>
      <c r="D278" t="inlineStr">
        <is>
          <t>ÖREBRO LÄN</t>
        </is>
      </c>
      <c r="E278" t="inlineStr">
        <is>
          <t>HÄLLEFORS</t>
        </is>
      </c>
      <c r="G278" t="n">
        <v>3.1</v>
      </c>
      <c r="H278" t="n">
        <v>0</v>
      </c>
      <c r="I278" t="n">
        <v>0</v>
      </c>
      <c r="J278" t="n">
        <v>0</v>
      </c>
      <c r="K278" t="n">
        <v>0</v>
      </c>
      <c r="L278" t="n">
        <v>0</v>
      </c>
      <c r="M278" t="n">
        <v>0</v>
      </c>
      <c r="N278" t="n">
        <v>0</v>
      </c>
      <c r="O278" t="n">
        <v>0</v>
      </c>
      <c r="P278" t="n">
        <v>0</v>
      </c>
      <c r="Q278" t="n">
        <v>0</v>
      </c>
      <c r="R278" s="2" t="inlineStr"/>
    </row>
    <row r="279" ht="15" customHeight="1">
      <c r="A279" t="inlineStr">
        <is>
          <t>A 37999-2022</t>
        </is>
      </c>
      <c r="B279" s="1" t="n">
        <v>44811</v>
      </c>
      <c r="C279" s="1" t="n">
        <v>45742</v>
      </c>
      <c r="D279" t="inlineStr">
        <is>
          <t>ÖREBRO LÄN</t>
        </is>
      </c>
      <c r="E279" t="inlineStr">
        <is>
          <t>HÄLLEFORS</t>
        </is>
      </c>
      <c r="G279" t="n">
        <v>4.8</v>
      </c>
      <c r="H279" t="n">
        <v>0</v>
      </c>
      <c r="I279" t="n">
        <v>0</v>
      </c>
      <c r="J279" t="n">
        <v>0</v>
      </c>
      <c r="K279" t="n">
        <v>0</v>
      </c>
      <c r="L279" t="n">
        <v>0</v>
      </c>
      <c r="M279" t="n">
        <v>0</v>
      </c>
      <c r="N279" t="n">
        <v>0</v>
      </c>
      <c r="O279" t="n">
        <v>0</v>
      </c>
      <c r="P279" t="n">
        <v>0</v>
      </c>
      <c r="Q279" t="n">
        <v>0</v>
      </c>
      <c r="R279" s="2" t="inlineStr"/>
    </row>
    <row r="280" ht="15" customHeight="1">
      <c r="A280" t="inlineStr">
        <is>
          <t>A 38018-2022</t>
        </is>
      </c>
      <c r="B280" s="1" t="n">
        <v>44811</v>
      </c>
      <c r="C280" s="1" t="n">
        <v>45742</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38024-2022</t>
        </is>
      </c>
      <c r="B281" s="1" t="n">
        <v>44811</v>
      </c>
      <c r="C281" s="1" t="n">
        <v>45742</v>
      </c>
      <c r="D281" t="inlineStr">
        <is>
          <t>ÖREBRO LÄN</t>
        </is>
      </c>
      <c r="E281" t="inlineStr">
        <is>
          <t>HÄLLEFORS</t>
        </is>
      </c>
      <c r="G281" t="n">
        <v>7.3</v>
      </c>
      <c r="H281" t="n">
        <v>0</v>
      </c>
      <c r="I281" t="n">
        <v>0</v>
      </c>
      <c r="J281" t="n">
        <v>0</v>
      </c>
      <c r="K281" t="n">
        <v>0</v>
      </c>
      <c r="L281" t="n">
        <v>0</v>
      </c>
      <c r="M281" t="n">
        <v>0</v>
      </c>
      <c r="N281" t="n">
        <v>0</v>
      </c>
      <c r="O281" t="n">
        <v>0</v>
      </c>
      <c r="P281" t="n">
        <v>0</v>
      </c>
      <c r="Q281" t="n">
        <v>0</v>
      </c>
      <c r="R281" s="2" t="inlineStr"/>
    </row>
    <row r="282" ht="15" customHeight="1">
      <c r="A282" t="inlineStr">
        <is>
          <t>A 38072-2022</t>
        </is>
      </c>
      <c r="B282" s="1" t="n">
        <v>44811</v>
      </c>
      <c r="C282" s="1" t="n">
        <v>45742</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38063-2022</t>
        </is>
      </c>
      <c r="B283" s="1" t="n">
        <v>44811</v>
      </c>
      <c r="C283" s="1" t="n">
        <v>45742</v>
      </c>
      <c r="D283" t="inlineStr">
        <is>
          <t>ÖREBRO LÄN</t>
        </is>
      </c>
      <c r="E283" t="inlineStr">
        <is>
          <t>HÄLLEFORS</t>
        </is>
      </c>
      <c r="G283" t="n">
        <v>4.6</v>
      </c>
      <c r="H283" t="n">
        <v>0</v>
      </c>
      <c r="I283" t="n">
        <v>0</v>
      </c>
      <c r="J283" t="n">
        <v>0</v>
      </c>
      <c r="K283" t="n">
        <v>0</v>
      </c>
      <c r="L283" t="n">
        <v>0</v>
      </c>
      <c r="M283" t="n">
        <v>0</v>
      </c>
      <c r="N283" t="n">
        <v>0</v>
      </c>
      <c r="O283" t="n">
        <v>0</v>
      </c>
      <c r="P283" t="n">
        <v>0</v>
      </c>
      <c r="Q283" t="n">
        <v>0</v>
      </c>
      <c r="R283" s="2" t="inlineStr"/>
    </row>
    <row r="284" ht="15" customHeight="1">
      <c r="A284" t="inlineStr">
        <is>
          <t>A 38068-2022</t>
        </is>
      </c>
      <c r="B284" s="1" t="n">
        <v>44811</v>
      </c>
      <c r="C284" s="1" t="n">
        <v>45742</v>
      </c>
      <c r="D284" t="inlineStr">
        <is>
          <t>ÖREBRO LÄN</t>
        </is>
      </c>
      <c r="E284" t="inlineStr">
        <is>
          <t>HÄLLEFORS</t>
        </is>
      </c>
      <c r="G284" t="n">
        <v>7.7</v>
      </c>
      <c r="H284" t="n">
        <v>0</v>
      </c>
      <c r="I284" t="n">
        <v>0</v>
      </c>
      <c r="J284" t="n">
        <v>0</v>
      </c>
      <c r="K284" t="n">
        <v>0</v>
      </c>
      <c r="L284" t="n">
        <v>0</v>
      </c>
      <c r="M284" t="n">
        <v>0</v>
      </c>
      <c r="N284" t="n">
        <v>0</v>
      </c>
      <c r="O284" t="n">
        <v>0</v>
      </c>
      <c r="P284" t="n">
        <v>0</v>
      </c>
      <c r="Q284" t="n">
        <v>0</v>
      </c>
      <c r="R284" s="2" t="inlineStr"/>
    </row>
    <row r="285" ht="15" customHeight="1">
      <c r="A285" t="inlineStr">
        <is>
          <t>A 38239-2022</t>
        </is>
      </c>
      <c r="B285" s="1" t="n">
        <v>44812</v>
      </c>
      <c r="C285" s="1" t="n">
        <v>45742</v>
      </c>
      <c r="D285" t="inlineStr">
        <is>
          <t>ÖREBRO LÄN</t>
        </is>
      </c>
      <c r="E285" t="inlineStr">
        <is>
          <t>HÄLLEFORS</t>
        </is>
      </c>
      <c r="G285" t="n">
        <v>8.1</v>
      </c>
      <c r="H285" t="n">
        <v>0</v>
      </c>
      <c r="I285" t="n">
        <v>0</v>
      </c>
      <c r="J285" t="n">
        <v>0</v>
      </c>
      <c r="K285" t="n">
        <v>0</v>
      </c>
      <c r="L285" t="n">
        <v>0</v>
      </c>
      <c r="M285" t="n">
        <v>0</v>
      </c>
      <c r="N285" t="n">
        <v>0</v>
      </c>
      <c r="O285" t="n">
        <v>0</v>
      </c>
      <c r="P285" t="n">
        <v>0</v>
      </c>
      <c r="Q285" t="n">
        <v>0</v>
      </c>
      <c r="R285" s="2" t="inlineStr"/>
    </row>
    <row r="286" ht="15" customHeight="1">
      <c r="A286" t="inlineStr">
        <is>
          <t>A 38245-2022</t>
        </is>
      </c>
      <c r="B286" s="1" t="n">
        <v>44812</v>
      </c>
      <c r="C286" s="1" t="n">
        <v>45742</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38655-2022</t>
        </is>
      </c>
      <c r="B287" s="1" t="n">
        <v>44813</v>
      </c>
      <c r="C287" s="1" t="n">
        <v>45742</v>
      </c>
      <c r="D287" t="inlineStr">
        <is>
          <t>ÖREBRO LÄN</t>
        </is>
      </c>
      <c r="E287" t="inlineStr">
        <is>
          <t>HÄLLEFORS</t>
        </is>
      </c>
      <c r="G287" t="n">
        <v>14.6</v>
      </c>
      <c r="H287" t="n">
        <v>0</v>
      </c>
      <c r="I287" t="n">
        <v>0</v>
      </c>
      <c r="J287" t="n">
        <v>0</v>
      </c>
      <c r="K287" t="n">
        <v>0</v>
      </c>
      <c r="L287" t="n">
        <v>0</v>
      </c>
      <c r="M287" t="n">
        <v>0</v>
      </c>
      <c r="N287" t="n">
        <v>0</v>
      </c>
      <c r="O287" t="n">
        <v>0</v>
      </c>
      <c r="P287" t="n">
        <v>0</v>
      </c>
      <c r="Q287" t="n">
        <v>0</v>
      </c>
      <c r="R287" s="2" t="inlineStr"/>
    </row>
    <row r="288" ht="15" customHeight="1">
      <c r="A288" t="inlineStr">
        <is>
          <t>A 38656-2022</t>
        </is>
      </c>
      <c r="B288" s="1" t="n">
        <v>44813</v>
      </c>
      <c r="C288" s="1" t="n">
        <v>45742</v>
      </c>
      <c r="D288" t="inlineStr">
        <is>
          <t>ÖREBRO LÄN</t>
        </is>
      </c>
      <c r="E288" t="inlineStr">
        <is>
          <t>HÄLLEFORS</t>
        </is>
      </c>
      <c r="G288" t="n">
        <v>3.6</v>
      </c>
      <c r="H288" t="n">
        <v>0</v>
      </c>
      <c r="I288" t="n">
        <v>0</v>
      </c>
      <c r="J288" t="n">
        <v>0</v>
      </c>
      <c r="K288" t="n">
        <v>0</v>
      </c>
      <c r="L288" t="n">
        <v>0</v>
      </c>
      <c r="M288" t="n">
        <v>0</v>
      </c>
      <c r="N288" t="n">
        <v>0</v>
      </c>
      <c r="O288" t="n">
        <v>0</v>
      </c>
      <c r="P288" t="n">
        <v>0</v>
      </c>
      <c r="Q288" t="n">
        <v>0</v>
      </c>
      <c r="R288" s="2" t="inlineStr"/>
    </row>
    <row r="289" ht="15" customHeight="1">
      <c r="A289" t="inlineStr">
        <is>
          <t>A 39179-2022</t>
        </is>
      </c>
      <c r="B289" s="1" t="n">
        <v>44817</v>
      </c>
      <c r="C289" s="1" t="n">
        <v>45742</v>
      </c>
      <c r="D289" t="inlineStr">
        <is>
          <t>ÖREBRO LÄN</t>
        </is>
      </c>
      <c r="E289" t="inlineStr">
        <is>
          <t>HÄLLEFORS</t>
        </is>
      </c>
      <c r="G289" t="n">
        <v>8.1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v>
      </c>
      <c r="C290" s="1" t="n">
        <v>45742</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39178-2022</t>
        </is>
      </c>
      <c r="B291" s="1" t="n">
        <v>44817</v>
      </c>
      <c r="C291" s="1" t="n">
        <v>45742</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39169-2022</t>
        </is>
      </c>
      <c r="B292" s="1" t="n">
        <v>44817</v>
      </c>
      <c r="C292" s="1" t="n">
        <v>45742</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39183-2022</t>
        </is>
      </c>
      <c r="B293" s="1" t="n">
        <v>44817</v>
      </c>
      <c r="C293" s="1" t="n">
        <v>45742</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39327-2022</t>
        </is>
      </c>
      <c r="B294" s="1" t="n">
        <v>44817</v>
      </c>
      <c r="C294" s="1" t="n">
        <v>45742</v>
      </c>
      <c r="D294" t="inlineStr">
        <is>
          <t>ÖREBRO LÄN</t>
        </is>
      </c>
      <c r="E294" t="inlineStr">
        <is>
          <t>HÄLLEFORS</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39876-2022</t>
        </is>
      </c>
      <c r="B295" s="1" t="n">
        <v>44819</v>
      </c>
      <c r="C295" s="1" t="n">
        <v>45742</v>
      </c>
      <c r="D295" t="inlineStr">
        <is>
          <t>ÖREBRO LÄN</t>
        </is>
      </c>
      <c r="E295" t="inlineStr">
        <is>
          <t>HÄLLEFORS</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40530-2022</t>
        </is>
      </c>
      <c r="B296" s="1" t="n">
        <v>44823</v>
      </c>
      <c r="C296" s="1" t="n">
        <v>45742</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40553-2022</t>
        </is>
      </c>
      <c r="B297" s="1" t="n">
        <v>44823</v>
      </c>
      <c r="C297" s="1" t="n">
        <v>45742</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40917-2022</t>
        </is>
      </c>
      <c r="B298" s="1" t="n">
        <v>44825</v>
      </c>
      <c r="C298" s="1" t="n">
        <v>45742</v>
      </c>
      <c r="D298" t="inlineStr">
        <is>
          <t>ÖREBRO LÄN</t>
        </is>
      </c>
      <c r="E298" t="inlineStr">
        <is>
          <t>HÄLLEFORS</t>
        </is>
      </c>
      <c r="F298" t="inlineStr">
        <is>
          <t>Bergvik skog väst AB</t>
        </is>
      </c>
      <c r="G298" t="n">
        <v>5.7</v>
      </c>
      <c r="H298" t="n">
        <v>0</v>
      </c>
      <c r="I298" t="n">
        <v>0</v>
      </c>
      <c r="J298" t="n">
        <v>0</v>
      </c>
      <c r="K298" t="n">
        <v>0</v>
      </c>
      <c r="L298" t="n">
        <v>0</v>
      </c>
      <c r="M298" t="n">
        <v>0</v>
      </c>
      <c r="N298" t="n">
        <v>0</v>
      </c>
      <c r="O298" t="n">
        <v>0</v>
      </c>
      <c r="P298" t="n">
        <v>0</v>
      </c>
      <c r="Q298" t="n">
        <v>0</v>
      </c>
      <c r="R298" s="2" t="inlineStr"/>
    </row>
    <row r="299" ht="15" customHeight="1">
      <c r="A299" t="inlineStr">
        <is>
          <t>A 41112-2022</t>
        </is>
      </c>
      <c r="B299" s="1" t="n">
        <v>44825</v>
      </c>
      <c r="C299" s="1" t="n">
        <v>45742</v>
      </c>
      <c r="D299" t="inlineStr">
        <is>
          <t>ÖREBRO LÄN</t>
        </is>
      </c>
      <c r="E299" t="inlineStr">
        <is>
          <t>HÄLLEFORS</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41096-2022</t>
        </is>
      </c>
      <c r="B300" s="1" t="n">
        <v>44825</v>
      </c>
      <c r="C300" s="1" t="n">
        <v>45742</v>
      </c>
      <c r="D300" t="inlineStr">
        <is>
          <t>ÖREBRO LÄN</t>
        </is>
      </c>
      <c r="E300" t="inlineStr">
        <is>
          <t>HÄLLEFORS</t>
        </is>
      </c>
      <c r="F300" t="inlineStr">
        <is>
          <t>Sveaskog</t>
        </is>
      </c>
      <c r="G300" t="n">
        <v>7.5</v>
      </c>
      <c r="H300" t="n">
        <v>0</v>
      </c>
      <c r="I300" t="n">
        <v>0</v>
      </c>
      <c r="J300" t="n">
        <v>0</v>
      </c>
      <c r="K300" t="n">
        <v>0</v>
      </c>
      <c r="L300" t="n">
        <v>0</v>
      </c>
      <c r="M300" t="n">
        <v>0</v>
      </c>
      <c r="N300" t="n">
        <v>0</v>
      </c>
      <c r="O300" t="n">
        <v>0</v>
      </c>
      <c r="P300" t="n">
        <v>0</v>
      </c>
      <c r="Q300" t="n">
        <v>0</v>
      </c>
      <c r="R300" s="2" t="inlineStr"/>
    </row>
    <row r="301" ht="15" customHeight="1">
      <c r="A301" t="inlineStr">
        <is>
          <t>A 41089-2022</t>
        </is>
      </c>
      <c r="B301" s="1" t="n">
        <v>44825</v>
      </c>
      <c r="C301" s="1" t="n">
        <v>45742</v>
      </c>
      <c r="D301" t="inlineStr">
        <is>
          <t>ÖREBRO LÄN</t>
        </is>
      </c>
      <c r="E301" t="inlineStr">
        <is>
          <t>HÄLLEFORS</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42028-2022</t>
        </is>
      </c>
      <c r="B302" s="1" t="n">
        <v>44830</v>
      </c>
      <c r="C302" s="1" t="n">
        <v>45742</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42862-2022</t>
        </is>
      </c>
      <c r="B303" s="1" t="n">
        <v>44832</v>
      </c>
      <c r="C303" s="1" t="n">
        <v>45742</v>
      </c>
      <c r="D303" t="inlineStr">
        <is>
          <t>ÖREBRO LÄN</t>
        </is>
      </c>
      <c r="E303" t="inlineStr">
        <is>
          <t>HÄLLEFORS</t>
        </is>
      </c>
      <c r="G303" t="n">
        <v>0.7</v>
      </c>
      <c r="H303" t="n">
        <v>0</v>
      </c>
      <c r="I303" t="n">
        <v>0</v>
      </c>
      <c r="J303" t="n">
        <v>0</v>
      </c>
      <c r="K303" t="n">
        <v>0</v>
      </c>
      <c r="L303" t="n">
        <v>0</v>
      </c>
      <c r="M303" t="n">
        <v>0</v>
      </c>
      <c r="N303" t="n">
        <v>0</v>
      </c>
      <c r="O303" t="n">
        <v>0</v>
      </c>
      <c r="P303" t="n">
        <v>0</v>
      </c>
      <c r="Q303" t="n">
        <v>0</v>
      </c>
      <c r="R303" s="2" t="inlineStr"/>
    </row>
    <row r="304" ht="15" customHeight="1">
      <c r="A304" t="inlineStr">
        <is>
          <t>A 42863-2022</t>
        </is>
      </c>
      <c r="B304" s="1" t="n">
        <v>44832</v>
      </c>
      <c r="C304" s="1" t="n">
        <v>45742</v>
      </c>
      <c r="D304" t="inlineStr">
        <is>
          <t>ÖREBRO LÄN</t>
        </is>
      </c>
      <c r="E304" t="inlineStr">
        <is>
          <t>HÄLLEFORS</t>
        </is>
      </c>
      <c r="G304" t="n">
        <v>7.2</v>
      </c>
      <c r="H304" t="n">
        <v>0</v>
      </c>
      <c r="I304" t="n">
        <v>0</v>
      </c>
      <c r="J304" t="n">
        <v>0</v>
      </c>
      <c r="K304" t="n">
        <v>0</v>
      </c>
      <c r="L304" t="n">
        <v>0</v>
      </c>
      <c r="M304" t="n">
        <v>0</v>
      </c>
      <c r="N304" t="n">
        <v>0</v>
      </c>
      <c r="O304" t="n">
        <v>0</v>
      </c>
      <c r="P304" t="n">
        <v>0</v>
      </c>
      <c r="Q304" t="n">
        <v>0</v>
      </c>
      <c r="R304" s="2" t="inlineStr"/>
    </row>
    <row r="305" ht="15" customHeight="1">
      <c r="A305" t="inlineStr">
        <is>
          <t>A 44209-2022</t>
        </is>
      </c>
      <c r="B305" s="1" t="n">
        <v>44839</v>
      </c>
      <c r="C305" s="1" t="n">
        <v>45742</v>
      </c>
      <c r="D305" t="inlineStr">
        <is>
          <t>ÖREBRO LÄN</t>
        </is>
      </c>
      <c r="E305" t="inlineStr">
        <is>
          <t>HÄLLEFORS</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44171-2022</t>
        </is>
      </c>
      <c r="B306" s="1" t="n">
        <v>44839</v>
      </c>
      <c r="C306" s="1" t="n">
        <v>45742</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44939-2022</t>
        </is>
      </c>
      <c r="B307" s="1" t="n">
        <v>44841</v>
      </c>
      <c r="C307" s="1" t="n">
        <v>45742</v>
      </c>
      <c r="D307" t="inlineStr">
        <is>
          <t>ÖREBRO LÄN</t>
        </is>
      </c>
      <c r="E307" t="inlineStr">
        <is>
          <t>HÄLLEFORS</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44810-2022</t>
        </is>
      </c>
      <c r="B308" s="1" t="n">
        <v>44841</v>
      </c>
      <c r="C308" s="1" t="n">
        <v>45742</v>
      </c>
      <c r="D308" t="inlineStr">
        <is>
          <t>ÖREBRO LÄN</t>
        </is>
      </c>
      <c r="E308" t="inlineStr">
        <is>
          <t>HÄLLEFORS</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47190-2022</t>
        </is>
      </c>
      <c r="B309" s="1" t="n">
        <v>44852</v>
      </c>
      <c r="C309" s="1" t="n">
        <v>45742</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47604-2022</t>
        </is>
      </c>
      <c r="B310" s="1" t="n">
        <v>44854</v>
      </c>
      <c r="C310" s="1" t="n">
        <v>45742</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47601-2022</t>
        </is>
      </c>
      <c r="B311" s="1" t="n">
        <v>44854</v>
      </c>
      <c r="C311" s="1" t="n">
        <v>45742</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48184-2022</t>
        </is>
      </c>
      <c r="B312" s="1" t="n">
        <v>44858</v>
      </c>
      <c r="C312" s="1" t="n">
        <v>45742</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45742</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49375-2022</t>
        </is>
      </c>
      <c r="B314" s="1" t="n">
        <v>44861</v>
      </c>
      <c r="C314" s="1" t="n">
        <v>45742</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49787-2022</t>
        </is>
      </c>
      <c r="B315" s="1" t="n">
        <v>44862</v>
      </c>
      <c r="C315" s="1" t="n">
        <v>45742</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50703-2022</t>
        </is>
      </c>
      <c r="B316" s="1" t="n">
        <v>44867</v>
      </c>
      <c r="C316" s="1" t="n">
        <v>45742</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50714-2022</t>
        </is>
      </c>
      <c r="B317" s="1" t="n">
        <v>44867</v>
      </c>
      <c r="C317" s="1" t="n">
        <v>45742</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51088-2022</t>
        </is>
      </c>
      <c r="B318" s="1" t="n">
        <v>44868</v>
      </c>
      <c r="C318" s="1" t="n">
        <v>45742</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51373-2022</t>
        </is>
      </c>
      <c r="B319" s="1" t="n">
        <v>44869</v>
      </c>
      <c r="C319" s="1" t="n">
        <v>45742</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51603-2022</t>
        </is>
      </c>
      <c r="B320" s="1" t="n">
        <v>44871</v>
      </c>
      <c r="C320" s="1" t="n">
        <v>45742</v>
      </c>
      <c r="D320" t="inlineStr">
        <is>
          <t>ÖREBRO LÄN</t>
        </is>
      </c>
      <c r="E320" t="inlineStr">
        <is>
          <t>HÄLLEFORS</t>
        </is>
      </c>
      <c r="G320" t="n">
        <v>8.5</v>
      </c>
      <c r="H320" t="n">
        <v>0</v>
      </c>
      <c r="I320" t="n">
        <v>0</v>
      </c>
      <c r="J320" t="n">
        <v>0</v>
      </c>
      <c r="K320" t="n">
        <v>0</v>
      </c>
      <c r="L320" t="n">
        <v>0</v>
      </c>
      <c r="M320" t="n">
        <v>0</v>
      </c>
      <c r="N320" t="n">
        <v>0</v>
      </c>
      <c r="O320" t="n">
        <v>0</v>
      </c>
      <c r="P320" t="n">
        <v>0</v>
      </c>
      <c r="Q320" t="n">
        <v>0</v>
      </c>
      <c r="R320" s="2" t="inlineStr"/>
    </row>
    <row r="321" ht="15" customHeight="1">
      <c r="A321" t="inlineStr">
        <is>
          <t>A 51605-2022</t>
        </is>
      </c>
      <c r="B321" s="1" t="n">
        <v>44871</v>
      </c>
      <c r="C321" s="1" t="n">
        <v>45742</v>
      </c>
      <c r="D321" t="inlineStr">
        <is>
          <t>ÖREBRO LÄN</t>
        </is>
      </c>
      <c r="E321" t="inlineStr">
        <is>
          <t>HÄLLEFORS</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52128-2022</t>
        </is>
      </c>
      <c r="B322" s="1" t="n">
        <v>44873</v>
      </c>
      <c r="C322" s="1" t="n">
        <v>45742</v>
      </c>
      <c r="D322" t="inlineStr">
        <is>
          <t>ÖREBRO LÄN</t>
        </is>
      </c>
      <c r="E322" t="inlineStr">
        <is>
          <t>HÄLLEFORS</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52138-2022</t>
        </is>
      </c>
      <c r="B323" s="1" t="n">
        <v>44873</v>
      </c>
      <c r="C323" s="1" t="n">
        <v>45742</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52377-2022</t>
        </is>
      </c>
      <c r="B324" s="1" t="n">
        <v>44874</v>
      </c>
      <c r="C324" s="1" t="n">
        <v>45742</v>
      </c>
      <c r="D324" t="inlineStr">
        <is>
          <t>ÖREBRO LÄN</t>
        </is>
      </c>
      <c r="E324" t="inlineStr">
        <is>
          <t>HÄLLEFORS</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52481-2022</t>
        </is>
      </c>
      <c r="B325" s="1" t="n">
        <v>44874</v>
      </c>
      <c r="C325" s="1" t="n">
        <v>45742</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52367-2022</t>
        </is>
      </c>
      <c r="B326" s="1" t="n">
        <v>44874</v>
      </c>
      <c r="C326" s="1" t="n">
        <v>45742</v>
      </c>
      <c r="D326" t="inlineStr">
        <is>
          <t>ÖREBRO LÄN</t>
        </is>
      </c>
      <c r="E326" t="inlineStr">
        <is>
          <t>HÄLLEFORS</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53035-2022</t>
        </is>
      </c>
      <c r="B327" s="1" t="n">
        <v>44876</v>
      </c>
      <c r="C327" s="1" t="n">
        <v>45742</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53152-2022</t>
        </is>
      </c>
      <c r="B328" s="1" t="n">
        <v>44876</v>
      </c>
      <c r="C328" s="1" t="n">
        <v>45742</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53157-2022</t>
        </is>
      </c>
      <c r="B329" s="1" t="n">
        <v>44876</v>
      </c>
      <c r="C329" s="1" t="n">
        <v>45742</v>
      </c>
      <c r="D329" t="inlineStr">
        <is>
          <t>ÖREBRO LÄN</t>
        </is>
      </c>
      <c r="E329" t="inlineStr">
        <is>
          <t>HÄLLEFORS</t>
        </is>
      </c>
      <c r="F329" t="inlineStr">
        <is>
          <t>Bergvik skog väst AB</t>
        </is>
      </c>
      <c r="G329" t="n">
        <v>10.1</v>
      </c>
      <c r="H329" t="n">
        <v>0</v>
      </c>
      <c r="I329" t="n">
        <v>0</v>
      </c>
      <c r="J329" t="n">
        <v>0</v>
      </c>
      <c r="K329" t="n">
        <v>0</v>
      </c>
      <c r="L329" t="n">
        <v>0</v>
      </c>
      <c r="M329" t="n">
        <v>0</v>
      </c>
      <c r="N329" t="n">
        <v>0</v>
      </c>
      <c r="O329" t="n">
        <v>0</v>
      </c>
      <c r="P329" t="n">
        <v>0</v>
      </c>
      <c r="Q329" t="n">
        <v>0</v>
      </c>
      <c r="R329" s="2" t="inlineStr"/>
    </row>
    <row r="330" ht="15" customHeight="1">
      <c r="A330" t="inlineStr">
        <is>
          <t>A 53154-2022</t>
        </is>
      </c>
      <c r="B330" s="1" t="n">
        <v>44876</v>
      </c>
      <c r="C330" s="1" t="n">
        <v>45742</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53699-2022</t>
        </is>
      </c>
      <c r="B331" s="1" t="n">
        <v>44880</v>
      </c>
      <c r="C331" s="1" t="n">
        <v>45742</v>
      </c>
      <c r="D331" t="inlineStr">
        <is>
          <t>ÖREBRO LÄN</t>
        </is>
      </c>
      <c r="E331" t="inlineStr">
        <is>
          <t>HÄLLEFORS</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54530-2022</t>
        </is>
      </c>
      <c r="B332" s="1" t="n">
        <v>44882</v>
      </c>
      <c r="C332" s="1" t="n">
        <v>45742</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55167-2022</t>
        </is>
      </c>
      <c r="B333" s="1" t="n">
        <v>44886</v>
      </c>
      <c r="C333" s="1" t="n">
        <v>45742</v>
      </c>
      <c r="D333" t="inlineStr">
        <is>
          <t>ÖREBRO LÄN</t>
        </is>
      </c>
      <c r="E333" t="inlineStr">
        <is>
          <t>HÄLLEFORS</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55299-2022</t>
        </is>
      </c>
      <c r="B334" s="1" t="n">
        <v>44887</v>
      </c>
      <c r="C334" s="1" t="n">
        <v>45742</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56750-2022</t>
        </is>
      </c>
      <c r="B335" s="1" t="n">
        <v>44894</v>
      </c>
      <c r="C335" s="1" t="n">
        <v>45742</v>
      </c>
      <c r="D335" t="inlineStr">
        <is>
          <t>ÖREBRO LÄN</t>
        </is>
      </c>
      <c r="E335" t="inlineStr">
        <is>
          <t>HÄLLEFORS</t>
        </is>
      </c>
      <c r="F335" t="inlineStr">
        <is>
          <t>Bergvik skog väst AB</t>
        </is>
      </c>
      <c r="G335" t="n">
        <v>10.7</v>
      </c>
      <c r="H335" t="n">
        <v>0</v>
      </c>
      <c r="I335" t="n">
        <v>0</v>
      </c>
      <c r="J335" t="n">
        <v>0</v>
      </c>
      <c r="K335" t="n">
        <v>0</v>
      </c>
      <c r="L335" t="n">
        <v>0</v>
      </c>
      <c r="M335" t="n">
        <v>0</v>
      </c>
      <c r="N335" t="n">
        <v>0</v>
      </c>
      <c r="O335" t="n">
        <v>0</v>
      </c>
      <c r="P335" t="n">
        <v>0</v>
      </c>
      <c r="Q335" t="n">
        <v>0</v>
      </c>
      <c r="R335" s="2" t="inlineStr"/>
    </row>
    <row r="336" ht="15" customHeight="1">
      <c r="A336" t="inlineStr">
        <is>
          <t>A 57455-2022</t>
        </is>
      </c>
      <c r="B336" s="1" t="n">
        <v>44896</v>
      </c>
      <c r="C336" s="1" t="n">
        <v>45742</v>
      </c>
      <c r="D336" t="inlineStr">
        <is>
          <t>ÖREBRO LÄN</t>
        </is>
      </c>
      <c r="E336" t="inlineStr">
        <is>
          <t>HÄLLEFORS</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57697-2022</t>
        </is>
      </c>
      <c r="B337" s="1" t="n">
        <v>44897</v>
      </c>
      <c r="C337" s="1" t="n">
        <v>45742</v>
      </c>
      <c r="D337" t="inlineStr">
        <is>
          <t>ÖREBRO LÄN</t>
        </is>
      </c>
      <c r="E337" t="inlineStr">
        <is>
          <t>HÄLLEFORS</t>
        </is>
      </c>
      <c r="F337" t="inlineStr">
        <is>
          <t>Bergvik skog väst AB</t>
        </is>
      </c>
      <c r="G337" t="n">
        <v>4.5</v>
      </c>
      <c r="H337" t="n">
        <v>0</v>
      </c>
      <c r="I337" t="n">
        <v>0</v>
      </c>
      <c r="J337" t="n">
        <v>0</v>
      </c>
      <c r="K337" t="n">
        <v>0</v>
      </c>
      <c r="L337" t="n">
        <v>0</v>
      </c>
      <c r="M337" t="n">
        <v>0</v>
      </c>
      <c r="N337" t="n">
        <v>0</v>
      </c>
      <c r="O337" t="n">
        <v>0</v>
      </c>
      <c r="P337" t="n">
        <v>0</v>
      </c>
      <c r="Q337" t="n">
        <v>0</v>
      </c>
      <c r="R337" s="2" t="inlineStr"/>
    </row>
    <row r="338" ht="15" customHeight="1">
      <c r="A338" t="inlineStr">
        <is>
          <t>A 58499-2022</t>
        </is>
      </c>
      <c r="B338" s="1" t="n">
        <v>44902</v>
      </c>
      <c r="C338" s="1" t="n">
        <v>45742</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59184-2022</t>
        </is>
      </c>
      <c r="B339" s="1" t="n">
        <v>44904</v>
      </c>
      <c r="C339" s="1" t="n">
        <v>45742</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45742</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v>
      </c>
      <c r="C341" s="1" t="n">
        <v>45742</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60167-2022</t>
        </is>
      </c>
      <c r="B342" s="1" t="n">
        <v>44909</v>
      </c>
      <c r="C342" s="1" t="n">
        <v>45742</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60932-2022</t>
        </is>
      </c>
      <c r="B343" s="1" t="n">
        <v>44914</v>
      </c>
      <c r="C343" s="1" t="n">
        <v>45742</v>
      </c>
      <c r="D343" t="inlineStr">
        <is>
          <t>ÖREBRO LÄN</t>
        </is>
      </c>
      <c r="E343" t="inlineStr">
        <is>
          <t>HÄLLEFORS</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62131-2022</t>
        </is>
      </c>
      <c r="B344" s="1" t="n">
        <v>44922</v>
      </c>
      <c r="C344" s="1" t="n">
        <v>45742</v>
      </c>
      <c r="D344" t="inlineStr">
        <is>
          <t>ÖREBRO LÄN</t>
        </is>
      </c>
      <c r="E344" t="inlineStr">
        <is>
          <t>HÄLLEFORS</t>
        </is>
      </c>
      <c r="G344" t="n">
        <v>2.6</v>
      </c>
      <c r="H344" t="n">
        <v>0</v>
      </c>
      <c r="I344" t="n">
        <v>0</v>
      </c>
      <c r="J344" t="n">
        <v>0</v>
      </c>
      <c r="K344" t="n">
        <v>0</v>
      </c>
      <c r="L344" t="n">
        <v>0</v>
      </c>
      <c r="M344" t="n">
        <v>0</v>
      </c>
      <c r="N344" t="n">
        <v>0</v>
      </c>
      <c r="O344" t="n">
        <v>0</v>
      </c>
      <c r="P344" t="n">
        <v>0</v>
      </c>
      <c r="Q344" t="n">
        <v>0</v>
      </c>
      <c r="R344" s="2" t="inlineStr"/>
    </row>
    <row r="345" ht="15" customHeight="1">
      <c r="A345" t="inlineStr">
        <is>
          <t>A 62265-2022</t>
        </is>
      </c>
      <c r="B345" s="1" t="n">
        <v>44923</v>
      </c>
      <c r="C345" s="1" t="n">
        <v>45742</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62501-2022</t>
        </is>
      </c>
      <c r="B346" s="1" t="n">
        <v>44924</v>
      </c>
      <c r="C346" s="1" t="n">
        <v>45742</v>
      </c>
      <c r="D346" t="inlineStr">
        <is>
          <t>ÖREBRO LÄN</t>
        </is>
      </c>
      <c r="E346" t="inlineStr">
        <is>
          <t>HÄLLEFORS</t>
        </is>
      </c>
      <c r="G346" t="n">
        <v>3</v>
      </c>
      <c r="H346" t="n">
        <v>0</v>
      </c>
      <c r="I346" t="n">
        <v>0</v>
      </c>
      <c r="J346" t="n">
        <v>0</v>
      </c>
      <c r="K346" t="n">
        <v>0</v>
      </c>
      <c r="L346" t="n">
        <v>0</v>
      </c>
      <c r="M346" t="n">
        <v>0</v>
      </c>
      <c r="N346" t="n">
        <v>0</v>
      </c>
      <c r="O346" t="n">
        <v>0</v>
      </c>
      <c r="P346" t="n">
        <v>0</v>
      </c>
      <c r="Q346" t="n">
        <v>0</v>
      </c>
      <c r="R346" s="2" t="inlineStr"/>
    </row>
    <row r="347" ht="15" customHeight="1">
      <c r="A347" t="inlineStr">
        <is>
          <t>A 272-2023</t>
        </is>
      </c>
      <c r="B347" s="1" t="n">
        <v>44928</v>
      </c>
      <c r="C347" s="1" t="n">
        <v>45742</v>
      </c>
      <c r="D347" t="inlineStr">
        <is>
          <t>ÖREBRO LÄN</t>
        </is>
      </c>
      <c r="E347" t="inlineStr">
        <is>
          <t>HÄLLEFORS</t>
        </is>
      </c>
      <c r="G347" t="n">
        <v>4</v>
      </c>
      <c r="H347" t="n">
        <v>0</v>
      </c>
      <c r="I347" t="n">
        <v>0</v>
      </c>
      <c r="J347" t="n">
        <v>0</v>
      </c>
      <c r="K347" t="n">
        <v>0</v>
      </c>
      <c r="L347" t="n">
        <v>0</v>
      </c>
      <c r="M347" t="n">
        <v>0</v>
      </c>
      <c r="N347" t="n">
        <v>0</v>
      </c>
      <c r="O347" t="n">
        <v>0</v>
      </c>
      <c r="P347" t="n">
        <v>0</v>
      </c>
      <c r="Q347" t="n">
        <v>0</v>
      </c>
      <c r="R347" s="2" t="inlineStr"/>
    </row>
    <row r="348" ht="15" customHeight="1">
      <c r="A348" t="inlineStr">
        <is>
          <t>A 623-2023</t>
        </is>
      </c>
      <c r="B348" s="1" t="n">
        <v>44930</v>
      </c>
      <c r="C348" s="1" t="n">
        <v>45742</v>
      </c>
      <c r="D348" t="inlineStr">
        <is>
          <t>ÖREBRO LÄN</t>
        </is>
      </c>
      <c r="E348" t="inlineStr">
        <is>
          <t>HÄLLEFORS</t>
        </is>
      </c>
      <c r="G348" t="n">
        <v>1.4</v>
      </c>
      <c r="H348" t="n">
        <v>0</v>
      </c>
      <c r="I348" t="n">
        <v>0</v>
      </c>
      <c r="J348" t="n">
        <v>0</v>
      </c>
      <c r="K348" t="n">
        <v>0</v>
      </c>
      <c r="L348" t="n">
        <v>0</v>
      </c>
      <c r="M348" t="n">
        <v>0</v>
      </c>
      <c r="N348" t="n">
        <v>0</v>
      </c>
      <c r="O348" t="n">
        <v>0</v>
      </c>
      <c r="P348" t="n">
        <v>0</v>
      </c>
      <c r="Q348" t="n">
        <v>0</v>
      </c>
      <c r="R348" s="2" t="inlineStr"/>
    </row>
    <row r="349" ht="15" customHeight="1">
      <c r="A349" t="inlineStr">
        <is>
          <t>A 2283-2023</t>
        </is>
      </c>
      <c r="B349" s="1" t="n">
        <v>44942</v>
      </c>
      <c r="C349" s="1" t="n">
        <v>45742</v>
      </c>
      <c r="D349" t="inlineStr">
        <is>
          <t>ÖREBRO LÄN</t>
        </is>
      </c>
      <c r="E349" t="inlineStr">
        <is>
          <t>HÄLLEFORS</t>
        </is>
      </c>
      <c r="G349" t="n">
        <v>3.2</v>
      </c>
      <c r="H349" t="n">
        <v>0</v>
      </c>
      <c r="I349" t="n">
        <v>0</v>
      </c>
      <c r="J349" t="n">
        <v>0</v>
      </c>
      <c r="K349" t="n">
        <v>0</v>
      </c>
      <c r="L349" t="n">
        <v>0</v>
      </c>
      <c r="M349" t="n">
        <v>0</v>
      </c>
      <c r="N349" t="n">
        <v>0</v>
      </c>
      <c r="O349" t="n">
        <v>0</v>
      </c>
      <c r="P349" t="n">
        <v>0</v>
      </c>
      <c r="Q349" t="n">
        <v>0</v>
      </c>
      <c r="R349" s="2" t="inlineStr"/>
    </row>
    <row r="350" ht="15" customHeight="1">
      <c r="A350" t="inlineStr">
        <is>
          <t>A 4352-2023</t>
        </is>
      </c>
      <c r="B350" s="1" t="n">
        <v>44954</v>
      </c>
      <c r="C350" s="1" t="n">
        <v>45742</v>
      </c>
      <c r="D350" t="inlineStr">
        <is>
          <t>ÖREBRO LÄN</t>
        </is>
      </c>
      <c r="E350" t="inlineStr">
        <is>
          <t>HÄLLEFORS</t>
        </is>
      </c>
      <c r="G350" t="n">
        <v>4</v>
      </c>
      <c r="H350" t="n">
        <v>0</v>
      </c>
      <c r="I350" t="n">
        <v>0</v>
      </c>
      <c r="J350" t="n">
        <v>0</v>
      </c>
      <c r="K350" t="n">
        <v>0</v>
      </c>
      <c r="L350" t="n">
        <v>0</v>
      </c>
      <c r="M350" t="n">
        <v>0</v>
      </c>
      <c r="N350" t="n">
        <v>0</v>
      </c>
      <c r="O350" t="n">
        <v>0</v>
      </c>
      <c r="P350" t="n">
        <v>0</v>
      </c>
      <c r="Q350" t="n">
        <v>0</v>
      </c>
      <c r="R350" s="2" t="inlineStr"/>
    </row>
    <row r="351" ht="15" customHeight="1">
      <c r="A351" t="inlineStr">
        <is>
          <t>A 4353-2023</t>
        </is>
      </c>
      <c r="B351" s="1" t="n">
        <v>44954</v>
      </c>
      <c r="C351" s="1" t="n">
        <v>45742</v>
      </c>
      <c r="D351" t="inlineStr">
        <is>
          <t>ÖREBRO LÄN</t>
        </is>
      </c>
      <c r="E351" t="inlineStr">
        <is>
          <t>HÄLLEFORS</t>
        </is>
      </c>
      <c r="G351" t="n">
        <v>0.5</v>
      </c>
      <c r="H351" t="n">
        <v>0</v>
      </c>
      <c r="I351" t="n">
        <v>0</v>
      </c>
      <c r="J351" t="n">
        <v>0</v>
      </c>
      <c r="K351" t="n">
        <v>0</v>
      </c>
      <c r="L351" t="n">
        <v>0</v>
      </c>
      <c r="M351" t="n">
        <v>0</v>
      </c>
      <c r="N351" t="n">
        <v>0</v>
      </c>
      <c r="O351" t="n">
        <v>0</v>
      </c>
      <c r="P351" t="n">
        <v>0</v>
      </c>
      <c r="Q351" t="n">
        <v>0</v>
      </c>
      <c r="R351" s="2" t="inlineStr"/>
    </row>
    <row r="352" ht="15" customHeight="1">
      <c r="A352" t="inlineStr">
        <is>
          <t>A 4994-2023</t>
        </is>
      </c>
      <c r="B352" s="1" t="n">
        <v>44958</v>
      </c>
      <c r="C352" s="1" t="n">
        <v>45742</v>
      </c>
      <c r="D352" t="inlineStr">
        <is>
          <t>ÖREBRO LÄN</t>
        </is>
      </c>
      <c r="E352" t="inlineStr">
        <is>
          <t>HÄLLEFORS</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5195-2023</t>
        </is>
      </c>
      <c r="B353" s="1" t="n">
        <v>44959</v>
      </c>
      <c r="C353" s="1" t="n">
        <v>45742</v>
      </c>
      <c r="D353" t="inlineStr">
        <is>
          <t>ÖREBRO LÄN</t>
        </is>
      </c>
      <c r="E353" t="inlineStr">
        <is>
          <t>HÄLLEFORS</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5583-2023</t>
        </is>
      </c>
      <c r="B354" s="1" t="n">
        <v>44960</v>
      </c>
      <c r="C354" s="1" t="n">
        <v>45742</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6292-2023</t>
        </is>
      </c>
      <c r="B355" s="1" t="n">
        <v>44965</v>
      </c>
      <c r="C355" s="1" t="n">
        <v>45742</v>
      </c>
      <c r="D355" t="inlineStr">
        <is>
          <t>ÖREBRO LÄN</t>
        </is>
      </c>
      <c r="E355" t="inlineStr">
        <is>
          <t>HÄLLEFORS</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6289-2023</t>
        </is>
      </c>
      <c r="B356" s="1" t="n">
        <v>44965</v>
      </c>
      <c r="C356" s="1" t="n">
        <v>45742</v>
      </c>
      <c r="D356" t="inlineStr">
        <is>
          <t>ÖREBRO LÄN</t>
        </is>
      </c>
      <c r="E356" t="inlineStr">
        <is>
          <t>HÄLLEFORS</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6296-2023</t>
        </is>
      </c>
      <c r="B357" s="1" t="n">
        <v>44965</v>
      </c>
      <c r="C357" s="1" t="n">
        <v>45742</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8911-2023</t>
        </is>
      </c>
      <c r="B358" s="1" t="n">
        <v>44979</v>
      </c>
      <c r="C358" s="1" t="n">
        <v>45742</v>
      </c>
      <c r="D358" t="inlineStr">
        <is>
          <t>ÖREBRO LÄN</t>
        </is>
      </c>
      <c r="E358" t="inlineStr">
        <is>
          <t>HÄLLEFORS</t>
        </is>
      </c>
      <c r="F358" t="inlineStr">
        <is>
          <t>Bergvik skog väst AB</t>
        </is>
      </c>
      <c r="G358" t="n">
        <v>4.6</v>
      </c>
      <c r="H358" t="n">
        <v>0</v>
      </c>
      <c r="I358" t="n">
        <v>0</v>
      </c>
      <c r="J358" t="n">
        <v>0</v>
      </c>
      <c r="K358" t="n">
        <v>0</v>
      </c>
      <c r="L358" t="n">
        <v>0</v>
      </c>
      <c r="M358" t="n">
        <v>0</v>
      </c>
      <c r="N358" t="n">
        <v>0</v>
      </c>
      <c r="O358" t="n">
        <v>0</v>
      </c>
      <c r="P358" t="n">
        <v>0</v>
      </c>
      <c r="Q358" t="n">
        <v>0</v>
      </c>
      <c r="R358" s="2" t="inlineStr"/>
    </row>
    <row r="359" ht="15" customHeight="1">
      <c r="A359" t="inlineStr">
        <is>
          <t>A 9009-2023</t>
        </is>
      </c>
      <c r="B359" s="1" t="n">
        <v>44979</v>
      </c>
      <c r="C359" s="1" t="n">
        <v>45742</v>
      </c>
      <c r="D359" t="inlineStr">
        <is>
          <t>ÖREBRO LÄN</t>
        </is>
      </c>
      <c r="E359" t="inlineStr">
        <is>
          <t>HÄLLEFORS</t>
        </is>
      </c>
      <c r="G359" t="n">
        <v>0.6</v>
      </c>
      <c r="H359" t="n">
        <v>0</v>
      </c>
      <c r="I359" t="n">
        <v>0</v>
      </c>
      <c r="J359" t="n">
        <v>0</v>
      </c>
      <c r="K359" t="n">
        <v>0</v>
      </c>
      <c r="L359" t="n">
        <v>0</v>
      </c>
      <c r="M359" t="n">
        <v>0</v>
      </c>
      <c r="N359" t="n">
        <v>0</v>
      </c>
      <c r="O359" t="n">
        <v>0</v>
      </c>
      <c r="P359" t="n">
        <v>0</v>
      </c>
      <c r="Q359" t="n">
        <v>0</v>
      </c>
      <c r="R359" s="2" t="inlineStr"/>
    </row>
    <row r="360" ht="15" customHeight="1">
      <c r="A360" t="inlineStr">
        <is>
          <t>A 9516-2023</t>
        </is>
      </c>
      <c r="B360" s="1" t="n">
        <v>44981</v>
      </c>
      <c r="C360" s="1" t="n">
        <v>45742</v>
      </c>
      <c r="D360" t="inlineStr">
        <is>
          <t>ÖREBRO LÄN</t>
        </is>
      </c>
      <c r="E360" t="inlineStr">
        <is>
          <t>HÄLLEFORS</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45742</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9515-2023</t>
        </is>
      </c>
      <c r="B362" s="1" t="n">
        <v>44981</v>
      </c>
      <c r="C362" s="1" t="n">
        <v>45742</v>
      </c>
      <c r="D362" t="inlineStr">
        <is>
          <t>ÖREBRO LÄN</t>
        </is>
      </c>
      <c r="E362" t="inlineStr">
        <is>
          <t>HÄLLEFORS</t>
        </is>
      </c>
      <c r="F362" t="inlineStr">
        <is>
          <t>Sveaskog</t>
        </is>
      </c>
      <c r="G362" t="n">
        <v>10.9</v>
      </c>
      <c r="H362" t="n">
        <v>0</v>
      </c>
      <c r="I362" t="n">
        <v>0</v>
      </c>
      <c r="J362" t="n">
        <v>0</v>
      </c>
      <c r="K362" t="n">
        <v>0</v>
      </c>
      <c r="L362" t="n">
        <v>0</v>
      </c>
      <c r="M362" t="n">
        <v>0</v>
      </c>
      <c r="N362" t="n">
        <v>0</v>
      </c>
      <c r="O362" t="n">
        <v>0</v>
      </c>
      <c r="P362" t="n">
        <v>0</v>
      </c>
      <c r="Q362" t="n">
        <v>0</v>
      </c>
      <c r="R362" s="2" t="inlineStr"/>
    </row>
    <row r="363" ht="15" customHeight="1">
      <c r="A363" t="inlineStr">
        <is>
          <t>A 9513-2023</t>
        </is>
      </c>
      <c r="B363" s="1" t="n">
        <v>44981</v>
      </c>
      <c r="C363" s="1" t="n">
        <v>45742</v>
      </c>
      <c r="D363" t="inlineStr">
        <is>
          <t>ÖREBRO LÄN</t>
        </is>
      </c>
      <c r="E363" t="inlineStr">
        <is>
          <t>HÄLLEFORS</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9524-2023</t>
        </is>
      </c>
      <c r="B364" s="1" t="n">
        <v>44981</v>
      </c>
      <c r="C364" s="1" t="n">
        <v>45742</v>
      </c>
      <c r="D364" t="inlineStr">
        <is>
          <t>ÖREBRO LÄN</t>
        </is>
      </c>
      <c r="E364" t="inlineStr">
        <is>
          <t>HÄLLEFORS</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10164-2023</t>
        </is>
      </c>
      <c r="B365" s="1" t="n">
        <v>44986</v>
      </c>
      <c r="C365" s="1" t="n">
        <v>45742</v>
      </c>
      <c r="D365" t="inlineStr">
        <is>
          <t>ÖREBRO LÄN</t>
        </is>
      </c>
      <c r="E365" t="inlineStr">
        <is>
          <t>HÄLLEFORS</t>
        </is>
      </c>
      <c r="F365" t="inlineStr">
        <is>
          <t>Bergvik skog väst AB</t>
        </is>
      </c>
      <c r="G365" t="n">
        <v>13.2</v>
      </c>
      <c r="H365" t="n">
        <v>0</v>
      </c>
      <c r="I365" t="n">
        <v>0</v>
      </c>
      <c r="J365" t="n">
        <v>0</v>
      </c>
      <c r="K365" t="n">
        <v>0</v>
      </c>
      <c r="L365" t="n">
        <v>0</v>
      </c>
      <c r="M365" t="n">
        <v>0</v>
      </c>
      <c r="N365" t="n">
        <v>0</v>
      </c>
      <c r="O365" t="n">
        <v>0</v>
      </c>
      <c r="P365" t="n">
        <v>0</v>
      </c>
      <c r="Q365" t="n">
        <v>0</v>
      </c>
      <c r="R365" s="2" t="inlineStr"/>
    </row>
    <row r="366" ht="15" customHeight="1">
      <c r="A366" t="inlineStr">
        <is>
          <t>A 10522-2023</t>
        </is>
      </c>
      <c r="B366" s="1" t="n">
        <v>44987</v>
      </c>
      <c r="C366" s="1" t="n">
        <v>45742</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12696-2023</t>
        </is>
      </c>
      <c r="B367" s="1" t="n">
        <v>45000</v>
      </c>
      <c r="C367" s="1" t="n">
        <v>45742</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12693-2023</t>
        </is>
      </c>
      <c r="B368" s="1" t="n">
        <v>45000</v>
      </c>
      <c r="C368" s="1" t="n">
        <v>45742</v>
      </c>
      <c r="D368" t="inlineStr">
        <is>
          <t>ÖREBRO LÄN</t>
        </is>
      </c>
      <c r="E368" t="inlineStr">
        <is>
          <t>HÄLLEFORS</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12546-2023</t>
        </is>
      </c>
      <c r="B369" s="1" t="n">
        <v>45000</v>
      </c>
      <c r="C369" s="1" t="n">
        <v>45742</v>
      </c>
      <c r="D369" t="inlineStr">
        <is>
          <t>ÖREBRO LÄN</t>
        </is>
      </c>
      <c r="E369" t="inlineStr">
        <is>
          <t>HÄLLEFORS</t>
        </is>
      </c>
      <c r="F369" t="inlineStr">
        <is>
          <t>Bergvik skog väst AB</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45742</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12697-2023</t>
        </is>
      </c>
      <c r="B371" s="1" t="n">
        <v>45000</v>
      </c>
      <c r="C371" s="1" t="n">
        <v>45742</v>
      </c>
      <c r="D371" t="inlineStr">
        <is>
          <t>ÖREBRO LÄN</t>
        </is>
      </c>
      <c r="E371" t="inlineStr">
        <is>
          <t>HÄLLEFORS</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13299-2023</t>
        </is>
      </c>
      <c r="B372" s="1" t="n">
        <v>45005</v>
      </c>
      <c r="C372" s="1" t="n">
        <v>45742</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13758-2023</t>
        </is>
      </c>
      <c r="B373" s="1" t="n">
        <v>45007</v>
      </c>
      <c r="C373" s="1" t="n">
        <v>45742</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13739-2023</t>
        </is>
      </c>
      <c r="B374" s="1" t="n">
        <v>45007</v>
      </c>
      <c r="C374" s="1" t="n">
        <v>45742</v>
      </c>
      <c r="D374" t="inlineStr">
        <is>
          <t>ÖREBRO LÄN</t>
        </is>
      </c>
      <c r="E374" t="inlineStr">
        <is>
          <t>HÄLLEFORS</t>
        </is>
      </c>
      <c r="F374" t="inlineStr">
        <is>
          <t>Bergvik skog väst AB</t>
        </is>
      </c>
      <c r="G374" t="n">
        <v>6.2</v>
      </c>
      <c r="H374" t="n">
        <v>0</v>
      </c>
      <c r="I374" t="n">
        <v>0</v>
      </c>
      <c r="J374" t="n">
        <v>0</v>
      </c>
      <c r="K374" t="n">
        <v>0</v>
      </c>
      <c r="L374" t="n">
        <v>0</v>
      </c>
      <c r="M374" t="n">
        <v>0</v>
      </c>
      <c r="N374" t="n">
        <v>0</v>
      </c>
      <c r="O374" t="n">
        <v>0</v>
      </c>
      <c r="P374" t="n">
        <v>0</v>
      </c>
      <c r="Q374" t="n">
        <v>0</v>
      </c>
      <c r="R374" s="2" t="inlineStr"/>
    </row>
    <row r="375" ht="15" customHeight="1">
      <c r="A375" t="inlineStr">
        <is>
          <t>A 13757-2023</t>
        </is>
      </c>
      <c r="B375" s="1" t="n">
        <v>45007</v>
      </c>
      <c r="C375" s="1" t="n">
        <v>45742</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14120-2023</t>
        </is>
      </c>
      <c r="B376" s="1" t="n">
        <v>45009</v>
      </c>
      <c r="C376" s="1" t="n">
        <v>45742</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14127-2023</t>
        </is>
      </c>
      <c r="B377" s="1" t="n">
        <v>45009</v>
      </c>
      <c r="C377" s="1" t="n">
        <v>45742</v>
      </c>
      <c r="D377" t="inlineStr">
        <is>
          <t>ÖREBRO LÄN</t>
        </is>
      </c>
      <c r="E377" t="inlineStr">
        <is>
          <t>HÄLLEFORS</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14894-2023</t>
        </is>
      </c>
      <c r="B378" s="1" t="n">
        <v>45015</v>
      </c>
      <c r="C378" s="1" t="n">
        <v>45742</v>
      </c>
      <c r="D378" t="inlineStr">
        <is>
          <t>ÖREBRO LÄN</t>
        </is>
      </c>
      <c r="E378" t="inlineStr">
        <is>
          <t>HÄLLEFORS</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15247-2023</t>
        </is>
      </c>
      <c r="B379" s="1" t="n">
        <v>45019</v>
      </c>
      <c r="C379" s="1" t="n">
        <v>45742</v>
      </c>
      <c r="D379" t="inlineStr">
        <is>
          <t>ÖREBRO LÄN</t>
        </is>
      </c>
      <c r="E379" t="inlineStr">
        <is>
          <t>HÄLLEFORS</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15249-2023</t>
        </is>
      </c>
      <c r="B380" s="1" t="n">
        <v>45019</v>
      </c>
      <c r="C380" s="1" t="n">
        <v>45742</v>
      </c>
      <c r="D380" t="inlineStr">
        <is>
          <t>ÖREBRO LÄN</t>
        </is>
      </c>
      <c r="E380" t="inlineStr">
        <is>
          <t>HÄLLEFORS</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15248-2023</t>
        </is>
      </c>
      <c r="B381" s="1" t="n">
        <v>45019</v>
      </c>
      <c r="C381" s="1" t="n">
        <v>45742</v>
      </c>
      <c r="D381" t="inlineStr">
        <is>
          <t>ÖREBRO LÄN</t>
        </is>
      </c>
      <c r="E381" t="inlineStr">
        <is>
          <t>HÄLLEFORS</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15941-2023</t>
        </is>
      </c>
      <c r="B382" s="1" t="n">
        <v>45022</v>
      </c>
      <c r="C382" s="1" t="n">
        <v>45742</v>
      </c>
      <c r="D382" t="inlineStr">
        <is>
          <t>ÖREBRO LÄN</t>
        </is>
      </c>
      <c r="E382" t="inlineStr">
        <is>
          <t>HÄLLEFORS</t>
        </is>
      </c>
      <c r="G382" t="n">
        <v>1.9</v>
      </c>
      <c r="H382" t="n">
        <v>0</v>
      </c>
      <c r="I382" t="n">
        <v>0</v>
      </c>
      <c r="J382" t="n">
        <v>0</v>
      </c>
      <c r="K382" t="n">
        <v>0</v>
      </c>
      <c r="L382" t="n">
        <v>0</v>
      </c>
      <c r="M382" t="n">
        <v>0</v>
      </c>
      <c r="N382" t="n">
        <v>0</v>
      </c>
      <c r="O382" t="n">
        <v>0</v>
      </c>
      <c r="P382" t="n">
        <v>0</v>
      </c>
      <c r="Q382" t="n">
        <v>0</v>
      </c>
      <c r="R382" s="2" t="inlineStr"/>
    </row>
    <row r="383" ht="15" customHeight="1">
      <c r="A383" t="inlineStr">
        <is>
          <t>A 16026-2023</t>
        </is>
      </c>
      <c r="B383" s="1" t="n">
        <v>45027</v>
      </c>
      <c r="C383" s="1" t="n">
        <v>45742</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16053-2023</t>
        </is>
      </c>
      <c r="B384" s="1" t="n">
        <v>45027</v>
      </c>
      <c r="C384" s="1" t="n">
        <v>45742</v>
      </c>
      <c r="D384" t="inlineStr">
        <is>
          <t>ÖREBRO LÄN</t>
        </is>
      </c>
      <c r="E384" t="inlineStr">
        <is>
          <t>HÄLLEFORS</t>
        </is>
      </c>
      <c r="F384" t="inlineStr">
        <is>
          <t>Bergvik skog väst AB</t>
        </is>
      </c>
      <c r="G384" t="n">
        <v>14.7</v>
      </c>
      <c r="H384" t="n">
        <v>0</v>
      </c>
      <c r="I384" t="n">
        <v>0</v>
      </c>
      <c r="J384" t="n">
        <v>0</v>
      </c>
      <c r="K384" t="n">
        <v>0</v>
      </c>
      <c r="L384" t="n">
        <v>0</v>
      </c>
      <c r="M384" t="n">
        <v>0</v>
      </c>
      <c r="N384" t="n">
        <v>0</v>
      </c>
      <c r="O384" t="n">
        <v>0</v>
      </c>
      <c r="P384" t="n">
        <v>0</v>
      </c>
      <c r="Q384" t="n">
        <v>0</v>
      </c>
      <c r="R384" s="2" t="inlineStr"/>
    </row>
    <row r="385" ht="15" customHeight="1">
      <c r="A385" t="inlineStr">
        <is>
          <t>A 17765-2023</t>
        </is>
      </c>
      <c r="B385" s="1" t="n">
        <v>45037</v>
      </c>
      <c r="C385" s="1" t="n">
        <v>45742</v>
      </c>
      <c r="D385" t="inlineStr">
        <is>
          <t>ÖREBRO LÄN</t>
        </is>
      </c>
      <c r="E385" t="inlineStr">
        <is>
          <t>HÄLLEFORS</t>
        </is>
      </c>
      <c r="F385" t="inlineStr">
        <is>
          <t>Bergvik skog väst AB</t>
        </is>
      </c>
      <c r="G385" t="n">
        <v>7</v>
      </c>
      <c r="H385" t="n">
        <v>0</v>
      </c>
      <c r="I385" t="n">
        <v>0</v>
      </c>
      <c r="J385" t="n">
        <v>0</v>
      </c>
      <c r="K385" t="n">
        <v>0</v>
      </c>
      <c r="L385" t="n">
        <v>0</v>
      </c>
      <c r="M385" t="n">
        <v>0</v>
      </c>
      <c r="N385" t="n">
        <v>0</v>
      </c>
      <c r="O385" t="n">
        <v>0</v>
      </c>
      <c r="P385" t="n">
        <v>0</v>
      </c>
      <c r="Q385" t="n">
        <v>0</v>
      </c>
      <c r="R385" s="2" t="inlineStr"/>
    </row>
    <row r="386" ht="15" customHeight="1">
      <c r="A386" t="inlineStr">
        <is>
          <t>A 17769-2023</t>
        </is>
      </c>
      <c r="B386" s="1" t="n">
        <v>45037</v>
      </c>
      <c r="C386" s="1" t="n">
        <v>45742</v>
      </c>
      <c r="D386" t="inlineStr">
        <is>
          <t>ÖREBRO LÄN</t>
        </is>
      </c>
      <c r="E386" t="inlineStr">
        <is>
          <t>HÄLLEFORS</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17762-2023</t>
        </is>
      </c>
      <c r="B387" s="1" t="n">
        <v>45037</v>
      </c>
      <c r="C387" s="1" t="n">
        <v>45742</v>
      </c>
      <c r="D387" t="inlineStr">
        <is>
          <t>ÖREBRO LÄN</t>
        </is>
      </c>
      <c r="E387" t="inlineStr">
        <is>
          <t>HÄLLEFORS</t>
        </is>
      </c>
      <c r="F387" t="inlineStr">
        <is>
          <t>Bergvik skog väst AB</t>
        </is>
      </c>
      <c r="G387" t="n">
        <v>10.1</v>
      </c>
      <c r="H387" t="n">
        <v>0</v>
      </c>
      <c r="I387" t="n">
        <v>0</v>
      </c>
      <c r="J387" t="n">
        <v>0</v>
      </c>
      <c r="K387" t="n">
        <v>0</v>
      </c>
      <c r="L387" t="n">
        <v>0</v>
      </c>
      <c r="M387" t="n">
        <v>0</v>
      </c>
      <c r="N387" t="n">
        <v>0</v>
      </c>
      <c r="O387" t="n">
        <v>0</v>
      </c>
      <c r="P387" t="n">
        <v>0</v>
      </c>
      <c r="Q387" t="n">
        <v>0</v>
      </c>
      <c r="R387" s="2" t="inlineStr"/>
    </row>
    <row r="388" ht="15" customHeight="1">
      <c r="A388" t="inlineStr">
        <is>
          <t>A 17767-2023</t>
        </is>
      </c>
      <c r="B388" s="1" t="n">
        <v>45037</v>
      </c>
      <c r="C388" s="1" t="n">
        <v>45742</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17764-2023</t>
        </is>
      </c>
      <c r="B389" s="1" t="n">
        <v>45037</v>
      </c>
      <c r="C389" s="1" t="n">
        <v>45742</v>
      </c>
      <c r="D389" t="inlineStr">
        <is>
          <t>ÖREBRO LÄN</t>
        </is>
      </c>
      <c r="E389" t="inlineStr">
        <is>
          <t>HÄLLEFORS</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18848-2023</t>
        </is>
      </c>
      <c r="B390" s="1" t="n">
        <v>45044</v>
      </c>
      <c r="C390" s="1" t="n">
        <v>45742</v>
      </c>
      <c r="D390" t="inlineStr">
        <is>
          <t>ÖREBRO LÄN</t>
        </is>
      </c>
      <c r="E390" t="inlineStr">
        <is>
          <t>HÄLLEFORS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19083-2023</t>
        </is>
      </c>
      <c r="B391" s="1" t="n">
        <v>45048</v>
      </c>
      <c r="C391" s="1" t="n">
        <v>45742</v>
      </c>
      <c r="D391" t="inlineStr">
        <is>
          <t>ÖREBRO LÄN</t>
        </is>
      </c>
      <c r="E391" t="inlineStr">
        <is>
          <t>HÄLLEFORS</t>
        </is>
      </c>
      <c r="F391" t="inlineStr">
        <is>
          <t>Bergvik skog väst AB</t>
        </is>
      </c>
      <c r="G391" t="n">
        <v>11.9</v>
      </c>
      <c r="H391" t="n">
        <v>0</v>
      </c>
      <c r="I391" t="n">
        <v>0</v>
      </c>
      <c r="J391" t="n">
        <v>0</v>
      </c>
      <c r="K391" t="n">
        <v>0</v>
      </c>
      <c r="L391" t="n">
        <v>0</v>
      </c>
      <c r="M391" t="n">
        <v>0</v>
      </c>
      <c r="N391" t="n">
        <v>0</v>
      </c>
      <c r="O391" t="n">
        <v>0</v>
      </c>
      <c r="P391" t="n">
        <v>0</v>
      </c>
      <c r="Q391" t="n">
        <v>0</v>
      </c>
      <c r="R391" s="2" t="inlineStr"/>
    </row>
    <row r="392" ht="15" customHeight="1">
      <c r="A392" t="inlineStr">
        <is>
          <t>A 19753-2023</t>
        </is>
      </c>
      <c r="B392" s="1" t="n">
        <v>45051</v>
      </c>
      <c r="C392" s="1" t="n">
        <v>45742</v>
      </c>
      <c r="D392" t="inlineStr">
        <is>
          <t>ÖREBRO LÄN</t>
        </is>
      </c>
      <c r="E392" t="inlineStr">
        <is>
          <t>HÄLLEFORS</t>
        </is>
      </c>
      <c r="F392" t="inlineStr">
        <is>
          <t>Bergvik skog väst AB</t>
        </is>
      </c>
      <c r="G392" t="n">
        <v>10.9</v>
      </c>
      <c r="H392" t="n">
        <v>0</v>
      </c>
      <c r="I392" t="n">
        <v>0</v>
      </c>
      <c r="J392" t="n">
        <v>0</v>
      </c>
      <c r="K392" t="n">
        <v>0</v>
      </c>
      <c r="L392" t="n">
        <v>0</v>
      </c>
      <c r="M392" t="n">
        <v>0</v>
      </c>
      <c r="N392" t="n">
        <v>0</v>
      </c>
      <c r="O392" t="n">
        <v>0</v>
      </c>
      <c r="P392" t="n">
        <v>0</v>
      </c>
      <c r="Q392" t="n">
        <v>0</v>
      </c>
      <c r="R392" s="2" t="inlineStr"/>
    </row>
    <row r="393" ht="15" customHeight="1">
      <c r="A393" t="inlineStr">
        <is>
          <t>A 20177-2023</t>
        </is>
      </c>
      <c r="B393" s="1" t="n">
        <v>45055</v>
      </c>
      <c r="C393" s="1" t="n">
        <v>45742</v>
      </c>
      <c r="D393" t="inlineStr">
        <is>
          <t>ÖREBRO LÄN</t>
        </is>
      </c>
      <c r="E393" t="inlineStr">
        <is>
          <t>HÄLLEFORS</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20494-2023</t>
        </is>
      </c>
      <c r="B394" s="1" t="n">
        <v>45057</v>
      </c>
      <c r="C394" s="1" t="n">
        <v>45742</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20511-2023</t>
        </is>
      </c>
      <c r="B395" s="1" t="n">
        <v>45057</v>
      </c>
      <c r="C395" s="1" t="n">
        <v>45742</v>
      </c>
      <c r="D395" t="inlineStr">
        <is>
          <t>ÖREBRO LÄN</t>
        </is>
      </c>
      <c r="E395" t="inlineStr">
        <is>
          <t>HÄLLEFORS</t>
        </is>
      </c>
      <c r="F395" t="inlineStr">
        <is>
          <t>Bergvik skog väst AB</t>
        </is>
      </c>
      <c r="G395" t="n">
        <v>5.6</v>
      </c>
      <c r="H395" t="n">
        <v>0</v>
      </c>
      <c r="I395" t="n">
        <v>0</v>
      </c>
      <c r="J395" t="n">
        <v>0</v>
      </c>
      <c r="K395" t="n">
        <v>0</v>
      </c>
      <c r="L395" t="n">
        <v>0</v>
      </c>
      <c r="M395" t="n">
        <v>0</v>
      </c>
      <c r="N395" t="n">
        <v>0</v>
      </c>
      <c r="O395" t="n">
        <v>0</v>
      </c>
      <c r="P395" t="n">
        <v>0</v>
      </c>
      <c r="Q395" t="n">
        <v>0</v>
      </c>
      <c r="R395" s="2" t="inlineStr"/>
    </row>
    <row r="396" ht="15" customHeight="1">
      <c r="A396" t="inlineStr">
        <is>
          <t>A 20524-2023</t>
        </is>
      </c>
      <c r="B396" s="1" t="n">
        <v>45057</v>
      </c>
      <c r="C396" s="1" t="n">
        <v>45742</v>
      </c>
      <c r="D396" t="inlineStr">
        <is>
          <t>ÖREBRO LÄN</t>
        </is>
      </c>
      <c r="E396" t="inlineStr">
        <is>
          <t>HÄLLEFORS</t>
        </is>
      </c>
      <c r="F396" t="inlineStr">
        <is>
          <t>Bergvik skog väst AB</t>
        </is>
      </c>
      <c r="G396" t="n">
        <v>5.5</v>
      </c>
      <c r="H396" t="n">
        <v>0</v>
      </c>
      <c r="I396" t="n">
        <v>0</v>
      </c>
      <c r="J396" t="n">
        <v>0</v>
      </c>
      <c r="K396" t="n">
        <v>0</v>
      </c>
      <c r="L396" t="n">
        <v>0</v>
      </c>
      <c r="M396" t="n">
        <v>0</v>
      </c>
      <c r="N396" t="n">
        <v>0</v>
      </c>
      <c r="O396" t="n">
        <v>0</v>
      </c>
      <c r="P396" t="n">
        <v>0</v>
      </c>
      <c r="Q396" t="n">
        <v>0</v>
      </c>
      <c r="R396" s="2" t="inlineStr"/>
    </row>
    <row r="397" ht="15" customHeight="1">
      <c r="A397" t="inlineStr">
        <is>
          <t>A 20827-2023</t>
        </is>
      </c>
      <c r="B397" s="1" t="n">
        <v>45058</v>
      </c>
      <c r="C397" s="1" t="n">
        <v>45742</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20676-2023</t>
        </is>
      </c>
      <c r="B398" s="1" t="n">
        <v>45058</v>
      </c>
      <c r="C398" s="1" t="n">
        <v>45742</v>
      </c>
      <c r="D398" t="inlineStr">
        <is>
          <t>ÖREBRO LÄN</t>
        </is>
      </c>
      <c r="E398" t="inlineStr">
        <is>
          <t>HÄLLEFORS</t>
        </is>
      </c>
      <c r="F398" t="inlineStr">
        <is>
          <t>Bergvik skog väst AB</t>
        </is>
      </c>
      <c r="G398" t="n">
        <v>8.1</v>
      </c>
      <c r="H398" t="n">
        <v>0</v>
      </c>
      <c r="I398" t="n">
        <v>0</v>
      </c>
      <c r="J398" t="n">
        <v>0</v>
      </c>
      <c r="K398" t="n">
        <v>0</v>
      </c>
      <c r="L398" t="n">
        <v>0</v>
      </c>
      <c r="M398" t="n">
        <v>0</v>
      </c>
      <c r="N398" t="n">
        <v>0</v>
      </c>
      <c r="O398" t="n">
        <v>0</v>
      </c>
      <c r="P398" t="n">
        <v>0</v>
      </c>
      <c r="Q398" t="n">
        <v>0</v>
      </c>
      <c r="R398" s="2" t="inlineStr"/>
    </row>
    <row r="399" ht="15" customHeight="1">
      <c r="A399" t="inlineStr">
        <is>
          <t>A 21642-2023</t>
        </is>
      </c>
      <c r="B399" s="1" t="n">
        <v>45063</v>
      </c>
      <c r="C399" s="1" t="n">
        <v>45742</v>
      </c>
      <c r="D399" t="inlineStr">
        <is>
          <t>ÖREBRO LÄN</t>
        </is>
      </c>
      <c r="E399" t="inlineStr">
        <is>
          <t>HÄLLEFORS</t>
        </is>
      </c>
      <c r="G399" t="n">
        <v>0.6</v>
      </c>
      <c r="H399" t="n">
        <v>0</v>
      </c>
      <c r="I399" t="n">
        <v>0</v>
      </c>
      <c r="J399" t="n">
        <v>0</v>
      </c>
      <c r="K399" t="n">
        <v>0</v>
      </c>
      <c r="L399" t="n">
        <v>0</v>
      </c>
      <c r="M399" t="n">
        <v>0</v>
      </c>
      <c r="N399" t="n">
        <v>0</v>
      </c>
      <c r="O399" t="n">
        <v>0</v>
      </c>
      <c r="P399" t="n">
        <v>0</v>
      </c>
      <c r="Q399" t="n">
        <v>0</v>
      </c>
      <c r="R399" s="2" t="inlineStr"/>
    </row>
    <row r="400" ht="15" customHeight="1">
      <c r="A400" t="inlineStr">
        <is>
          <t>A 21901-2023</t>
        </is>
      </c>
      <c r="B400" s="1" t="n">
        <v>45068</v>
      </c>
      <c r="C400" s="1" t="n">
        <v>45742</v>
      </c>
      <c r="D400" t="inlineStr">
        <is>
          <t>ÖREBRO LÄN</t>
        </is>
      </c>
      <c r="E400" t="inlineStr">
        <is>
          <t>HÄLLEFORS</t>
        </is>
      </c>
      <c r="G400" t="n">
        <v>1.3</v>
      </c>
      <c r="H400" t="n">
        <v>0</v>
      </c>
      <c r="I400" t="n">
        <v>0</v>
      </c>
      <c r="J400" t="n">
        <v>0</v>
      </c>
      <c r="K400" t="n">
        <v>0</v>
      </c>
      <c r="L400" t="n">
        <v>0</v>
      </c>
      <c r="M400" t="n">
        <v>0</v>
      </c>
      <c r="N400" t="n">
        <v>0</v>
      </c>
      <c r="O400" t="n">
        <v>0</v>
      </c>
      <c r="P400" t="n">
        <v>0</v>
      </c>
      <c r="Q400" t="n">
        <v>0</v>
      </c>
      <c r="R400" s="2" t="inlineStr"/>
    </row>
    <row r="401" ht="15" customHeight="1">
      <c r="A401" t="inlineStr">
        <is>
          <t>A 21845-2023</t>
        </is>
      </c>
      <c r="B401" s="1" t="n">
        <v>45068</v>
      </c>
      <c r="C401" s="1" t="n">
        <v>45742</v>
      </c>
      <c r="D401" t="inlineStr">
        <is>
          <t>ÖREBRO LÄN</t>
        </is>
      </c>
      <c r="E401" t="inlineStr">
        <is>
          <t>HÄLLEFORS</t>
        </is>
      </c>
      <c r="F401" t="inlineStr">
        <is>
          <t>Kyrkan</t>
        </is>
      </c>
      <c r="G401" t="n">
        <v>5.1</v>
      </c>
      <c r="H401" t="n">
        <v>0</v>
      </c>
      <c r="I401" t="n">
        <v>0</v>
      </c>
      <c r="J401" t="n">
        <v>0</v>
      </c>
      <c r="K401" t="n">
        <v>0</v>
      </c>
      <c r="L401" t="n">
        <v>0</v>
      </c>
      <c r="M401" t="n">
        <v>0</v>
      </c>
      <c r="N401" t="n">
        <v>0</v>
      </c>
      <c r="O401" t="n">
        <v>0</v>
      </c>
      <c r="P401" t="n">
        <v>0</v>
      </c>
      <c r="Q401" t="n">
        <v>0</v>
      </c>
      <c r="R401" s="2" t="inlineStr"/>
    </row>
    <row r="402" ht="15" customHeight="1">
      <c r="A402" t="inlineStr">
        <is>
          <t>A 22514-2023</t>
        </is>
      </c>
      <c r="B402" s="1" t="n">
        <v>45071</v>
      </c>
      <c r="C402" s="1" t="n">
        <v>45742</v>
      </c>
      <c r="D402" t="inlineStr">
        <is>
          <t>ÖREBRO LÄN</t>
        </is>
      </c>
      <c r="E402" t="inlineStr">
        <is>
          <t>HÄLLEFORS</t>
        </is>
      </c>
      <c r="G402" t="n">
        <v>5.5</v>
      </c>
      <c r="H402" t="n">
        <v>0</v>
      </c>
      <c r="I402" t="n">
        <v>0</v>
      </c>
      <c r="J402" t="n">
        <v>0</v>
      </c>
      <c r="K402" t="n">
        <v>0</v>
      </c>
      <c r="L402" t="n">
        <v>0</v>
      </c>
      <c r="M402" t="n">
        <v>0</v>
      </c>
      <c r="N402" t="n">
        <v>0</v>
      </c>
      <c r="O402" t="n">
        <v>0</v>
      </c>
      <c r="P402" t="n">
        <v>0</v>
      </c>
      <c r="Q402" t="n">
        <v>0</v>
      </c>
      <c r="R402" s="2" t="inlineStr"/>
    </row>
    <row r="403" ht="15" customHeight="1">
      <c r="A403" t="inlineStr">
        <is>
          <t>A 23077-2023</t>
        </is>
      </c>
      <c r="B403" s="1" t="n">
        <v>45075</v>
      </c>
      <c r="C403" s="1" t="n">
        <v>45742</v>
      </c>
      <c r="D403" t="inlineStr">
        <is>
          <t>ÖREBRO LÄN</t>
        </is>
      </c>
      <c r="E403" t="inlineStr">
        <is>
          <t>HÄLLEFORS</t>
        </is>
      </c>
      <c r="F403" t="inlineStr">
        <is>
          <t>Bergvik skog väst AB</t>
        </is>
      </c>
      <c r="G403" t="n">
        <v>3.9</v>
      </c>
      <c r="H403" t="n">
        <v>0</v>
      </c>
      <c r="I403" t="n">
        <v>0</v>
      </c>
      <c r="J403" t="n">
        <v>0</v>
      </c>
      <c r="K403" t="n">
        <v>0</v>
      </c>
      <c r="L403" t="n">
        <v>0</v>
      </c>
      <c r="M403" t="n">
        <v>0</v>
      </c>
      <c r="N403" t="n">
        <v>0</v>
      </c>
      <c r="O403" t="n">
        <v>0</v>
      </c>
      <c r="P403" t="n">
        <v>0</v>
      </c>
      <c r="Q403" t="n">
        <v>0</v>
      </c>
      <c r="R403" s="2" t="inlineStr"/>
    </row>
    <row r="404" ht="15" customHeight="1">
      <c r="A404" t="inlineStr">
        <is>
          <t>A 23168-2023</t>
        </is>
      </c>
      <c r="B404" s="1" t="n">
        <v>45075</v>
      </c>
      <c r="C404" s="1" t="n">
        <v>45742</v>
      </c>
      <c r="D404" t="inlineStr">
        <is>
          <t>ÖREBRO LÄN</t>
        </is>
      </c>
      <c r="E404" t="inlineStr">
        <is>
          <t>HÄLLEFORS</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23170-2023</t>
        </is>
      </c>
      <c r="B405" s="1" t="n">
        <v>45075</v>
      </c>
      <c r="C405" s="1" t="n">
        <v>45742</v>
      </c>
      <c r="D405" t="inlineStr">
        <is>
          <t>ÖREBRO LÄN</t>
        </is>
      </c>
      <c r="E405" t="inlineStr">
        <is>
          <t>HÄLLEFORS</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23549-2023</t>
        </is>
      </c>
      <c r="B406" s="1" t="n">
        <v>45077</v>
      </c>
      <c r="C406" s="1" t="n">
        <v>45742</v>
      </c>
      <c r="D406" t="inlineStr">
        <is>
          <t>ÖREBRO LÄN</t>
        </is>
      </c>
      <c r="E406" t="inlineStr">
        <is>
          <t>HÄLLEFORS</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23561-2023</t>
        </is>
      </c>
      <c r="B407" s="1" t="n">
        <v>45077</v>
      </c>
      <c r="C407" s="1" t="n">
        <v>45742</v>
      </c>
      <c r="D407" t="inlineStr">
        <is>
          <t>ÖREBRO LÄN</t>
        </is>
      </c>
      <c r="E407" t="inlineStr">
        <is>
          <t>HÄLLEFORS</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24014-2023</t>
        </is>
      </c>
      <c r="B408" s="1" t="n">
        <v>45078</v>
      </c>
      <c r="C408" s="1" t="n">
        <v>45742</v>
      </c>
      <c r="D408" t="inlineStr">
        <is>
          <t>ÖREBRO LÄN</t>
        </is>
      </c>
      <c r="E408" t="inlineStr">
        <is>
          <t>HÄLLEFORS</t>
        </is>
      </c>
      <c r="F408" t="inlineStr">
        <is>
          <t>Kommuner</t>
        </is>
      </c>
      <c r="G408" t="n">
        <v>3.1</v>
      </c>
      <c r="H408" t="n">
        <v>0</v>
      </c>
      <c r="I408" t="n">
        <v>0</v>
      </c>
      <c r="J408" t="n">
        <v>0</v>
      </c>
      <c r="K408" t="n">
        <v>0</v>
      </c>
      <c r="L408" t="n">
        <v>0</v>
      </c>
      <c r="M408" t="n">
        <v>0</v>
      </c>
      <c r="N408" t="n">
        <v>0</v>
      </c>
      <c r="O408" t="n">
        <v>0</v>
      </c>
      <c r="P408" t="n">
        <v>0</v>
      </c>
      <c r="Q408" t="n">
        <v>0</v>
      </c>
      <c r="R408" s="2" t="inlineStr"/>
    </row>
    <row r="409" ht="15" customHeight="1">
      <c r="A409" t="inlineStr">
        <is>
          <t>A 24018-2023</t>
        </is>
      </c>
      <c r="B409" s="1" t="n">
        <v>45078</v>
      </c>
      <c r="C409" s="1" t="n">
        <v>45742</v>
      </c>
      <c r="D409" t="inlineStr">
        <is>
          <t>ÖREBRO LÄN</t>
        </is>
      </c>
      <c r="E409" t="inlineStr">
        <is>
          <t>HÄLLEFORS</t>
        </is>
      </c>
      <c r="F409" t="inlineStr">
        <is>
          <t>Kommuner</t>
        </is>
      </c>
      <c r="G409" t="n">
        <v>3.6</v>
      </c>
      <c r="H409" t="n">
        <v>0</v>
      </c>
      <c r="I409" t="n">
        <v>0</v>
      </c>
      <c r="J409" t="n">
        <v>0</v>
      </c>
      <c r="K409" t="n">
        <v>0</v>
      </c>
      <c r="L409" t="n">
        <v>0</v>
      </c>
      <c r="M409" t="n">
        <v>0</v>
      </c>
      <c r="N409" t="n">
        <v>0</v>
      </c>
      <c r="O409" t="n">
        <v>0</v>
      </c>
      <c r="P409" t="n">
        <v>0</v>
      </c>
      <c r="Q409" t="n">
        <v>0</v>
      </c>
      <c r="R409" s="2" t="inlineStr"/>
    </row>
    <row r="410" ht="15" customHeight="1">
      <c r="A410" t="inlineStr">
        <is>
          <t>A 24335-2023</t>
        </is>
      </c>
      <c r="B410" s="1" t="n">
        <v>45081</v>
      </c>
      <c r="C410" s="1" t="n">
        <v>45742</v>
      </c>
      <c r="D410" t="inlineStr">
        <is>
          <t>ÖREBRO LÄN</t>
        </is>
      </c>
      <c r="E410" t="inlineStr">
        <is>
          <t>HÄLLEFORS</t>
        </is>
      </c>
      <c r="G410" t="n">
        <v>3.3</v>
      </c>
      <c r="H410" t="n">
        <v>0</v>
      </c>
      <c r="I410" t="n">
        <v>0</v>
      </c>
      <c r="J410" t="n">
        <v>0</v>
      </c>
      <c r="K410" t="n">
        <v>0</v>
      </c>
      <c r="L410" t="n">
        <v>0</v>
      </c>
      <c r="M410" t="n">
        <v>0</v>
      </c>
      <c r="N410" t="n">
        <v>0</v>
      </c>
      <c r="O410" t="n">
        <v>0</v>
      </c>
      <c r="P410" t="n">
        <v>0</v>
      </c>
      <c r="Q410" t="n">
        <v>0</v>
      </c>
      <c r="R410" s="2" t="inlineStr"/>
    </row>
    <row r="411" ht="15" customHeight="1">
      <c r="A411" t="inlineStr">
        <is>
          <t>A 24361-2023</t>
        </is>
      </c>
      <c r="B411" s="1" t="n">
        <v>45082</v>
      </c>
      <c r="C411" s="1" t="n">
        <v>45742</v>
      </c>
      <c r="D411" t="inlineStr">
        <is>
          <t>ÖREBRO LÄN</t>
        </is>
      </c>
      <c r="E411" t="inlineStr">
        <is>
          <t>HÄLLEFORS</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24359-2023</t>
        </is>
      </c>
      <c r="B412" s="1" t="n">
        <v>45082</v>
      </c>
      <c r="C412" s="1" t="n">
        <v>45742</v>
      </c>
      <c r="D412" t="inlineStr">
        <is>
          <t>ÖREBRO LÄN</t>
        </is>
      </c>
      <c r="E412" t="inlineStr">
        <is>
          <t>HÄLLEFORS</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24564-2023</t>
        </is>
      </c>
      <c r="B413" s="1" t="n">
        <v>45083</v>
      </c>
      <c r="C413" s="1" t="n">
        <v>45742</v>
      </c>
      <c r="D413" t="inlineStr">
        <is>
          <t>ÖREBRO LÄN</t>
        </is>
      </c>
      <c r="E413" t="inlineStr">
        <is>
          <t>HÄLLEFORS</t>
        </is>
      </c>
      <c r="G413" t="n">
        <v>3.1</v>
      </c>
      <c r="H413" t="n">
        <v>0</v>
      </c>
      <c r="I413" t="n">
        <v>0</v>
      </c>
      <c r="J413" t="n">
        <v>0</v>
      </c>
      <c r="K413" t="n">
        <v>0</v>
      </c>
      <c r="L413" t="n">
        <v>0</v>
      </c>
      <c r="M413" t="n">
        <v>0</v>
      </c>
      <c r="N413" t="n">
        <v>0</v>
      </c>
      <c r="O413" t="n">
        <v>0</v>
      </c>
      <c r="P413" t="n">
        <v>0</v>
      </c>
      <c r="Q413" t="n">
        <v>0</v>
      </c>
      <c r="R413" s="2" t="inlineStr"/>
    </row>
    <row r="414" ht="15" customHeight="1">
      <c r="A414" t="inlineStr">
        <is>
          <t>A 25695-2023</t>
        </is>
      </c>
      <c r="B414" s="1" t="n">
        <v>45089</v>
      </c>
      <c r="C414" s="1" t="n">
        <v>45742</v>
      </c>
      <c r="D414" t="inlineStr">
        <is>
          <t>ÖREBRO LÄN</t>
        </is>
      </c>
      <c r="E414" t="inlineStr">
        <is>
          <t>HÄLLEFORS</t>
        </is>
      </c>
      <c r="G414" t="n">
        <v>12.8</v>
      </c>
      <c r="H414" t="n">
        <v>0</v>
      </c>
      <c r="I414" t="n">
        <v>0</v>
      </c>
      <c r="J414" t="n">
        <v>0</v>
      </c>
      <c r="K414" t="n">
        <v>0</v>
      </c>
      <c r="L414" t="n">
        <v>0</v>
      </c>
      <c r="M414" t="n">
        <v>0</v>
      </c>
      <c r="N414" t="n">
        <v>0</v>
      </c>
      <c r="O414" t="n">
        <v>0</v>
      </c>
      <c r="P414" t="n">
        <v>0</v>
      </c>
      <c r="Q414" t="n">
        <v>0</v>
      </c>
      <c r="R414" s="2" t="inlineStr"/>
    </row>
    <row r="415" ht="15" customHeight="1">
      <c r="A415" t="inlineStr">
        <is>
          <t>A 26070-2023</t>
        </is>
      </c>
      <c r="B415" s="1" t="n">
        <v>45091</v>
      </c>
      <c r="C415" s="1" t="n">
        <v>45742</v>
      </c>
      <c r="D415" t="inlineStr">
        <is>
          <t>ÖREBRO LÄN</t>
        </is>
      </c>
      <c r="E415" t="inlineStr">
        <is>
          <t>HÄLLEFORS</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27935-2023</t>
        </is>
      </c>
      <c r="B416" s="1" t="n">
        <v>45098</v>
      </c>
      <c r="C416" s="1" t="n">
        <v>45742</v>
      </c>
      <c r="D416" t="inlineStr">
        <is>
          <t>ÖREBRO LÄN</t>
        </is>
      </c>
      <c r="E416" t="inlineStr">
        <is>
          <t>HÄLLEFORS</t>
        </is>
      </c>
      <c r="G416" t="n">
        <v>1.1</v>
      </c>
      <c r="H416" t="n">
        <v>0</v>
      </c>
      <c r="I416" t="n">
        <v>0</v>
      </c>
      <c r="J416" t="n">
        <v>0</v>
      </c>
      <c r="K416" t="n">
        <v>0</v>
      </c>
      <c r="L416" t="n">
        <v>0</v>
      </c>
      <c r="M416" t="n">
        <v>0</v>
      </c>
      <c r="N416" t="n">
        <v>0</v>
      </c>
      <c r="O416" t="n">
        <v>0</v>
      </c>
      <c r="P416" t="n">
        <v>0</v>
      </c>
      <c r="Q416" t="n">
        <v>0</v>
      </c>
      <c r="R416" s="2" t="inlineStr"/>
    </row>
    <row r="417" ht="15" customHeight="1">
      <c r="A417" t="inlineStr">
        <is>
          <t>A 27949-2023</t>
        </is>
      </c>
      <c r="B417" s="1" t="n">
        <v>45098</v>
      </c>
      <c r="C417" s="1" t="n">
        <v>45742</v>
      </c>
      <c r="D417" t="inlineStr">
        <is>
          <t>ÖREBRO LÄN</t>
        </is>
      </c>
      <c r="E417" t="inlineStr">
        <is>
          <t>HÄLLEFORS</t>
        </is>
      </c>
      <c r="G417" t="n">
        <v>2.8</v>
      </c>
      <c r="H417" t="n">
        <v>0</v>
      </c>
      <c r="I417" t="n">
        <v>0</v>
      </c>
      <c r="J417" t="n">
        <v>0</v>
      </c>
      <c r="K417" t="n">
        <v>0</v>
      </c>
      <c r="L417" t="n">
        <v>0</v>
      </c>
      <c r="M417" t="n">
        <v>0</v>
      </c>
      <c r="N417" t="n">
        <v>0</v>
      </c>
      <c r="O417" t="n">
        <v>0</v>
      </c>
      <c r="P417" t="n">
        <v>0</v>
      </c>
      <c r="Q417" t="n">
        <v>0</v>
      </c>
      <c r="R417" s="2" t="inlineStr"/>
    </row>
    <row r="418" ht="15" customHeight="1">
      <c r="A418" t="inlineStr">
        <is>
          <t>A 30282-2023</t>
        </is>
      </c>
      <c r="B418" s="1" t="n">
        <v>45110</v>
      </c>
      <c r="C418" s="1" t="n">
        <v>45742</v>
      </c>
      <c r="D418" t="inlineStr">
        <is>
          <t>ÖREBRO LÄN</t>
        </is>
      </c>
      <c r="E418" t="inlineStr">
        <is>
          <t>HÄLLEFORS</t>
        </is>
      </c>
      <c r="G418" t="n">
        <v>1.9</v>
      </c>
      <c r="H418" t="n">
        <v>0</v>
      </c>
      <c r="I418" t="n">
        <v>0</v>
      </c>
      <c r="J418" t="n">
        <v>0</v>
      </c>
      <c r="K418" t="n">
        <v>0</v>
      </c>
      <c r="L418" t="n">
        <v>0</v>
      </c>
      <c r="M418" t="n">
        <v>0</v>
      </c>
      <c r="N418" t="n">
        <v>0</v>
      </c>
      <c r="O418" t="n">
        <v>0</v>
      </c>
      <c r="P418" t="n">
        <v>0</v>
      </c>
      <c r="Q418" t="n">
        <v>0</v>
      </c>
      <c r="R418" s="2" t="inlineStr"/>
    </row>
    <row r="419" ht="15" customHeight="1">
      <c r="A419" t="inlineStr">
        <is>
          <t>A 30865-2023</t>
        </is>
      </c>
      <c r="B419" s="1" t="n">
        <v>45113</v>
      </c>
      <c r="C419" s="1" t="n">
        <v>45742</v>
      </c>
      <c r="D419" t="inlineStr">
        <is>
          <t>ÖREBRO LÄN</t>
        </is>
      </c>
      <c r="E419" t="inlineStr">
        <is>
          <t>HÄLLEFORS</t>
        </is>
      </c>
      <c r="G419" t="n">
        <v>4.5</v>
      </c>
      <c r="H419" t="n">
        <v>0</v>
      </c>
      <c r="I419" t="n">
        <v>0</v>
      </c>
      <c r="J419" t="n">
        <v>0</v>
      </c>
      <c r="K419" t="n">
        <v>0</v>
      </c>
      <c r="L419" t="n">
        <v>0</v>
      </c>
      <c r="M419" t="n">
        <v>0</v>
      </c>
      <c r="N419" t="n">
        <v>0</v>
      </c>
      <c r="O419" t="n">
        <v>0</v>
      </c>
      <c r="P419" t="n">
        <v>0</v>
      </c>
      <c r="Q419" t="n">
        <v>0</v>
      </c>
      <c r="R419" s="2" t="inlineStr"/>
    </row>
    <row r="420" ht="15" customHeight="1">
      <c r="A420" t="inlineStr">
        <is>
          <t>A 33098-2023</t>
        </is>
      </c>
      <c r="B420" s="1" t="n">
        <v>45126</v>
      </c>
      <c r="C420" s="1" t="n">
        <v>45742</v>
      </c>
      <c r="D420" t="inlineStr">
        <is>
          <t>ÖREBRO LÄN</t>
        </is>
      </c>
      <c r="E420" t="inlineStr">
        <is>
          <t>HÄLLEFORS</t>
        </is>
      </c>
      <c r="G420" t="n">
        <v>1.2</v>
      </c>
      <c r="H420" t="n">
        <v>0</v>
      </c>
      <c r="I420" t="n">
        <v>0</v>
      </c>
      <c r="J420" t="n">
        <v>0</v>
      </c>
      <c r="K420" t="n">
        <v>0</v>
      </c>
      <c r="L420" t="n">
        <v>0</v>
      </c>
      <c r="M420" t="n">
        <v>0</v>
      </c>
      <c r="N420" t="n">
        <v>0</v>
      </c>
      <c r="O420" t="n">
        <v>0</v>
      </c>
      <c r="P420" t="n">
        <v>0</v>
      </c>
      <c r="Q420" t="n">
        <v>0</v>
      </c>
      <c r="R420" s="2" t="inlineStr"/>
    </row>
    <row r="421" ht="15" customHeight="1">
      <c r="A421" t="inlineStr">
        <is>
          <t>A 33608-2023</t>
        </is>
      </c>
      <c r="B421" s="1" t="n">
        <v>45132</v>
      </c>
      <c r="C421" s="1" t="n">
        <v>45742</v>
      </c>
      <c r="D421" t="inlineStr">
        <is>
          <t>ÖREBRO LÄN</t>
        </is>
      </c>
      <c r="E421" t="inlineStr">
        <is>
          <t>HÄLLEFORS</t>
        </is>
      </c>
      <c r="G421" t="n">
        <v>3.2</v>
      </c>
      <c r="H421" t="n">
        <v>0</v>
      </c>
      <c r="I421" t="n">
        <v>0</v>
      </c>
      <c r="J421" t="n">
        <v>0</v>
      </c>
      <c r="K421" t="n">
        <v>0</v>
      </c>
      <c r="L421" t="n">
        <v>0</v>
      </c>
      <c r="M421" t="n">
        <v>0</v>
      </c>
      <c r="N421" t="n">
        <v>0</v>
      </c>
      <c r="O421" t="n">
        <v>0</v>
      </c>
      <c r="P421" t="n">
        <v>0</v>
      </c>
      <c r="Q421" t="n">
        <v>0</v>
      </c>
      <c r="R421" s="2" t="inlineStr"/>
    </row>
    <row r="422" ht="15" customHeight="1">
      <c r="A422" t="inlineStr">
        <is>
          <t>A 34271-2023</t>
        </is>
      </c>
      <c r="B422" s="1" t="n">
        <v>45138</v>
      </c>
      <c r="C422" s="1" t="n">
        <v>45742</v>
      </c>
      <c r="D422" t="inlineStr">
        <is>
          <t>ÖREBRO LÄN</t>
        </is>
      </c>
      <c r="E422" t="inlineStr">
        <is>
          <t>HÄLLEFORS</t>
        </is>
      </c>
      <c r="G422" t="n">
        <v>1.6</v>
      </c>
      <c r="H422" t="n">
        <v>0</v>
      </c>
      <c r="I422" t="n">
        <v>0</v>
      </c>
      <c r="J422" t="n">
        <v>0</v>
      </c>
      <c r="K422" t="n">
        <v>0</v>
      </c>
      <c r="L422" t="n">
        <v>0</v>
      </c>
      <c r="M422" t="n">
        <v>0</v>
      </c>
      <c r="N422" t="n">
        <v>0</v>
      </c>
      <c r="O422" t="n">
        <v>0</v>
      </c>
      <c r="P422" t="n">
        <v>0</v>
      </c>
      <c r="Q422" t="n">
        <v>0</v>
      </c>
      <c r="R422" s="2" t="inlineStr"/>
    </row>
    <row r="423" ht="15" customHeight="1">
      <c r="A423" t="inlineStr">
        <is>
          <t>A 35083-2023</t>
        </is>
      </c>
      <c r="B423" s="1" t="n">
        <v>45145</v>
      </c>
      <c r="C423" s="1" t="n">
        <v>45742</v>
      </c>
      <c r="D423" t="inlineStr">
        <is>
          <t>ÖREBRO LÄN</t>
        </is>
      </c>
      <c r="E423" t="inlineStr">
        <is>
          <t>HÄLLEFORS</t>
        </is>
      </c>
      <c r="F423" t="inlineStr">
        <is>
          <t>Bergvik skog väst AB</t>
        </is>
      </c>
      <c r="G423" t="n">
        <v>7.6</v>
      </c>
      <c r="H423" t="n">
        <v>0</v>
      </c>
      <c r="I423" t="n">
        <v>0</v>
      </c>
      <c r="J423" t="n">
        <v>0</v>
      </c>
      <c r="K423" t="n">
        <v>0</v>
      </c>
      <c r="L423" t="n">
        <v>0</v>
      </c>
      <c r="M423" t="n">
        <v>0</v>
      </c>
      <c r="N423" t="n">
        <v>0</v>
      </c>
      <c r="O423" t="n">
        <v>0</v>
      </c>
      <c r="P423" t="n">
        <v>0</v>
      </c>
      <c r="Q423" t="n">
        <v>0</v>
      </c>
      <c r="R423" s="2" t="inlineStr"/>
    </row>
    <row r="424" ht="15" customHeight="1">
      <c r="A424" t="inlineStr">
        <is>
          <t>A 35106-2023</t>
        </is>
      </c>
      <c r="B424" s="1" t="n">
        <v>45145</v>
      </c>
      <c r="C424" s="1" t="n">
        <v>45742</v>
      </c>
      <c r="D424" t="inlineStr">
        <is>
          <t>ÖREBRO LÄN</t>
        </is>
      </c>
      <c r="E424" t="inlineStr">
        <is>
          <t>HÄLLEFORS</t>
        </is>
      </c>
      <c r="F424" t="inlineStr">
        <is>
          <t>Bergvik skog väst AB</t>
        </is>
      </c>
      <c r="G424" t="n">
        <v>13.9</v>
      </c>
      <c r="H424" t="n">
        <v>0</v>
      </c>
      <c r="I424" t="n">
        <v>0</v>
      </c>
      <c r="J424" t="n">
        <v>0</v>
      </c>
      <c r="K424" t="n">
        <v>0</v>
      </c>
      <c r="L424" t="n">
        <v>0</v>
      </c>
      <c r="M424" t="n">
        <v>0</v>
      </c>
      <c r="N424" t="n">
        <v>0</v>
      </c>
      <c r="O424" t="n">
        <v>0</v>
      </c>
      <c r="P424" t="n">
        <v>0</v>
      </c>
      <c r="Q424" t="n">
        <v>0</v>
      </c>
      <c r="R424" s="2" t="inlineStr"/>
    </row>
    <row r="425" ht="15" customHeight="1">
      <c r="A425" t="inlineStr">
        <is>
          <t>A 35183-2023</t>
        </is>
      </c>
      <c r="B425" s="1" t="n">
        <v>45145</v>
      </c>
      <c r="C425" s="1" t="n">
        <v>45742</v>
      </c>
      <c r="D425" t="inlineStr">
        <is>
          <t>ÖREBRO LÄN</t>
        </is>
      </c>
      <c r="E425" t="inlineStr">
        <is>
          <t>HÄLLEFORS</t>
        </is>
      </c>
      <c r="F425" t="inlineStr">
        <is>
          <t>Bergvik skog väst AB</t>
        </is>
      </c>
      <c r="G425" t="n">
        <v>6.6</v>
      </c>
      <c r="H425" t="n">
        <v>0</v>
      </c>
      <c r="I425" t="n">
        <v>0</v>
      </c>
      <c r="J425" t="n">
        <v>0</v>
      </c>
      <c r="K425" t="n">
        <v>0</v>
      </c>
      <c r="L425" t="n">
        <v>0</v>
      </c>
      <c r="M425" t="n">
        <v>0</v>
      </c>
      <c r="N425" t="n">
        <v>0</v>
      </c>
      <c r="O425" t="n">
        <v>0</v>
      </c>
      <c r="P425" t="n">
        <v>0</v>
      </c>
      <c r="Q425" t="n">
        <v>0</v>
      </c>
      <c r="R425" s="2" t="inlineStr"/>
    </row>
    <row r="426" ht="15" customHeight="1">
      <c r="A426" t="inlineStr">
        <is>
          <t>A 35191-2023</t>
        </is>
      </c>
      <c r="B426" s="1" t="n">
        <v>45145</v>
      </c>
      <c r="C426" s="1" t="n">
        <v>45742</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35188-2023</t>
        </is>
      </c>
      <c r="B427" s="1" t="n">
        <v>45145</v>
      </c>
      <c r="C427" s="1" t="n">
        <v>45742</v>
      </c>
      <c r="D427" t="inlineStr">
        <is>
          <t>ÖREBRO LÄN</t>
        </is>
      </c>
      <c r="E427" t="inlineStr">
        <is>
          <t>HÄLLEFORS</t>
        </is>
      </c>
      <c r="F427" t="inlineStr">
        <is>
          <t>Bergvik skog väst AB</t>
        </is>
      </c>
      <c r="G427" t="n">
        <v>12.9</v>
      </c>
      <c r="H427" t="n">
        <v>0</v>
      </c>
      <c r="I427" t="n">
        <v>0</v>
      </c>
      <c r="J427" t="n">
        <v>0</v>
      </c>
      <c r="K427" t="n">
        <v>0</v>
      </c>
      <c r="L427" t="n">
        <v>0</v>
      </c>
      <c r="M427" t="n">
        <v>0</v>
      </c>
      <c r="N427" t="n">
        <v>0</v>
      </c>
      <c r="O427" t="n">
        <v>0</v>
      </c>
      <c r="P427" t="n">
        <v>0</v>
      </c>
      <c r="Q427" t="n">
        <v>0</v>
      </c>
      <c r="R427" s="2" t="inlineStr"/>
    </row>
    <row r="428" ht="15" customHeight="1">
      <c r="A428" t="inlineStr">
        <is>
          <t>A 35064-2023</t>
        </is>
      </c>
      <c r="B428" s="1" t="n">
        <v>45145</v>
      </c>
      <c r="C428" s="1" t="n">
        <v>45742</v>
      </c>
      <c r="D428" t="inlineStr">
        <is>
          <t>ÖREBRO LÄN</t>
        </is>
      </c>
      <c r="E428" t="inlineStr">
        <is>
          <t>HÄLLEFORS</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35723-2023</t>
        </is>
      </c>
      <c r="B429" s="1" t="n">
        <v>45147</v>
      </c>
      <c r="C429" s="1" t="n">
        <v>45742</v>
      </c>
      <c r="D429" t="inlineStr">
        <is>
          <t>ÖREBRO LÄN</t>
        </is>
      </c>
      <c r="E429" t="inlineStr">
        <is>
          <t>HÄLLEFORS</t>
        </is>
      </c>
      <c r="G429" t="n">
        <v>5</v>
      </c>
      <c r="H429" t="n">
        <v>0</v>
      </c>
      <c r="I429" t="n">
        <v>0</v>
      </c>
      <c r="J429" t="n">
        <v>0</v>
      </c>
      <c r="K429" t="n">
        <v>0</v>
      </c>
      <c r="L429" t="n">
        <v>0</v>
      </c>
      <c r="M429" t="n">
        <v>0</v>
      </c>
      <c r="N429" t="n">
        <v>0</v>
      </c>
      <c r="O429" t="n">
        <v>0</v>
      </c>
      <c r="P429" t="n">
        <v>0</v>
      </c>
      <c r="Q429" t="n">
        <v>0</v>
      </c>
      <c r="R429" s="2" t="inlineStr"/>
    </row>
    <row r="430" ht="15" customHeight="1">
      <c r="A430" t="inlineStr">
        <is>
          <t>A 36453-2023</t>
        </is>
      </c>
      <c r="B430" s="1" t="n">
        <v>45152</v>
      </c>
      <c r="C430" s="1" t="n">
        <v>45742</v>
      </c>
      <c r="D430" t="inlineStr">
        <is>
          <t>ÖREBRO LÄN</t>
        </is>
      </c>
      <c r="E430" t="inlineStr">
        <is>
          <t>HÄLLEFORS</t>
        </is>
      </c>
      <c r="G430" t="n">
        <v>7.4</v>
      </c>
      <c r="H430" t="n">
        <v>0</v>
      </c>
      <c r="I430" t="n">
        <v>0</v>
      </c>
      <c r="J430" t="n">
        <v>0</v>
      </c>
      <c r="K430" t="n">
        <v>0</v>
      </c>
      <c r="L430" t="n">
        <v>0</v>
      </c>
      <c r="M430" t="n">
        <v>0</v>
      </c>
      <c r="N430" t="n">
        <v>0</v>
      </c>
      <c r="O430" t="n">
        <v>0</v>
      </c>
      <c r="P430" t="n">
        <v>0</v>
      </c>
      <c r="Q430" t="n">
        <v>0</v>
      </c>
      <c r="R430" s="2" t="inlineStr"/>
    </row>
    <row r="431" ht="15" customHeight="1">
      <c r="A431" t="inlineStr">
        <is>
          <t>A 37321-2023</t>
        </is>
      </c>
      <c r="B431" s="1" t="n">
        <v>45156</v>
      </c>
      <c r="C431" s="1" t="n">
        <v>45742</v>
      </c>
      <c r="D431" t="inlineStr">
        <is>
          <t>ÖREBRO LÄN</t>
        </is>
      </c>
      <c r="E431" t="inlineStr">
        <is>
          <t>HÄLLEFORS</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38403-2023</t>
        </is>
      </c>
      <c r="B432" s="1" t="n">
        <v>45162</v>
      </c>
      <c r="C432" s="1" t="n">
        <v>45742</v>
      </c>
      <c r="D432" t="inlineStr">
        <is>
          <t>ÖREBRO LÄN</t>
        </is>
      </c>
      <c r="E432" t="inlineStr">
        <is>
          <t>HÄLLEFORS</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38429-2023</t>
        </is>
      </c>
      <c r="B433" s="1" t="n">
        <v>45162</v>
      </c>
      <c r="C433" s="1" t="n">
        <v>45742</v>
      </c>
      <c r="D433" t="inlineStr">
        <is>
          <t>ÖREBRO LÄN</t>
        </is>
      </c>
      <c r="E433" t="inlineStr">
        <is>
          <t>HÄLLEFORS</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38402-2023</t>
        </is>
      </c>
      <c r="B434" s="1" t="n">
        <v>45162</v>
      </c>
      <c r="C434" s="1" t="n">
        <v>45742</v>
      </c>
      <c r="D434" t="inlineStr">
        <is>
          <t>ÖREBRO LÄN</t>
        </is>
      </c>
      <c r="E434" t="inlineStr">
        <is>
          <t>HÄLLEFORS</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39183-2023</t>
        </is>
      </c>
      <c r="B435" s="1" t="n">
        <v>45166</v>
      </c>
      <c r="C435" s="1" t="n">
        <v>45742</v>
      </c>
      <c r="D435" t="inlineStr">
        <is>
          <t>ÖREBRO LÄN</t>
        </is>
      </c>
      <c r="E435" t="inlineStr">
        <is>
          <t>HÄLLEFORS</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39167-2023</t>
        </is>
      </c>
      <c r="B436" s="1" t="n">
        <v>45166</v>
      </c>
      <c r="C436" s="1" t="n">
        <v>45742</v>
      </c>
      <c r="D436" t="inlineStr">
        <is>
          <t>ÖREBRO LÄN</t>
        </is>
      </c>
      <c r="E436" t="inlineStr">
        <is>
          <t>HÄLLEFORS</t>
        </is>
      </c>
      <c r="F436" t="inlineStr">
        <is>
          <t>Bergvik skog väst AB</t>
        </is>
      </c>
      <c r="G436" t="n">
        <v>4.2</v>
      </c>
      <c r="H436" t="n">
        <v>0</v>
      </c>
      <c r="I436" t="n">
        <v>0</v>
      </c>
      <c r="J436" t="n">
        <v>0</v>
      </c>
      <c r="K436" t="n">
        <v>0</v>
      </c>
      <c r="L436" t="n">
        <v>0</v>
      </c>
      <c r="M436" t="n">
        <v>0</v>
      </c>
      <c r="N436" t="n">
        <v>0</v>
      </c>
      <c r="O436" t="n">
        <v>0</v>
      </c>
      <c r="P436" t="n">
        <v>0</v>
      </c>
      <c r="Q436" t="n">
        <v>0</v>
      </c>
      <c r="R436" s="2" t="inlineStr"/>
    </row>
    <row r="437" ht="15" customHeight="1">
      <c r="A437" t="inlineStr">
        <is>
          <t>A 39195-2023</t>
        </is>
      </c>
      <c r="B437" s="1" t="n">
        <v>45166</v>
      </c>
      <c r="C437" s="1" t="n">
        <v>45742</v>
      </c>
      <c r="D437" t="inlineStr">
        <is>
          <t>ÖREBRO LÄN</t>
        </is>
      </c>
      <c r="E437" t="inlineStr">
        <is>
          <t>HÄLLEFORS</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39205-2023</t>
        </is>
      </c>
      <c r="B438" s="1" t="n">
        <v>45166</v>
      </c>
      <c r="C438" s="1" t="n">
        <v>45742</v>
      </c>
      <c r="D438" t="inlineStr">
        <is>
          <t>ÖREBRO LÄN</t>
        </is>
      </c>
      <c r="E438" t="inlineStr">
        <is>
          <t>HÄLLEFORS</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39451-2023</t>
        </is>
      </c>
      <c r="B439" s="1" t="n">
        <v>45166</v>
      </c>
      <c r="C439" s="1" t="n">
        <v>45742</v>
      </c>
      <c r="D439" t="inlineStr">
        <is>
          <t>ÖREBRO LÄN</t>
        </is>
      </c>
      <c r="E439" t="inlineStr">
        <is>
          <t>HÄLLEFORS</t>
        </is>
      </c>
      <c r="G439" t="n">
        <v>4</v>
      </c>
      <c r="H439" t="n">
        <v>0</v>
      </c>
      <c r="I439" t="n">
        <v>0</v>
      </c>
      <c r="J439" t="n">
        <v>0</v>
      </c>
      <c r="K439" t="n">
        <v>0</v>
      </c>
      <c r="L439" t="n">
        <v>0</v>
      </c>
      <c r="M439" t="n">
        <v>0</v>
      </c>
      <c r="N439" t="n">
        <v>0</v>
      </c>
      <c r="O439" t="n">
        <v>0</v>
      </c>
      <c r="P439" t="n">
        <v>0</v>
      </c>
      <c r="Q439" t="n">
        <v>0</v>
      </c>
      <c r="R439" s="2" t="inlineStr"/>
    </row>
    <row r="440" ht="15" customHeight="1">
      <c r="A440" t="inlineStr">
        <is>
          <t>A 39864-2023</t>
        </is>
      </c>
      <c r="B440" s="1" t="n">
        <v>45168</v>
      </c>
      <c r="C440" s="1" t="n">
        <v>45742</v>
      </c>
      <c r="D440" t="inlineStr">
        <is>
          <t>ÖREBRO LÄN</t>
        </is>
      </c>
      <c r="E440" t="inlineStr">
        <is>
          <t>HÄLLEFORS</t>
        </is>
      </c>
      <c r="F440" t="inlineStr">
        <is>
          <t>Bergvik skog väst AB</t>
        </is>
      </c>
      <c r="G440" t="n">
        <v>18.1</v>
      </c>
      <c r="H440" t="n">
        <v>0</v>
      </c>
      <c r="I440" t="n">
        <v>0</v>
      </c>
      <c r="J440" t="n">
        <v>0</v>
      </c>
      <c r="K440" t="n">
        <v>0</v>
      </c>
      <c r="L440" t="n">
        <v>0</v>
      </c>
      <c r="M440" t="n">
        <v>0</v>
      </c>
      <c r="N440" t="n">
        <v>0</v>
      </c>
      <c r="O440" t="n">
        <v>0</v>
      </c>
      <c r="P440" t="n">
        <v>0</v>
      </c>
      <c r="Q440" t="n">
        <v>0</v>
      </c>
      <c r="R440" s="2" t="inlineStr"/>
    </row>
    <row r="441" ht="15" customHeight="1">
      <c r="A441" t="inlineStr">
        <is>
          <t>A 39869-2023</t>
        </is>
      </c>
      <c r="B441" s="1" t="n">
        <v>45168</v>
      </c>
      <c r="C441" s="1" t="n">
        <v>45742</v>
      </c>
      <c r="D441" t="inlineStr">
        <is>
          <t>ÖREBRO LÄN</t>
        </is>
      </c>
      <c r="E441" t="inlineStr">
        <is>
          <t>HÄLLEFORS</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40167-2023</t>
        </is>
      </c>
      <c r="B442" s="1" t="n">
        <v>45169</v>
      </c>
      <c r="C442" s="1" t="n">
        <v>45742</v>
      </c>
      <c r="D442" t="inlineStr">
        <is>
          <t>ÖREBRO LÄN</t>
        </is>
      </c>
      <c r="E442" t="inlineStr">
        <is>
          <t>HÄLLEFORS</t>
        </is>
      </c>
      <c r="F442" t="inlineStr">
        <is>
          <t>Kyrkan</t>
        </is>
      </c>
      <c r="G442" t="n">
        <v>2.1</v>
      </c>
      <c r="H442" t="n">
        <v>0</v>
      </c>
      <c r="I442" t="n">
        <v>0</v>
      </c>
      <c r="J442" t="n">
        <v>0</v>
      </c>
      <c r="K442" t="n">
        <v>0</v>
      </c>
      <c r="L442" t="n">
        <v>0</v>
      </c>
      <c r="M442" t="n">
        <v>0</v>
      </c>
      <c r="N442" t="n">
        <v>0</v>
      </c>
      <c r="O442" t="n">
        <v>0</v>
      </c>
      <c r="P442" t="n">
        <v>0</v>
      </c>
      <c r="Q442" t="n">
        <v>0</v>
      </c>
      <c r="R442" s="2" t="inlineStr"/>
    </row>
    <row r="443" ht="15" customHeight="1">
      <c r="A443" t="inlineStr">
        <is>
          <t>A 40820-2023</t>
        </is>
      </c>
      <c r="B443" s="1" t="n">
        <v>45171</v>
      </c>
      <c r="C443" s="1" t="n">
        <v>45742</v>
      </c>
      <c r="D443" t="inlineStr">
        <is>
          <t>ÖREBRO LÄN</t>
        </is>
      </c>
      <c r="E443" t="inlineStr">
        <is>
          <t>HÄLLEFORS</t>
        </is>
      </c>
      <c r="G443" t="n">
        <v>1.7</v>
      </c>
      <c r="H443" t="n">
        <v>0</v>
      </c>
      <c r="I443" t="n">
        <v>0</v>
      </c>
      <c r="J443" t="n">
        <v>0</v>
      </c>
      <c r="K443" t="n">
        <v>0</v>
      </c>
      <c r="L443" t="n">
        <v>0</v>
      </c>
      <c r="M443" t="n">
        <v>0</v>
      </c>
      <c r="N443" t="n">
        <v>0</v>
      </c>
      <c r="O443" t="n">
        <v>0</v>
      </c>
      <c r="P443" t="n">
        <v>0</v>
      </c>
      <c r="Q443" t="n">
        <v>0</v>
      </c>
      <c r="R443" s="2" t="inlineStr"/>
    </row>
    <row r="444" ht="15" customHeight="1">
      <c r="A444" t="inlineStr">
        <is>
          <t>A 40917-2023</t>
        </is>
      </c>
      <c r="B444" s="1" t="n">
        <v>45173</v>
      </c>
      <c r="C444" s="1" t="n">
        <v>45742</v>
      </c>
      <c r="D444" t="inlineStr">
        <is>
          <t>ÖREBRO LÄN</t>
        </is>
      </c>
      <c r="E444" t="inlineStr">
        <is>
          <t>HÄLLEFORS</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41193-2023</t>
        </is>
      </c>
      <c r="B445" s="1" t="n">
        <v>45174</v>
      </c>
      <c r="C445" s="1" t="n">
        <v>45742</v>
      </c>
      <c r="D445" t="inlineStr">
        <is>
          <t>ÖREBRO LÄN</t>
        </is>
      </c>
      <c r="E445" t="inlineStr">
        <is>
          <t>HÄLLEFORS</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41205-2023</t>
        </is>
      </c>
      <c r="B446" s="1" t="n">
        <v>45174</v>
      </c>
      <c r="C446" s="1" t="n">
        <v>45742</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41621-2023</t>
        </is>
      </c>
      <c r="B447" s="1" t="n">
        <v>45175</v>
      </c>
      <c r="C447" s="1" t="n">
        <v>45742</v>
      </c>
      <c r="D447" t="inlineStr">
        <is>
          <t>ÖREBRO LÄN</t>
        </is>
      </c>
      <c r="E447" t="inlineStr">
        <is>
          <t>HÄLLEFORS</t>
        </is>
      </c>
      <c r="F447" t="inlineStr">
        <is>
          <t>Kyrkan</t>
        </is>
      </c>
      <c r="G447" t="n">
        <v>6.4</v>
      </c>
      <c r="H447" t="n">
        <v>0</v>
      </c>
      <c r="I447" t="n">
        <v>0</v>
      </c>
      <c r="J447" t="n">
        <v>0</v>
      </c>
      <c r="K447" t="n">
        <v>0</v>
      </c>
      <c r="L447" t="n">
        <v>0</v>
      </c>
      <c r="M447" t="n">
        <v>0</v>
      </c>
      <c r="N447" t="n">
        <v>0</v>
      </c>
      <c r="O447" t="n">
        <v>0</v>
      </c>
      <c r="P447" t="n">
        <v>0</v>
      </c>
      <c r="Q447" t="n">
        <v>0</v>
      </c>
      <c r="R447" s="2" t="inlineStr"/>
    </row>
    <row r="448" ht="15" customHeight="1">
      <c r="A448" t="inlineStr">
        <is>
          <t>A 41809-2023</t>
        </is>
      </c>
      <c r="B448" s="1" t="n">
        <v>45176</v>
      </c>
      <c r="C448" s="1" t="n">
        <v>45742</v>
      </c>
      <c r="D448" t="inlineStr">
        <is>
          <t>ÖREBRO LÄN</t>
        </is>
      </c>
      <c r="E448" t="inlineStr">
        <is>
          <t>HÄLLEFORS</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41898-2023</t>
        </is>
      </c>
      <c r="B449" s="1" t="n">
        <v>45176</v>
      </c>
      <c r="C449" s="1" t="n">
        <v>45742</v>
      </c>
      <c r="D449" t="inlineStr">
        <is>
          <t>ÖREBRO LÄN</t>
        </is>
      </c>
      <c r="E449" t="inlineStr">
        <is>
          <t>HÄLLEFORS</t>
        </is>
      </c>
      <c r="G449" t="n">
        <v>4</v>
      </c>
      <c r="H449" t="n">
        <v>0</v>
      </c>
      <c r="I449" t="n">
        <v>0</v>
      </c>
      <c r="J449" t="n">
        <v>0</v>
      </c>
      <c r="K449" t="n">
        <v>0</v>
      </c>
      <c r="L449" t="n">
        <v>0</v>
      </c>
      <c r="M449" t="n">
        <v>0</v>
      </c>
      <c r="N449" t="n">
        <v>0</v>
      </c>
      <c r="O449" t="n">
        <v>0</v>
      </c>
      <c r="P449" t="n">
        <v>0</v>
      </c>
      <c r="Q449" t="n">
        <v>0</v>
      </c>
      <c r="R449" s="2" t="inlineStr"/>
    </row>
    <row r="450" ht="15" customHeight="1">
      <c r="A450" t="inlineStr">
        <is>
          <t>A 41810-2023</t>
        </is>
      </c>
      <c r="B450" s="1" t="n">
        <v>45176</v>
      </c>
      <c r="C450" s="1" t="n">
        <v>45742</v>
      </c>
      <c r="D450" t="inlineStr">
        <is>
          <t>ÖREBRO LÄN</t>
        </is>
      </c>
      <c r="E450" t="inlineStr">
        <is>
          <t>HÄLLEFORS</t>
        </is>
      </c>
      <c r="F450" t="inlineStr">
        <is>
          <t>Bergvik skog väst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41755-2023</t>
        </is>
      </c>
      <c r="B451" s="1" t="n">
        <v>45176</v>
      </c>
      <c r="C451" s="1" t="n">
        <v>45742</v>
      </c>
      <c r="D451" t="inlineStr">
        <is>
          <t>ÖREBRO LÄN</t>
        </is>
      </c>
      <c r="E451" t="inlineStr">
        <is>
          <t>HÄLLEFORS</t>
        </is>
      </c>
      <c r="F451" t="inlineStr">
        <is>
          <t>Bergvik skog väst AB</t>
        </is>
      </c>
      <c r="G451" t="n">
        <v>11.4</v>
      </c>
      <c r="H451" t="n">
        <v>0</v>
      </c>
      <c r="I451" t="n">
        <v>0</v>
      </c>
      <c r="J451" t="n">
        <v>0</v>
      </c>
      <c r="K451" t="n">
        <v>0</v>
      </c>
      <c r="L451" t="n">
        <v>0</v>
      </c>
      <c r="M451" t="n">
        <v>0</v>
      </c>
      <c r="N451" t="n">
        <v>0</v>
      </c>
      <c r="O451" t="n">
        <v>0</v>
      </c>
      <c r="P451" t="n">
        <v>0</v>
      </c>
      <c r="Q451" t="n">
        <v>0</v>
      </c>
      <c r="R451" s="2" t="inlineStr"/>
    </row>
    <row r="452" ht="15" customHeight="1">
      <c r="A452" t="inlineStr">
        <is>
          <t>A 41811-2023</t>
        </is>
      </c>
      <c r="B452" s="1" t="n">
        <v>45176</v>
      </c>
      <c r="C452" s="1" t="n">
        <v>45742</v>
      </c>
      <c r="D452" t="inlineStr">
        <is>
          <t>ÖREBRO LÄN</t>
        </is>
      </c>
      <c r="E452" t="inlineStr">
        <is>
          <t>HÄLLEFORS</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41822-2023</t>
        </is>
      </c>
      <c r="B453" s="1" t="n">
        <v>45176</v>
      </c>
      <c r="C453" s="1" t="n">
        <v>45742</v>
      </c>
      <c r="D453" t="inlineStr">
        <is>
          <t>ÖREBRO LÄN</t>
        </is>
      </c>
      <c r="E453" t="inlineStr">
        <is>
          <t>HÄLLEFORS</t>
        </is>
      </c>
      <c r="F453" t="inlineStr">
        <is>
          <t>Bergvik skog väst AB</t>
        </is>
      </c>
      <c r="G453" t="n">
        <v>5.6</v>
      </c>
      <c r="H453" t="n">
        <v>0</v>
      </c>
      <c r="I453" t="n">
        <v>0</v>
      </c>
      <c r="J453" t="n">
        <v>0</v>
      </c>
      <c r="K453" t="n">
        <v>0</v>
      </c>
      <c r="L453" t="n">
        <v>0</v>
      </c>
      <c r="M453" t="n">
        <v>0</v>
      </c>
      <c r="N453" t="n">
        <v>0</v>
      </c>
      <c r="O453" t="n">
        <v>0</v>
      </c>
      <c r="P453" t="n">
        <v>0</v>
      </c>
      <c r="Q453" t="n">
        <v>0</v>
      </c>
      <c r="R453" s="2" t="inlineStr"/>
    </row>
    <row r="454" ht="15" customHeight="1">
      <c r="A454" t="inlineStr">
        <is>
          <t>A 42266-2023</t>
        </is>
      </c>
      <c r="B454" s="1" t="n">
        <v>45180</v>
      </c>
      <c r="C454" s="1" t="n">
        <v>45742</v>
      </c>
      <c r="D454" t="inlineStr">
        <is>
          <t>ÖREBRO LÄN</t>
        </is>
      </c>
      <c r="E454" t="inlineStr">
        <is>
          <t>HÄLLEFORS</t>
        </is>
      </c>
      <c r="G454" t="n">
        <v>0.7</v>
      </c>
      <c r="H454" t="n">
        <v>0</v>
      </c>
      <c r="I454" t="n">
        <v>0</v>
      </c>
      <c r="J454" t="n">
        <v>0</v>
      </c>
      <c r="K454" t="n">
        <v>0</v>
      </c>
      <c r="L454" t="n">
        <v>0</v>
      </c>
      <c r="M454" t="n">
        <v>0</v>
      </c>
      <c r="N454" t="n">
        <v>0</v>
      </c>
      <c r="O454" t="n">
        <v>0</v>
      </c>
      <c r="P454" t="n">
        <v>0</v>
      </c>
      <c r="Q454" t="n">
        <v>0</v>
      </c>
      <c r="R454" s="2" t="inlineStr"/>
    </row>
    <row r="455" ht="15" customHeight="1">
      <c r="A455" t="inlineStr">
        <is>
          <t>A 43482-2023</t>
        </is>
      </c>
      <c r="B455" s="1" t="n">
        <v>45184</v>
      </c>
      <c r="C455" s="1" t="n">
        <v>45742</v>
      </c>
      <c r="D455" t="inlineStr">
        <is>
          <t>ÖREBRO LÄN</t>
        </is>
      </c>
      <c r="E455" t="inlineStr">
        <is>
          <t>HÄLLEFORS</t>
        </is>
      </c>
      <c r="G455" t="n">
        <v>6.7</v>
      </c>
      <c r="H455" t="n">
        <v>0</v>
      </c>
      <c r="I455" t="n">
        <v>0</v>
      </c>
      <c r="J455" t="n">
        <v>0</v>
      </c>
      <c r="K455" t="n">
        <v>0</v>
      </c>
      <c r="L455" t="n">
        <v>0</v>
      </c>
      <c r="M455" t="n">
        <v>0</v>
      </c>
      <c r="N455" t="n">
        <v>0</v>
      </c>
      <c r="O455" t="n">
        <v>0</v>
      </c>
      <c r="P455" t="n">
        <v>0</v>
      </c>
      <c r="Q455" t="n">
        <v>0</v>
      </c>
      <c r="R455" s="2" t="inlineStr"/>
    </row>
    <row r="456" ht="15" customHeight="1">
      <c r="A456" t="inlineStr">
        <is>
          <t>A 43941-2023</t>
        </is>
      </c>
      <c r="B456" s="1" t="n">
        <v>45187</v>
      </c>
      <c r="C456" s="1" t="n">
        <v>45742</v>
      </c>
      <c r="D456" t="inlineStr">
        <is>
          <t>ÖREBRO LÄN</t>
        </is>
      </c>
      <c r="E456" t="inlineStr">
        <is>
          <t>HÄLLEFORS</t>
        </is>
      </c>
      <c r="G456" t="n">
        <v>1.5</v>
      </c>
      <c r="H456" t="n">
        <v>0</v>
      </c>
      <c r="I456" t="n">
        <v>0</v>
      </c>
      <c r="J456" t="n">
        <v>0</v>
      </c>
      <c r="K456" t="n">
        <v>0</v>
      </c>
      <c r="L456" t="n">
        <v>0</v>
      </c>
      <c r="M456" t="n">
        <v>0</v>
      </c>
      <c r="N456" t="n">
        <v>0</v>
      </c>
      <c r="O456" t="n">
        <v>0</v>
      </c>
      <c r="P456" t="n">
        <v>0</v>
      </c>
      <c r="Q456" t="n">
        <v>0</v>
      </c>
      <c r="R456" s="2" t="inlineStr"/>
    </row>
    <row r="457" ht="15" customHeight="1">
      <c r="A457" t="inlineStr">
        <is>
          <t>A 44796-2023</t>
        </is>
      </c>
      <c r="B457" s="1" t="n">
        <v>45190</v>
      </c>
      <c r="C457" s="1" t="n">
        <v>45742</v>
      </c>
      <c r="D457" t="inlineStr">
        <is>
          <t>ÖREBRO LÄN</t>
        </is>
      </c>
      <c r="E457" t="inlineStr">
        <is>
          <t>HÄLLEFORS</t>
        </is>
      </c>
      <c r="G457" t="n">
        <v>4.6</v>
      </c>
      <c r="H457" t="n">
        <v>0</v>
      </c>
      <c r="I457" t="n">
        <v>0</v>
      </c>
      <c r="J457" t="n">
        <v>0</v>
      </c>
      <c r="K457" t="n">
        <v>0</v>
      </c>
      <c r="L457" t="n">
        <v>0</v>
      </c>
      <c r="M457" t="n">
        <v>0</v>
      </c>
      <c r="N457" t="n">
        <v>0</v>
      </c>
      <c r="O457" t="n">
        <v>0</v>
      </c>
      <c r="P457" t="n">
        <v>0</v>
      </c>
      <c r="Q457" t="n">
        <v>0</v>
      </c>
      <c r="R457" s="2" t="inlineStr"/>
    </row>
    <row r="458" ht="15" customHeight="1">
      <c r="A458" t="inlineStr">
        <is>
          <t>A 45710-2023</t>
        </is>
      </c>
      <c r="B458" s="1" t="n">
        <v>45195</v>
      </c>
      <c r="C458" s="1" t="n">
        <v>45742</v>
      </c>
      <c r="D458" t="inlineStr">
        <is>
          <t>ÖREBRO LÄN</t>
        </is>
      </c>
      <c r="E458" t="inlineStr">
        <is>
          <t>HÄLLEFORS</t>
        </is>
      </c>
      <c r="G458" t="n">
        <v>5.4</v>
      </c>
      <c r="H458" t="n">
        <v>0</v>
      </c>
      <c r="I458" t="n">
        <v>0</v>
      </c>
      <c r="J458" t="n">
        <v>0</v>
      </c>
      <c r="K458" t="n">
        <v>0</v>
      </c>
      <c r="L458" t="n">
        <v>0</v>
      </c>
      <c r="M458" t="n">
        <v>0</v>
      </c>
      <c r="N458" t="n">
        <v>0</v>
      </c>
      <c r="O458" t="n">
        <v>0</v>
      </c>
      <c r="P458" t="n">
        <v>0</v>
      </c>
      <c r="Q458" t="n">
        <v>0</v>
      </c>
      <c r="R458" s="2" t="inlineStr"/>
    </row>
    <row r="459" ht="15" customHeight="1">
      <c r="A459" t="inlineStr">
        <is>
          <t>A 45694-2023</t>
        </is>
      </c>
      <c r="B459" s="1" t="n">
        <v>45195</v>
      </c>
      <c r="C459" s="1" t="n">
        <v>45742</v>
      </c>
      <c r="D459" t="inlineStr">
        <is>
          <t>ÖREBRO LÄN</t>
        </is>
      </c>
      <c r="E459" t="inlineStr">
        <is>
          <t>HÄLLEFORS</t>
        </is>
      </c>
      <c r="G459" t="n">
        <v>10.8</v>
      </c>
      <c r="H459" t="n">
        <v>0</v>
      </c>
      <c r="I459" t="n">
        <v>0</v>
      </c>
      <c r="J459" t="n">
        <v>0</v>
      </c>
      <c r="K459" t="n">
        <v>0</v>
      </c>
      <c r="L459" t="n">
        <v>0</v>
      </c>
      <c r="M459" t="n">
        <v>0</v>
      </c>
      <c r="N459" t="n">
        <v>0</v>
      </c>
      <c r="O459" t="n">
        <v>0</v>
      </c>
      <c r="P459" t="n">
        <v>0</v>
      </c>
      <c r="Q459" t="n">
        <v>0</v>
      </c>
      <c r="R459" s="2" t="inlineStr"/>
    </row>
    <row r="460" ht="15" customHeight="1">
      <c r="A460" t="inlineStr">
        <is>
          <t>A 46980-2023</t>
        </is>
      </c>
      <c r="B460" s="1" t="n">
        <v>45201</v>
      </c>
      <c r="C460" s="1" t="n">
        <v>45742</v>
      </c>
      <c r="D460" t="inlineStr">
        <is>
          <t>ÖREBRO LÄN</t>
        </is>
      </c>
      <c r="E460" t="inlineStr">
        <is>
          <t>HÄLLEFORS</t>
        </is>
      </c>
      <c r="F460" t="inlineStr">
        <is>
          <t>Bergvik skog väst AB</t>
        </is>
      </c>
      <c r="G460" t="n">
        <v>7.5</v>
      </c>
      <c r="H460" t="n">
        <v>0</v>
      </c>
      <c r="I460" t="n">
        <v>0</v>
      </c>
      <c r="J460" t="n">
        <v>0</v>
      </c>
      <c r="K460" t="n">
        <v>0</v>
      </c>
      <c r="L460" t="n">
        <v>0</v>
      </c>
      <c r="M460" t="n">
        <v>0</v>
      </c>
      <c r="N460" t="n">
        <v>0</v>
      </c>
      <c r="O460" t="n">
        <v>0</v>
      </c>
      <c r="P460" t="n">
        <v>0</v>
      </c>
      <c r="Q460" t="n">
        <v>0</v>
      </c>
      <c r="R460" s="2" t="inlineStr"/>
    </row>
    <row r="461" ht="15" customHeight="1">
      <c r="A461" t="inlineStr">
        <is>
          <t>A 46997-2023</t>
        </is>
      </c>
      <c r="B461" s="1" t="n">
        <v>45201</v>
      </c>
      <c r="C461" s="1" t="n">
        <v>45742</v>
      </c>
      <c r="D461" t="inlineStr">
        <is>
          <t>ÖREBRO LÄN</t>
        </is>
      </c>
      <c r="E461" t="inlineStr">
        <is>
          <t>HÄLLEFORS</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46987-2023</t>
        </is>
      </c>
      <c r="B462" s="1" t="n">
        <v>45201</v>
      </c>
      <c r="C462" s="1" t="n">
        <v>45742</v>
      </c>
      <c r="D462" t="inlineStr">
        <is>
          <t>ÖREBRO LÄN</t>
        </is>
      </c>
      <c r="E462" t="inlineStr">
        <is>
          <t>HÄLLEFORS</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47007-2023</t>
        </is>
      </c>
      <c r="B463" s="1" t="n">
        <v>45201</v>
      </c>
      <c r="C463" s="1" t="n">
        <v>45742</v>
      </c>
      <c r="D463" t="inlineStr">
        <is>
          <t>ÖREBRO LÄN</t>
        </is>
      </c>
      <c r="E463" t="inlineStr">
        <is>
          <t>HÄLLEFORS</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48645-2023</t>
        </is>
      </c>
      <c r="B464" s="1" t="n">
        <v>45208</v>
      </c>
      <c r="C464" s="1" t="n">
        <v>45742</v>
      </c>
      <c r="D464" t="inlineStr">
        <is>
          <t>ÖREBRO LÄN</t>
        </is>
      </c>
      <c r="E464" t="inlineStr">
        <is>
          <t>HÄLLEFORS</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49709-2023</t>
        </is>
      </c>
      <c r="B465" s="1" t="n">
        <v>45212</v>
      </c>
      <c r="C465" s="1" t="n">
        <v>45742</v>
      </c>
      <c r="D465" t="inlineStr">
        <is>
          <t>ÖREBRO LÄN</t>
        </is>
      </c>
      <c r="E465" t="inlineStr">
        <is>
          <t>HÄLLEFORS</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50443-2023</t>
        </is>
      </c>
      <c r="B466" s="1" t="n">
        <v>45216</v>
      </c>
      <c r="C466" s="1" t="n">
        <v>45742</v>
      </c>
      <c r="D466" t="inlineStr">
        <is>
          <t>ÖREBRO LÄN</t>
        </is>
      </c>
      <c r="E466" t="inlineStr">
        <is>
          <t>HÄLLEFORS</t>
        </is>
      </c>
      <c r="G466" t="n">
        <v>0.7</v>
      </c>
      <c r="H466" t="n">
        <v>0</v>
      </c>
      <c r="I466" t="n">
        <v>0</v>
      </c>
      <c r="J466" t="n">
        <v>0</v>
      </c>
      <c r="K466" t="n">
        <v>0</v>
      </c>
      <c r="L466" t="n">
        <v>0</v>
      </c>
      <c r="M466" t="n">
        <v>0</v>
      </c>
      <c r="N466" t="n">
        <v>0</v>
      </c>
      <c r="O466" t="n">
        <v>0</v>
      </c>
      <c r="P466" t="n">
        <v>0</v>
      </c>
      <c r="Q466" t="n">
        <v>0</v>
      </c>
      <c r="R466" s="2" t="inlineStr"/>
    </row>
    <row r="467" ht="15" customHeight="1">
      <c r="A467" t="inlineStr">
        <is>
          <t>A 50754-2023</t>
        </is>
      </c>
      <c r="B467" s="1" t="n">
        <v>45217</v>
      </c>
      <c r="C467" s="1" t="n">
        <v>45742</v>
      </c>
      <c r="D467" t="inlineStr">
        <is>
          <t>ÖREBRO LÄN</t>
        </is>
      </c>
      <c r="E467" t="inlineStr">
        <is>
          <t>HÄLLEFORS</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50864-2023</t>
        </is>
      </c>
      <c r="B468" s="1" t="n">
        <v>45218</v>
      </c>
      <c r="C468" s="1" t="n">
        <v>45742</v>
      </c>
      <c r="D468" t="inlineStr">
        <is>
          <t>ÖREBRO LÄN</t>
        </is>
      </c>
      <c r="E468" t="inlineStr">
        <is>
          <t>HÄLLEFORS</t>
        </is>
      </c>
      <c r="G468" t="n">
        <v>3.7</v>
      </c>
      <c r="H468" t="n">
        <v>0</v>
      </c>
      <c r="I468" t="n">
        <v>0</v>
      </c>
      <c r="J468" t="n">
        <v>0</v>
      </c>
      <c r="K468" t="n">
        <v>0</v>
      </c>
      <c r="L468" t="n">
        <v>0</v>
      </c>
      <c r="M468" t="n">
        <v>0</v>
      </c>
      <c r="N468" t="n">
        <v>0</v>
      </c>
      <c r="O468" t="n">
        <v>0</v>
      </c>
      <c r="P468" t="n">
        <v>0</v>
      </c>
      <c r="Q468" t="n">
        <v>0</v>
      </c>
      <c r="R468" s="2" t="inlineStr"/>
    </row>
    <row r="469" ht="15" customHeight="1">
      <c r="A469" t="inlineStr">
        <is>
          <t>A 51159-2023</t>
        </is>
      </c>
      <c r="B469" s="1" t="n">
        <v>45219</v>
      </c>
      <c r="C469" s="1" t="n">
        <v>45742</v>
      </c>
      <c r="D469" t="inlineStr">
        <is>
          <t>ÖREBRO LÄN</t>
        </is>
      </c>
      <c r="E469" t="inlineStr">
        <is>
          <t>HÄLLEFORS</t>
        </is>
      </c>
      <c r="G469" t="n">
        <v>0.4</v>
      </c>
      <c r="H469" t="n">
        <v>0</v>
      </c>
      <c r="I469" t="n">
        <v>0</v>
      </c>
      <c r="J469" t="n">
        <v>0</v>
      </c>
      <c r="K469" t="n">
        <v>0</v>
      </c>
      <c r="L469" t="n">
        <v>0</v>
      </c>
      <c r="M469" t="n">
        <v>0</v>
      </c>
      <c r="N469" t="n">
        <v>0</v>
      </c>
      <c r="O469" t="n">
        <v>0</v>
      </c>
      <c r="P469" t="n">
        <v>0</v>
      </c>
      <c r="Q469" t="n">
        <v>0</v>
      </c>
      <c r="R469" s="2" t="inlineStr"/>
    </row>
    <row r="470" ht="15" customHeight="1">
      <c r="A470" t="inlineStr">
        <is>
          <t>A 51212-2023</t>
        </is>
      </c>
      <c r="B470" s="1" t="n">
        <v>45219</v>
      </c>
      <c r="C470" s="1" t="n">
        <v>45742</v>
      </c>
      <c r="D470" t="inlineStr">
        <is>
          <t>ÖREBRO LÄN</t>
        </is>
      </c>
      <c r="E470" t="inlineStr">
        <is>
          <t>HÄLLEFORS</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51216-2023</t>
        </is>
      </c>
      <c r="B471" s="1" t="n">
        <v>45219</v>
      </c>
      <c r="C471" s="1" t="n">
        <v>45742</v>
      </c>
      <c r="D471" t="inlineStr">
        <is>
          <t>ÖREBRO LÄN</t>
        </is>
      </c>
      <c r="E471" t="inlineStr">
        <is>
          <t>HÄLLEFORS</t>
        </is>
      </c>
      <c r="F471" t="inlineStr">
        <is>
          <t>Bergvik skog väst AB</t>
        </is>
      </c>
      <c r="G471" t="n">
        <v>5.9</v>
      </c>
      <c r="H471" t="n">
        <v>0</v>
      </c>
      <c r="I471" t="n">
        <v>0</v>
      </c>
      <c r="J471" t="n">
        <v>0</v>
      </c>
      <c r="K471" t="n">
        <v>0</v>
      </c>
      <c r="L471" t="n">
        <v>0</v>
      </c>
      <c r="M471" t="n">
        <v>0</v>
      </c>
      <c r="N471" t="n">
        <v>0</v>
      </c>
      <c r="O471" t="n">
        <v>0</v>
      </c>
      <c r="P471" t="n">
        <v>0</v>
      </c>
      <c r="Q471" t="n">
        <v>0</v>
      </c>
      <c r="R471" s="2" t="inlineStr"/>
    </row>
    <row r="472" ht="15" customHeight="1">
      <c r="A472" t="inlineStr">
        <is>
          <t>A 51280-2023</t>
        </is>
      </c>
      <c r="B472" s="1" t="n">
        <v>45219</v>
      </c>
      <c r="C472" s="1" t="n">
        <v>45742</v>
      </c>
      <c r="D472" t="inlineStr">
        <is>
          <t>ÖREBRO LÄN</t>
        </is>
      </c>
      <c r="E472" t="inlineStr">
        <is>
          <t>HÄLLEFORS</t>
        </is>
      </c>
      <c r="F472" t="inlineStr">
        <is>
          <t>Bergvik skog väst AB</t>
        </is>
      </c>
      <c r="G472" t="n">
        <v>11.1</v>
      </c>
      <c r="H472" t="n">
        <v>0</v>
      </c>
      <c r="I472" t="n">
        <v>0</v>
      </c>
      <c r="J472" t="n">
        <v>0</v>
      </c>
      <c r="K472" t="n">
        <v>0</v>
      </c>
      <c r="L472" t="n">
        <v>0</v>
      </c>
      <c r="M472" t="n">
        <v>0</v>
      </c>
      <c r="N472" t="n">
        <v>0</v>
      </c>
      <c r="O472" t="n">
        <v>0</v>
      </c>
      <c r="P472" t="n">
        <v>0</v>
      </c>
      <c r="Q472" t="n">
        <v>0</v>
      </c>
      <c r="R472" s="2" t="inlineStr"/>
    </row>
    <row r="473" ht="15" customHeight="1">
      <c r="A473" t="inlineStr">
        <is>
          <t>A 51213-2023</t>
        </is>
      </c>
      <c r="B473" s="1" t="n">
        <v>45219</v>
      </c>
      <c r="C473" s="1" t="n">
        <v>45742</v>
      </c>
      <c r="D473" t="inlineStr">
        <is>
          <t>ÖREBRO LÄN</t>
        </is>
      </c>
      <c r="E473" t="inlineStr">
        <is>
          <t>HÄLLEFORS</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52198-2023</t>
        </is>
      </c>
      <c r="B474" s="1" t="n">
        <v>45224</v>
      </c>
      <c r="C474" s="1" t="n">
        <v>45742</v>
      </c>
      <c r="D474" t="inlineStr">
        <is>
          <t>ÖREBRO LÄN</t>
        </is>
      </c>
      <c r="E474" t="inlineStr">
        <is>
          <t>HÄLLEFORS</t>
        </is>
      </c>
      <c r="G474" t="n">
        <v>3.5</v>
      </c>
      <c r="H474" t="n">
        <v>0</v>
      </c>
      <c r="I474" t="n">
        <v>0</v>
      </c>
      <c r="J474" t="n">
        <v>0</v>
      </c>
      <c r="K474" t="n">
        <v>0</v>
      </c>
      <c r="L474" t="n">
        <v>0</v>
      </c>
      <c r="M474" t="n">
        <v>0</v>
      </c>
      <c r="N474" t="n">
        <v>0</v>
      </c>
      <c r="O474" t="n">
        <v>0</v>
      </c>
      <c r="P474" t="n">
        <v>0</v>
      </c>
      <c r="Q474" t="n">
        <v>0</v>
      </c>
      <c r="R474" s="2" t="inlineStr"/>
    </row>
    <row r="475" ht="15" customHeight="1">
      <c r="A475" t="inlineStr">
        <is>
          <t>A 52372-2023</t>
        </is>
      </c>
      <c r="B475" s="1" t="n">
        <v>45224</v>
      </c>
      <c r="C475" s="1" t="n">
        <v>45742</v>
      </c>
      <c r="D475" t="inlineStr">
        <is>
          <t>ÖREBRO LÄN</t>
        </is>
      </c>
      <c r="E475" t="inlineStr">
        <is>
          <t>HÄLLEFORS</t>
        </is>
      </c>
      <c r="G475" t="n">
        <v>1.2</v>
      </c>
      <c r="H475" t="n">
        <v>0</v>
      </c>
      <c r="I475" t="n">
        <v>0</v>
      </c>
      <c r="J475" t="n">
        <v>0</v>
      </c>
      <c r="K475" t="n">
        <v>0</v>
      </c>
      <c r="L475" t="n">
        <v>0</v>
      </c>
      <c r="M475" t="n">
        <v>0</v>
      </c>
      <c r="N475" t="n">
        <v>0</v>
      </c>
      <c r="O475" t="n">
        <v>0</v>
      </c>
      <c r="P475" t="n">
        <v>0</v>
      </c>
      <c r="Q475" t="n">
        <v>0</v>
      </c>
      <c r="R475" s="2" t="inlineStr"/>
    </row>
    <row r="476" ht="15" customHeight="1">
      <c r="A476" t="inlineStr">
        <is>
          <t>A 53923-2023</t>
        </is>
      </c>
      <c r="B476" s="1" t="n">
        <v>45231</v>
      </c>
      <c r="C476" s="1" t="n">
        <v>45742</v>
      </c>
      <c r="D476" t="inlineStr">
        <is>
          <t>ÖREBRO LÄN</t>
        </is>
      </c>
      <c r="E476" t="inlineStr">
        <is>
          <t>HÄLLEFORS</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53892-2023</t>
        </is>
      </c>
      <c r="B477" s="1" t="n">
        <v>45231</v>
      </c>
      <c r="C477" s="1" t="n">
        <v>45742</v>
      </c>
      <c r="D477" t="inlineStr">
        <is>
          <t>ÖREBRO LÄN</t>
        </is>
      </c>
      <c r="E477" t="inlineStr">
        <is>
          <t>HÄLLEFORS</t>
        </is>
      </c>
      <c r="G477" t="n">
        <v>2.3</v>
      </c>
      <c r="H477" t="n">
        <v>0</v>
      </c>
      <c r="I477" t="n">
        <v>0</v>
      </c>
      <c r="J477" t="n">
        <v>0</v>
      </c>
      <c r="K477" t="n">
        <v>0</v>
      </c>
      <c r="L477" t="n">
        <v>0</v>
      </c>
      <c r="M477" t="n">
        <v>0</v>
      </c>
      <c r="N477" t="n">
        <v>0</v>
      </c>
      <c r="O477" t="n">
        <v>0</v>
      </c>
      <c r="P477" t="n">
        <v>0</v>
      </c>
      <c r="Q477" t="n">
        <v>0</v>
      </c>
      <c r="R477" s="2" t="inlineStr"/>
    </row>
    <row r="478" ht="15" customHeight="1">
      <c r="A478" t="inlineStr">
        <is>
          <t>A 54105-2023</t>
        </is>
      </c>
      <c r="B478" s="1" t="n">
        <v>45232</v>
      </c>
      <c r="C478" s="1" t="n">
        <v>45742</v>
      </c>
      <c r="D478" t="inlineStr">
        <is>
          <t>ÖREBRO LÄN</t>
        </is>
      </c>
      <c r="E478" t="inlineStr">
        <is>
          <t>HÄLLEFORS</t>
        </is>
      </c>
      <c r="F478" t="inlineStr">
        <is>
          <t>Kommuner</t>
        </is>
      </c>
      <c r="G478" t="n">
        <v>0.9</v>
      </c>
      <c r="H478" t="n">
        <v>0</v>
      </c>
      <c r="I478" t="n">
        <v>0</v>
      </c>
      <c r="J478" t="n">
        <v>0</v>
      </c>
      <c r="K478" t="n">
        <v>0</v>
      </c>
      <c r="L478" t="n">
        <v>0</v>
      </c>
      <c r="M478" t="n">
        <v>0</v>
      </c>
      <c r="N478" t="n">
        <v>0</v>
      </c>
      <c r="O478" t="n">
        <v>0</v>
      </c>
      <c r="P478" t="n">
        <v>0</v>
      </c>
      <c r="Q478" t="n">
        <v>0</v>
      </c>
      <c r="R478" s="2" t="inlineStr"/>
    </row>
    <row r="479" ht="15" customHeight="1">
      <c r="A479" t="inlineStr">
        <is>
          <t>A 54843-2023</t>
        </is>
      </c>
      <c r="B479" s="1" t="n">
        <v>45236</v>
      </c>
      <c r="C479" s="1" t="n">
        <v>45742</v>
      </c>
      <c r="D479" t="inlineStr">
        <is>
          <t>ÖREBRO LÄN</t>
        </is>
      </c>
      <c r="E479" t="inlineStr">
        <is>
          <t>HÄLLEFORS</t>
        </is>
      </c>
      <c r="G479" t="n">
        <v>1.6</v>
      </c>
      <c r="H479" t="n">
        <v>0</v>
      </c>
      <c r="I479" t="n">
        <v>0</v>
      </c>
      <c r="J479" t="n">
        <v>0</v>
      </c>
      <c r="K479" t="n">
        <v>0</v>
      </c>
      <c r="L479" t="n">
        <v>0</v>
      </c>
      <c r="M479" t="n">
        <v>0</v>
      </c>
      <c r="N479" t="n">
        <v>0</v>
      </c>
      <c r="O479" t="n">
        <v>0</v>
      </c>
      <c r="P479" t="n">
        <v>0</v>
      </c>
      <c r="Q479" t="n">
        <v>0</v>
      </c>
      <c r="R479" s="2" t="inlineStr"/>
    </row>
    <row r="480" ht="15" customHeight="1">
      <c r="A480" t="inlineStr">
        <is>
          <t>A 55300-2023</t>
        </is>
      </c>
      <c r="B480" s="1" t="n">
        <v>45237</v>
      </c>
      <c r="C480" s="1" t="n">
        <v>45742</v>
      </c>
      <c r="D480" t="inlineStr">
        <is>
          <t>ÖREBRO LÄN</t>
        </is>
      </c>
      <c r="E480" t="inlineStr">
        <is>
          <t>HÄLLEFORS</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55392-2023</t>
        </is>
      </c>
      <c r="B481" s="1" t="n">
        <v>45238</v>
      </c>
      <c r="C481" s="1" t="n">
        <v>45742</v>
      </c>
      <c r="D481" t="inlineStr">
        <is>
          <t>ÖREBRO LÄN</t>
        </is>
      </c>
      <c r="E481" t="inlineStr">
        <is>
          <t>HÄLLEFORS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55459-2023</t>
        </is>
      </c>
      <c r="B482" s="1" t="n">
        <v>45238</v>
      </c>
      <c r="C482" s="1" t="n">
        <v>45742</v>
      </c>
      <c r="D482" t="inlineStr">
        <is>
          <t>ÖREBRO LÄN</t>
        </is>
      </c>
      <c r="E482" t="inlineStr">
        <is>
          <t>HÄLLEFORS</t>
        </is>
      </c>
      <c r="F482" t="inlineStr">
        <is>
          <t>Bergvik skog väst AB</t>
        </is>
      </c>
      <c r="G482" t="n">
        <v>10</v>
      </c>
      <c r="H482" t="n">
        <v>0</v>
      </c>
      <c r="I482" t="n">
        <v>0</v>
      </c>
      <c r="J482" t="n">
        <v>0</v>
      </c>
      <c r="K482" t="n">
        <v>0</v>
      </c>
      <c r="L482" t="n">
        <v>0</v>
      </c>
      <c r="M482" t="n">
        <v>0</v>
      </c>
      <c r="N482" t="n">
        <v>0</v>
      </c>
      <c r="O482" t="n">
        <v>0</v>
      </c>
      <c r="P482" t="n">
        <v>0</v>
      </c>
      <c r="Q482" t="n">
        <v>0</v>
      </c>
      <c r="R482" s="2" t="inlineStr"/>
    </row>
    <row r="483" ht="15" customHeight="1">
      <c r="A483" t="inlineStr">
        <is>
          <t>A 55467-2023</t>
        </is>
      </c>
      <c r="B483" s="1" t="n">
        <v>45238</v>
      </c>
      <c r="C483" s="1" t="n">
        <v>45742</v>
      </c>
      <c r="D483" t="inlineStr">
        <is>
          <t>ÖREBRO LÄN</t>
        </is>
      </c>
      <c r="E483" t="inlineStr">
        <is>
          <t>HÄLLEFORS</t>
        </is>
      </c>
      <c r="F483" t="inlineStr">
        <is>
          <t>Bergvik skog väst AB</t>
        </is>
      </c>
      <c r="G483" t="n">
        <v>11.1</v>
      </c>
      <c r="H483" t="n">
        <v>0</v>
      </c>
      <c r="I483" t="n">
        <v>0</v>
      </c>
      <c r="J483" t="n">
        <v>0</v>
      </c>
      <c r="K483" t="n">
        <v>0</v>
      </c>
      <c r="L483" t="n">
        <v>0</v>
      </c>
      <c r="M483" t="n">
        <v>0</v>
      </c>
      <c r="N483" t="n">
        <v>0</v>
      </c>
      <c r="O483" t="n">
        <v>0</v>
      </c>
      <c r="P483" t="n">
        <v>0</v>
      </c>
      <c r="Q483" t="n">
        <v>0</v>
      </c>
      <c r="R483" s="2" t="inlineStr"/>
    </row>
    <row r="484" ht="15" customHeight="1">
      <c r="A484" t="inlineStr">
        <is>
          <t>A 55497-2023</t>
        </is>
      </c>
      <c r="B484" s="1" t="n">
        <v>45238</v>
      </c>
      <c r="C484" s="1" t="n">
        <v>45742</v>
      </c>
      <c r="D484" t="inlineStr">
        <is>
          <t>ÖREBRO LÄN</t>
        </is>
      </c>
      <c r="E484" t="inlineStr">
        <is>
          <t>HÄLLEFORS</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55397-2023</t>
        </is>
      </c>
      <c r="B485" s="1" t="n">
        <v>45238</v>
      </c>
      <c r="C485" s="1" t="n">
        <v>45742</v>
      </c>
      <c r="D485" t="inlineStr">
        <is>
          <t>ÖREBRO LÄN</t>
        </is>
      </c>
      <c r="E485" t="inlineStr">
        <is>
          <t>HÄLLEFORS</t>
        </is>
      </c>
      <c r="G485" t="n">
        <v>1.3</v>
      </c>
      <c r="H485" t="n">
        <v>0</v>
      </c>
      <c r="I485" t="n">
        <v>0</v>
      </c>
      <c r="J485" t="n">
        <v>0</v>
      </c>
      <c r="K485" t="n">
        <v>0</v>
      </c>
      <c r="L485" t="n">
        <v>0</v>
      </c>
      <c r="M485" t="n">
        <v>0</v>
      </c>
      <c r="N485" t="n">
        <v>0</v>
      </c>
      <c r="O485" t="n">
        <v>0</v>
      </c>
      <c r="P485" t="n">
        <v>0</v>
      </c>
      <c r="Q485" t="n">
        <v>0</v>
      </c>
      <c r="R485" s="2" t="inlineStr"/>
    </row>
    <row r="486" ht="15" customHeight="1">
      <c r="A486" t="inlineStr">
        <is>
          <t>A 55453-2023</t>
        </is>
      </c>
      <c r="B486" s="1" t="n">
        <v>45238</v>
      </c>
      <c r="C486" s="1" t="n">
        <v>45742</v>
      </c>
      <c r="D486" t="inlineStr">
        <is>
          <t>ÖREBRO LÄN</t>
        </is>
      </c>
      <c r="E486" t="inlineStr">
        <is>
          <t>HÄLLEFORS</t>
        </is>
      </c>
      <c r="G486" t="n">
        <v>0.8</v>
      </c>
      <c r="H486" t="n">
        <v>0</v>
      </c>
      <c r="I486" t="n">
        <v>0</v>
      </c>
      <c r="J486" t="n">
        <v>0</v>
      </c>
      <c r="K486" t="n">
        <v>0</v>
      </c>
      <c r="L486" t="n">
        <v>0</v>
      </c>
      <c r="M486" t="n">
        <v>0</v>
      </c>
      <c r="N486" t="n">
        <v>0</v>
      </c>
      <c r="O486" t="n">
        <v>0</v>
      </c>
      <c r="P486" t="n">
        <v>0</v>
      </c>
      <c r="Q486" t="n">
        <v>0</v>
      </c>
      <c r="R486" s="2" t="inlineStr"/>
    </row>
    <row r="487" ht="15" customHeight="1">
      <c r="A487" t="inlineStr">
        <is>
          <t>A 55471-2023</t>
        </is>
      </c>
      <c r="B487" s="1" t="n">
        <v>45238</v>
      </c>
      <c r="C487" s="1" t="n">
        <v>45742</v>
      </c>
      <c r="D487" t="inlineStr">
        <is>
          <t>ÖREBRO LÄN</t>
        </is>
      </c>
      <c r="E487" t="inlineStr">
        <is>
          <t>HÄLLEFORS</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55477-2023</t>
        </is>
      </c>
      <c r="B488" s="1" t="n">
        <v>45238</v>
      </c>
      <c r="C488" s="1" t="n">
        <v>45742</v>
      </c>
      <c r="D488" t="inlineStr">
        <is>
          <t>ÖREBRO LÄN</t>
        </is>
      </c>
      <c r="E488" t="inlineStr">
        <is>
          <t>HÄLLEFORS</t>
        </is>
      </c>
      <c r="F488" t="inlineStr">
        <is>
          <t>Bergvik skog väst AB</t>
        </is>
      </c>
      <c r="G488" t="n">
        <v>6.6</v>
      </c>
      <c r="H488" t="n">
        <v>0</v>
      </c>
      <c r="I488" t="n">
        <v>0</v>
      </c>
      <c r="J488" t="n">
        <v>0</v>
      </c>
      <c r="K488" t="n">
        <v>0</v>
      </c>
      <c r="L488" t="n">
        <v>0</v>
      </c>
      <c r="M488" t="n">
        <v>0</v>
      </c>
      <c r="N488" t="n">
        <v>0</v>
      </c>
      <c r="O488" t="n">
        <v>0</v>
      </c>
      <c r="P488" t="n">
        <v>0</v>
      </c>
      <c r="Q488" t="n">
        <v>0</v>
      </c>
      <c r="R488" s="2" t="inlineStr"/>
    </row>
    <row r="489" ht="15" customHeight="1">
      <c r="A489" t="inlineStr">
        <is>
          <t>A 55756-2023</t>
        </is>
      </c>
      <c r="B489" s="1" t="n">
        <v>45239</v>
      </c>
      <c r="C489" s="1" t="n">
        <v>45742</v>
      </c>
      <c r="D489" t="inlineStr">
        <is>
          <t>ÖREBRO LÄN</t>
        </is>
      </c>
      <c r="E489" t="inlineStr">
        <is>
          <t>HÄLLEFORS</t>
        </is>
      </c>
      <c r="G489" t="n">
        <v>1.6</v>
      </c>
      <c r="H489" t="n">
        <v>0</v>
      </c>
      <c r="I489" t="n">
        <v>0</v>
      </c>
      <c r="J489" t="n">
        <v>0</v>
      </c>
      <c r="K489" t="n">
        <v>0</v>
      </c>
      <c r="L489" t="n">
        <v>0</v>
      </c>
      <c r="M489" t="n">
        <v>0</v>
      </c>
      <c r="N489" t="n">
        <v>0</v>
      </c>
      <c r="O489" t="n">
        <v>0</v>
      </c>
      <c r="P489" t="n">
        <v>0</v>
      </c>
      <c r="Q489" t="n">
        <v>0</v>
      </c>
      <c r="R489" s="2" t="inlineStr"/>
    </row>
    <row r="490" ht="15" customHeight="1">
      <c r="A490" t="inlineStr">
        <is>
          <t>A 55754-2023</t>
        </is>
      </c>
      <c r="B490" s="1" t="n">
        <v>45239</v>
      </c>
      <c r="C490" s="1" t="n">
        <v>45742</v>
      </c>
      <c r="D490" t="inlineStr">
        <is>
          <t>ÖREBRO LÄN</t>
        </is>
      </c>
      <c r="E490" t="inlineStr">
        <is>
          <t>HÄLLEFORS</t>
        </is>
      </c>
      <c r="G490" t="n">
        <v>2.7</v>
      </c>
      <c r="H490" t="n">
        <v>0</v>
      </c>
      <c r="I490" t="n">
        <v>0</v>
      </c>
      <c r="J490" t="n">
        <v>0</v>
      </c>
      <c r="K490" t="n">
        <v>0</v>
      </c>
      <c r="L490" t="n">
        <v>0</v>
      </c>
      <c r="M490" t="n">
        <v>0</v>
      </c>
      <c r="N490" t="n">
        <v>0</v>
      </c>
      <c r="O490" t="n">
        <v>0</v>
      </c>
      <c r="P490" t="n">
        <v>0</v>
      </c>
      <c r="Q490" t="n">
        <v>0</v>
      </c>
      <c r="R490" s="2" t="inlineStr"/>
    </row>
    <row r="491" ht="15" customHeight="1">
      <c r="A491" t="inlineStr">
        <is>
          <t>A 58210-2023</t>
        </is>
      </c>
      <c r="B491" s="1" t="n">
        <v>45250</v>
      </c>
      <c r="C491" s="1" t="n">
        <v>45742</v>
      </c>
      <c r="D491" t="inlineStr">
        <is>
          <t>ÖREBRO LÄN</t>
        </is>
      </c>
      <c r="E491" t="inlineStr">
        <is>
          <t>HÄLLEFORS</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58425-2023</t>
        </is>
      </c>
      <c r="B492" s="1" t="n">
        <v>45250</v>
      </c>
      <c r="C492" s="1" t="n">
        <v>45742</v>
      </c>
      <c r="D492" t="inlineStr">
        <is>
          <t>ÖREBRO LÄN</t>
        </is>
      </c>
      <c r="E492" t="inlineStr">
        <is>
          <t>HÄLLEFORS</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58424-2023</t>
        </is>
      </c>
      <c r="B493" s="1" t="n">
        <v>45250</v>
      </c>
      <c r="C493" s="1" t="n">
        <v>45742</v>
      </c>
      <c r="D493" t="inlineStr">
        <is>
          <t>ÖREBRO LÄN</t>
        </is>
      </c>
      <c r="E493" t="inlineStr">
        <is>
          <t>HÄLLEFORS</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58990-2023</t>
        </is>
      </c>
      <c r="B494" s="1" t="n">
        <v>45252</v>
      </c>
      <c r="C494" s="1" t="n">
        <v>45742</v>
      </c>
      <c r="D494" t="inlineStr">
        <is>
          <t>ÖREBRO LÄN</t>
        </is>
      </c>
      <c r="E494" t="inlineStr">
        <is>
          <t>HÄLLEFORS</t>
        </is>
      </c>
      <c r="G494" t="n">
        <v>3.4</v>
      </c>
      <c r="H494" t="n">
        <v>0</v>
      </c>
      <c r="I494" t="n">
        <v>0</v>
      </c>
      <c r="J494" t="n">
        <v>0</v>
      </c>
      <c r="K494" t="n">
        <v>0</v>
      </c>
      <c r="L494" t="n">
        <v>0</v>
      </c>
      <c r="M494" t="n">
        <v>0</v>
      </c>
      <c r="N494" t="n">
        <v>0</v>
      </c>
      <c r="O494" t="n">
        <v>0</v>
      </c>
      <c r="P494" t="n">
        <v>0</v>
      </c>
      <c r="Q494" t="n">
        <v>0</v>
      </c>
      <c r="R494" s="2" t="inlineStr"/>
    </row>
    <row r="495" ht="15" customHeight="1">
      <c r="A495" t="inlineStr">
        <is>
          <t>A 60302-2023</t>
        </is>
      </c>
      <c r="B495" s="1" t="n">
        <v>45258</v>
      </c>
      <c r="C495" s="1" t="n">
        <v>45742</v>
      </c>
      <c r="D495" t="inlineStr">
        <is>
          <t>ÖREBRO LÄN</t>
        </is>
      </c>
      <c r="E495" t="inlineStr">
        <is>
          <t>HÄLLEFORS</t>
        </is>
      </c>
      <c r="G495" t="n">
        <v>5.7</v>
      </c>
      <c r="H495" t="n">
        <v>0</v>
      </c>
      <c r="I495" t="n">
        <v>0</v>
      </c>
      <c r="J495" t="n">
        <v>0</v>
      </c>
      <c r="K495" t="n">
        <v>0</v>
      </c>
      <c r="L495" t="n">
        <v>0</v>
      </c>
      <c r="M495" t="n">
        <v>0</v>
      </c>
      <c r="N495" t="n">
        <v>0</v>
      </c>
      <c r="O495" t="n">
        <v>0</v>
      </c>
      <c r="P495" t="n">
        <v>0</v>
      </c>
      <c r="Q495" t="n">
        <v>0</v>
      </c>
      <c r="R495" s="2" t="inlineStr"/>
    </row>
    <row r="496" ht="15" customHeight="1">
      <c r="A496" t="inlineStr">
        <is>
          <t>A 60669-2023</t>
        </is>
      </c>
      <c r="B496" s="1" t="n">
        <v>45260</v>
      </c>
      <c r="C496" s="1" t="n">
        <v>45742</v>
      </c>
      <c r="D496" t="inlineStr">
        <is>
          <t>ÖREBRO LÄN</t>
        </is>
      </c>
      <c r="E496" t="inlineStr">
        <is>
          <t>HÄLLEFORS</t>
        </is>
      </c>
      <c r="F496" t="inlineStr">
        <is>
          <t>Bergvik skog väst AB</t>
        </is>
      </c>
      <c r="G496" t="n">
        <v>5.2</v>
      </c>
      <c r="H496" t="n">
        <v>0</v>
      </c>
      <c r="I496" t="n">
        <v>0</v>
      </c>
      <c r="J496" t="n">
        <v>0</v>
      </c>
      <c r="K496" t="n">
        <v>0</v>
      </c>
      <c r="L496" t="n">
        <v>0</v>
      </c>
      <c r="M496" t="n">
        <v>0</v>
      </c>
      <c r="N496" t="n">
        <v>0</v>
      </c>
      <c r="O496" t="n">
        <v>0</v>
      </c>
      <c r="P496" t="n">
        <v>0</v>
      </c>
      <c r="Q496" t="n">
        <v>0</v>
      </c>
      <c r="R496" s="2" t="inlineStr"/>
    </row>
    <row r="497" ht="15" customHeight="1">
      <c r="A497" t="inlineStr">
        <is>
          <t>A 60686-2023</t>
        </is>
      </c>
      <c r="B497" s="1" t="n">
        <v>45260</v>
      </c>
      <c r="C497" s="1" t="n">
        <v>45742</v>
      </c>
      <c r="D497" t="inlineStr">
        <is>
          <t>ÖREBRO LÄN</t>
        </is>
      </c>
      <c r="E497" t="inlineStr">
        <is>
          <t>HÄLLEFORS</t>
        </is>
      </c>
      <c r="F497" t="inlineStr">
        <is>
          <t>Bergvik skog väst AB</t>
        </is>
      </c>
      <c r="G497" t="n">
        <v>7.9</v>
      </c>
      <c r="H497" t="n">
        <v>0</v>
      </c>
      <c r="I497" t="n">
        <v>0</v>
      </c>
      <c r="J497" t="n">
        <v>0</v>
      </c>
      <c r="K497" t="n">
        <v>0</v>
      </c>
      <c r="L497" t="n">
        <v>0</v>
      </c>
      <c r="M497" t="n">
        <v>0</v>
      </c>
      <c r="N497" t="n">
        <v>0</v>
      </c>
      <c r="O497" t="n">
        <v>0</v>
      </c>
      <c r="P497" t="n">
        <v>0</v>
      </c>
      <c r="Q497" t="n">
        <v>0</v>
      </c>
      <c r="R497" s="2" t="inlineStr"/>
    </row>
    <row r="498" ht="15" customHeight="1">
      <c r="A498" t="inlineStr">
        <is>
          <t>A 60697-2023</t>
        </is>
      </c>
      <c r="B498" s="1" t="n">
        <v>45260</v>
      </c>
      <c r="C498" s="1" t="n">
        <v>45742</v>
      </c>
      <c r="D498" t="inlineStr">
        <is>
          <t>ÖREBRO LÄN</t>
        </is>
      </c>
      <c r="E498" t="inlineStr">
        <is>
          <t>HÄLLEFORS</t>
        </is>
      </c>
      <c r="F498" t="inlineStr">
        <is>
          <t>Bergvik skog väst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60727-2023</t>
        </is>
      </c>
      <c r="B499" s="1" t="n">
        <v>45260</v>
      </c>
      <c r="C499" s="1" t="n">
        <v>45742</v>
      </c>
      <c r="D499" t="inlineStr">
        <is>
          <t>ÖREBRO LÄN</t>
        </is>
      </c>
      <c r="E499" t="inlineStr">
        <is>
          <t>HÄLLEFORS</t>
        </is>
      </c>
      <c r="F499" t="inlineStr">
        <is>
          <t>Bergvik skog väst AB</t>
        </is>
      </c>
      <c r="G499" t="n">
        <v>14.3</v>
      </c>
      <c r="H499" t="n">
        <v>0</v>
      </c>
      <c r="I499" t="n">
        <v>0</v>
      </c>
      <c r="J499" t="n">
        <v>0</v>
      </c>
      <c r="K499" t="n">
        <v>0</v>
      </c>
      <c r="L499" t="n">
        <v>0</v>
      </c>
      <c r="M499" t="n">
        <v>0</v>
      </c>
      <c r="N499" t="n">
        <v>0</v>
      </c>
      <c r="O499" t="n">
        <v>0</v>
      </c>
      <c r="P499" t="n">
        <v>0</v>
      </c>
      <c r="Q499" t="n">
        <v>0</v>
      </c>
      <c r="R499" s="2" t="inlineStr"/>
    </row>
    <row r="500" ht="15" customHeight="1">
      <c r="A500" t="inlineStr">
        <is>
          <t>A 60717-2023</t>
        </is>
      </c>
      <c r="B500" s="1" t="n">
        <v>45260</v>
      </c>
      <c r="C500" s="1" t="n">
        <v>45742</v>
      </c>
      <c r="D500" t="inlineStr">
        <is>
          <t>ÖREBRO LÄN</t>
        </is>
      </c>
      <c r="E500" t="inlineStr">
        <is>
          <t>HÄLLEFORS</t>
        </is>
      </c>
      <c r="F500" t="inlineStr">
        <is>
          <t>Bergvik skog väst AB</t>
        </is>
      </c>
      <c r="G500" t="n">
        <v>6.7</v>
      </c>
      <c r="H500" t="n">
        <v>0</v>
      </c>
      <c r="I500" t="n">
        <v>0</v>
      </c>
      <c r="J500" t="n">
        <v>0</v>
      </c>
      <c r="K500" t="n">
        <v>0</v>
      </c>
      <c r="L500" t="n">
        <v>0</v>
      </c>
      <c r="M500" t="n">
        <v>0</v>
      </c>
      <c r="N500" t="n">
        <v>0</v>
      </c>
      <c r="O500" t="n">
        <v>0</v>
      </c>
      <c r="P500" t="n">
        <v>0</v>
      </c>
      <c r="Q500" t="n">
        <v>0</v>
      </c>
      <c r="R500" s="2" t="inlineStr"/>
    </row>
    <row r="501" ht="15" customHeight="1">
      <c r="A501" t="inlineStr">
        <is>
          <t>A 61435-2023</t>
        </is>
      </c>
      <c r="B501" s="1" t="n">
        <v>45264</v>
      </c>
      <c r="C501" s="1" t="n">
        <v>45742</v>
      </c>
      <c r="D501" t="inlineStr">
        <is>
          <t>ÖREBRO LÄN</t>
        </is>
      </c>
      <c r="E501" t="inlineStr">
        <is>
          <t>HÄLLEFORS</t>
        </is>
      </c>
      <c r="G501" t="n">
        <v>2.3</v>
      </c>
      <c r="H501" t="n">
        <v>0</v>
      </c>
      <c r="I501" t="n">
        <v>0</v>
      </c>
      <c r="J501" t="n">
        <v>0</v>
      </c>
      <c r="K501" t="n">
        <v>0</v>
      </c>
      <c r="L501" t="n">
        <v>0</v>
      </c>
      <c r="M501" t="n">
        <v>0</v>
      </c>
      <c r="N501" t="n">
        <v>0</v>
      </c>
      <c r="O501" t="n">
        <v>0</v>
      </c>
      <c r="P501" t="n">
        <v>0</v>
      </c>
      <c r="Q501" t="n">
        <v>0</v>
      </c>
      <c r="R501" s="2" t="inlineStr"/>
    </row>
    <row r="502" ht="15" customHeight="1">
      <c r="A502" t="inlineStr">
        <is>
          <t>A 65111-2023</t>
        </is>
      </c>
      <c r="B502" s="1" t="n">
        <v>45288</v>
      </c>
      <c r="C502" s="1" t="n">
        <v>45742</v>
      </c>
      <c r="D502" t="inlineStr">
        <is>
          <t>ÖREBRO LÄN</t>
        </is>
      </c>
      <c r="E502" t="inlineStr">
        <is>
          <t>HÄLLEFORS</t>
        </is>
      </c>
      <c r="F502" t="inlineStr">
        <is>
          <t>Bergvik skog väst AB</t>
        </is>
      </c>
      <c r="G502" t="n">
        <v>8.6</v>
      </c>
      <c r="H502" t="n">
        <v>0</v>
      </c>
      <c r="I502" t="n">
        <v>0</v>
      </c>
      <c r="J502" t="n">
        <v>0</v>
      </c>
      <c r="K502" t="n">
        <v>0</v>
      </c>
      <c r="L502" t="n">
        <v>0</v>
      </c>
      <c r="M502" t="n">
        <v>0</v>
      </c>
      <c r="N502" t="n">
        <v>0</v>
      </c>
      <c r="O502" t="n">
        <v>0</v>
      </c>
      <c r="P502" t="n">
        <v>0</v>
      </c>
      <c r="Q502" t="n">
        <v>0</v>
      </c>
      <c r="R502" s="2" t="inlineStr"/>
    </row>
    <row r="503" ht="15" customHeight="1">
      <c r="A503" t="inlineStr">
        <is>
          <t>A 65091-2023</t>
        </is>
      </c>
      <c r="B503" s="1" t="n">
        <v>45288</v>
      </c>
      <c r="C503" s="1" t="n">
        <v>45742</v>
      </c>
      <c r="D503" t="inlineStr">
        <is>
          <t>ÖREBRO LÄN</t>
        </is>
      </c>
      <c r="E503" t="inlineStr">
        <is>
          <t>HÄLLEFORS</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65119-2023</t>
        </is>
      </c>
      <c r="B504" s="1" t="n">
        <v>45288</v>
      </c>
      <c r="C504" s="1" t="n">
        <v>45742</v>
      </c>
      <c r="D504" t="inlineStr">
        <is>
          <t>ÖREBRO LÄN</t>
        </is>
      </c>
      <c r="E504" t="inlineStr">
        <is>
          <t>HÄLLEFORS</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65135-2023</t>
        </is>
      </c>
      <c r="B505" s="1" t="n">
        <v>45288</v>
      </c>
      <c r="C505" s="1" t="n">
        <v>45742</v>
      </c>
      <c r="D505" t="inlineStr">
        <is>
          <t>ÖREBRO LÄN</t>
        </is>
      </c>
      <c r="E505" t="inlineStr">
        <is>
          <t>HÄLLEFORS</t>
        </is>
      </c>
      <c r="F505" t="inlineStr">
        <is>
          <t>Bergvik skog väst AB</t>
        </is>
      </c>
      <c r="G505" t="n">
        <v>7.1</v>
      </c>
      <c r="H505" t="n">
        <v>0</v>
      </c>
      <c r="I505" t="n">
        <v>0</v>
      </c>
      <c r="J505" t="n">
        <v>0</v>
      </c>
      <c r="K505" t="n">
        <v>0</v>
      </c>
      <c r="L505" t="n">
        <v>0</v>
      </c>
      <c r="M505" t="n">
        <v>0</v>
      </c>
      <c r="N505" t="n">
        <v>0</v>
      </c>
      <c r="O505" t="n">
        <v>0</v>
      </c>
      <c r="P505" t="n">
        <v>0</v>
      </c>
      <c r="Q505" t="n">
        <v>0</v>
      </c>
      <c r="R505" s="2" t="inlineStr"/>
    </row>
    <row r="506" ht="15" customHeight="1">
      <c r="A506" t="inlineStr">
        <is>
          <t>A 1288-2024</t>
        </is>
      </c>
      <c r="B506" s="1" t="n">
        <v>45303</v>
      </c>
      <c r="C506" s="1" t="n">
        <v>45742</v>
      </c>
      <c r="D506" t="inlineStr">
        <is>
          <t>ÖREBRO LÄN</t>
        </is>
      </c>
      <c r="E506" t="inlineStr">
        <is>
          <t>HÄLLEFORS</t>
        </is>
      </c>
      <c r="G506" t="n">
        <v>1.2</v>
      </c>
      <c r="H506" t="n">
        <v>0</v>
      </c>
      <c r="I506" t="n">
        <v>0</v>
      </c>
      <c r="J506" t="n">
        <v>0</v>
      </c>
      <c r="K506" t="n">
        <v>0</v>
      </c>
      <c r="L506" t="n">
        <v>0</v>
      </c>
      <c r="M506" t="n">
        <v>0</v>
      </c>
      <c r="N506" t="n">
        <v>0</v>
      </c>
      <c r="O506" t="n">
        <v>0</v>
      </c>
      <c r="P506" t="n">
        <v>0</v>
      </c>
      <c r="Q506" t="n">
        <v>0</v>
      </c>
      <c r="R506" s="2" t="inlineStr"/>
    </row>
    <row r="507" ht="15" customHeight="1">
      <c r="A507" t="inlineStr">
        <is>
          <t>A 2079-2024</t>
        </is>
      </c>
      <c r="B507" s="1" t="n">
        <v>45309</v>
      </c>
      <c r="C507" s="1" t="n">
        <v>45742</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3057-2024</t>
        </is>
      </c>
      <c r="B508" s="1" t="n">
        <v>45316</v>
      </c>
      <c r="C508" s="1" t="n">
        <v>45742</v>
      </c>
      <c r="D508" t="inlineStr">
        <is>
          <t>ÖREBRO LÄN</t>
        </is>
      </c>
      <c r="E508" t="inlineStr">
        <is>
          <t>HÄLLEFORS</t>
        </is>
      </c>
      <c r="F508" t="inlineStr">
        <is>
          <t>Bergvik skog väst AB</t>
        </is>
      </c>
      <c r="G508" t="n">
        <v>12.2</v>
      </c>
      <c r="H508" t="n">
        <v>0</v>
      </c>
      <c r="I508" t="n">
        <v>0</v>
      </c>
      <c r="J508" t="n">
        <v>0</v>
      </c>
      <c r="K508" t="n">
        <v>0</v>
      </c>
      <c r="L508" t="n">
        <v>0</v>
      </c>
      <c r="M508" t="n">
        <v>0</v>
      </c>
      <c r="N508" t="n">
        <v>0</v>
      </c>
      <c r="O508" t="n">
        <v>0</v>
      </c>
      <c r="P508" t="n">
        <v>0</v>
      </c>
      <c r="Q508" t="n">
        <v>0</v>
      </c>
      <c r="R508" s="2" t="inlineStr"/>
    </row>
    <row r="509" ht="15" customHeight="1">
      <c r="A509" t="inlineStr">
        <is>
          <t>A 3091-2024</t>
        </is>
      </c>
      <c r="B509" s="1" t="n">
        <v>45316</v>
      </c>
      <c r="C509" s="1" t="n">
        <v>45742</v>
      </c>
      <c r="D509" t="inlineStr">
        <is>
          <t>ÖREBRO LÄN</t>
        </is>
      </c>
      <c r="E509" t="inlineStr">
        <is>
          <t>HÄLLEFORS</t>
        </is>
      </c>
      <c r="F509" t="inlineStr">
        <is>
          <t>Bergvik skog väst AB</t>
        </is>
      </c>
      <c r="G509" t="n">
        <v>7.8</v>
      </c>
      <c r="H509" t="n">
        <v>0</v>
      </c>
      <c r="I509" t="n">
        <v>0</v>
      </c>
      <c r="J509" t="n">
        <v>0</v>
      </c>
      <c r="K509" t="n">
        <v>0</v>
      </c>
      <c r="L509" t="n">
        <v>0</v>
      </c>
      <c r="M509" t="n">
        <v>0</v>
      </c>
      <c r="N509" t="n">
        <v>0</v>
      </c>
      <c r="O509" t="n">
        <v>0</v>
      </c>
      <c r="P509" t="n">
        <v>0</v>
      </c>
      <c r="Q509" t="n">
        <v>0</v>
      </c>
      <c r="R509" s="2" t="inlineStr"/>
    </row>
    <row r="510" ht="15" customHeight="1">
      <c r="A510" t="inlineStr">
        <is>
          <t>A 3068-2024</t>
        </is>
      </c>
      <c r="B510" s="1" t="n">
        <v>45316</v>
      </c>
      <c r="C510" s="1" t="n">
        <v>45742</v>
      </c>
      <c r="D510" t="inlineStr">
        <is>
          <t>ÖREBRO LÄN</t>
        </is>
      </c>
      <c r="E510" t="inlineStr">
        <is>
          <t>HÄLLEFORS</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3145-2024</t>
        </is>
      </c>
      <c r="B511" s="1" t="n">
        <v>45316</v>
      </c>
      <c r="C511" s="1" t="n">
        <v>45742</v>
      </c>
      <c r="D511" t="inlineStr">
        <is>
          <t>ÖREBRO LÄN</t>
        </is>
      </c>
      <c r="E511" t="inlineStr">
        <is>
          <t>HÄLLEFORS</t>
        </is>
      </c>
      <c r="F511" t="inlineStr">
        <is>
          <t>Bergvik skog väst AB</t>
        </is>
      </c>
      <c r="G511" t="n">
        <v>6.4</v>
      </c>
      <c r="H511" t="n">
        <v>0</v>
      </c>
      <c r="I511" t="n">
        <v>0</v>
      </c>
      <c r="J511" t="n">
        <v>0</v>
      </c>
      <c r="K511" t="n">
        <v>0</v>
      </c>
      <c r="L511" t="n">
        <v>0</v>
      </c>
      <c r="M511" t="n">
        <v>0</v>
      </c>
      <c r="N511" t="n">
        <v>0</v>
      </c>
      <c r="O511" t="n">
        <v>0</v>
      </c>
      <c r="P511" t="n">
        <v>0</v>
      </c>
      <c r="Q511" t="n">
        <v>0</v>
      </c>
      <c r="R511" s="2" t="inlineStr"/>
    </row>
    <row r="512" ht="15" customHeight="1">
      <c r="A512" t="inlineStr">
        <is>
          <t>A 3246-2024</t>
        </is>
      </c>
      <c r="B512" s="1" t="n">
        <v>45317</v>
      </c>
      <c r="C512" s="1" t="n">
        <v>45742</v>
      </c>
      <c r="D512" t="inlineStr">
        <is>
          <t>ÖREBRO LÄN</t>
        </is>
      </c>
      <c r="E512" t="inlineStr">
        <is>
          <t>HÄLLEFORS</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3778-2024</t>
        </is>
      </c>
      <c r="B513" s="1" t="n">
        <v>45321</v>
      </c>
      <c r="C513" s="1" t="n">
        <v>45742</v>
      </c>
      <c r="D513" t="inlineStr">
        <is>
          <t>ÖREBRO LÄN</t>
        </is>
      </c>
      <c r="E513" t="inlineStr">
        <is>
          <t>HÄLLEFORS</t>
        </is>
      </c>
      <c r="G513" t="n">
        <v>2.5</v>
      </c>
      <c r="H513" t="n">
        <v>0</v>
      </c>
      <c r="I513" t="n">
        <v>0</v>
      </c>
      <c r="J513" t="n">
        <v>0</v>
      </c>
      <c r="K513" t="n">
        <v>0</v>
      </c>
      <c r="L513" t="n">
        <v>0</v>
      </c>
      <c r="M513" t="n">
        <v>0</v>
      </c>
      <c r="N513" t="n">
        <v>0</v>
      </c>
      <c r="O513" t="n">
        <v>0</v>
      </c>
      <c r="P513" t="n">
        <v>0</v>
      </c>
      <c r="Q513" t="n">
        <v>0</v>
      </c>
      <c r="R513" s="2" t="inlineStr"/>
    </row>
    <row r="514" ht="15" customHeight="1">
      <c r="A514" t="inlineStr">
        <is>
          <t>A 4774-2024</t>
        </is>
      </c>
      <c r="B514" s="1" t="n">
        <v>45328</v>
      </c>
      <c r="C514" s="1" t="n">
        <v>45742</v>
      </c>
      <c r="D514" t="inlineStr">
        <is>
          <t>ÖREBRO LÄN</t>
        </is>
      </c>
      <c r="E514" t="inlineStr">
        <is>
          <t>HÄLLEFORS</t>
        </is>
      </c>
      <c r="G514" t="n">
        <v>1</v>
      </c>
      <c r="H514" t="n">
        <v>0</v>
      </c>
      <c r="I514" t="n">
        <v>0</v>
      </c>
      <c r="J514" t="n">
        <v>0</v>
      </c>
      <c r="K514" t="n">
        <v>0</v>
      </c>
      <c r="L514" t="n">
        <v>0</v>
      </c>
      <c r="M514" t="n">
        <v>0</v>
      </c>
      <c r="N514" t="n">
        <v>0</v>
      </c>
      <c r="O514" t="n">
        <v>0</v>
      </c>
      <c r="P514" t="n">
        <v>0</v>
      </c>
      <c r="Q514" t="n">
        <v>0</v>
      </c>
      <c r="R514" s="2" t="inlineStr"/>
    </row>
    <row r="515" ht="15" customHeight="1">
      <c r="A515" t="inlineStr">
        <is>
          <t>A 5643-2024</t>
        </is>
      </c>
      <c r="B515" s="1" t="n">
        <v>45334</v>
      </c>
      <c r="C515" s="1" t="n">
        <v>45742</v>
      </c>
      <c r="D515" t="inlineStr">
        <is>
          <t>ÖREBRO LÄN</t>
        </is>
      </c>
      <c r="E515" t="inlineStr">
        <is>
          <t>HÄLLEFORS</t>
        </is>
      </c>
      <c r="G515" t="n">
        <v>2.7</v>
      </c>
      <c r="H515" t="n">
        <v>0</v>
      </c>
      <c r="I515" t="n">
        <v>0</v>
      </c>
      <c r="J515" t="n">
        <v>0</v>
      </c>
      <c r="K515" t="n">
        <v>0</v>
      </c>
      <c r="L515" t="n">
        <v>0</v>
      </c>
      <c r="M515" t="n">
        <v>0</v>
      </c>
      <c r="N515" t="n">
        <v>0</v>
      </c>
      <c r="O515" t="n">
        <v>0</v>
      </c>
      <c r="P515" t="n">
        <v>0</v>
      </c>
      <c r="Q515" t="n">
        <v>0</v>
      </c>
      <c r="R515" s="2" t="inlineStr"/>
    </row>
    <row r="516" ht="15" customHeight="1">
      <c r="A516" t="inlineStr">
        <is>
          <t>A 5657-2024</t>
        </is>
      </c>
      <c r="B516" s="1" t="n">
        <v>45334</v>
      </c>
      <c r="C516" s="1" t="n">
        <v>45742</v>
      </c>
      <c r="D516" t="inlineStr">
        <is>
          <t>ÖREBRO LÄN</t>
        </is>
      </c>
      <c r="E516" t="inlineStr">
        <is>
          <t>HÄLLEFORS</t>
        </is>
      </c>
      <c r="G516" t="n">
        <v>1.4</v>
      </c>
      <c r="H516" t="n">
        <v>0</v>
      </c>
      <c r="I516" t="n">
        <v>0</v>
      </c>
      <c r="J516" t="n">
        <v>0</v>
      </c>
      <c r="K516" t="n">
        <v>0</v>
      </c>
      <c r="L516" t="n">
        <v>0</v>
      </c>
      <c r="M516" t="n">
        <v>0</v>
      </c>
      <c r="N516" t="n">
        <v>0</v>
      </c>
      <c r="O516" t="n">
        <v>0</v>
      </c>
      <c r="P516" t="n">
        <v>0</v>
      </c>
      <c r="Q516" t="n">
        <v>0</v>
      </c>
      <c r="R516" s="2" t="inlineStr"/>
    </row>
    <row r="517" ht="15" customHeight="1">
      <c r="A517" t="inlineStr">
        <is>
          <t>A 5764-2024</t>
        </is>
      </c>
      <c r="B517" s="1" t="n">
        <v>45335</v>
      </c>
      <c r="C517" s="1" t="n">
        <v>45742</v>
      </c>
      <c r="D517" t="inlineStr">
        <is>
          <t>ÖREBRO LÄN</t>
        </is>
      </c>
      <c r="E517" t="inlineStr">
        <is>
          <t>HÄLLEFORS</t>
        </is>
      </c>
      <c r="G517" t="n">
        <v>3.1</v>
      </c>
      <c r="H517" t="n">
        <v>0</v>
      </c>
      <c r="I517" t="n">
        <v>0</v>
      </c>
      <c r="J517" t="n">
        <v>0</v>
      </c>
      <c r="K517" t="n">
        <v>0</v>
      </c>
      <c r="L517" t="n">
        <v>0</v>
      </c>
      <c r="M517" t="n">
        <v>0</v>
      </c>
      <c r="N517" t="n">
        <v>0</v>
      </c>
      <c r="O517" t="n">
        <v>0</v>
      </c>
      <c r="P517" t="n">
        <v>0</v>
      </c>
      <c r="Q517" t="n">
        <v>0</v>
      </c>
      <c r="R517" s="2" t="inlineStr"/>
    </row>
    <row r="518" ht="15" customHeight="1">
      <c r="A518" t="inlineStr">
        <is>
          <t>A 5762-2024</t>
        </is>
      </c>
      <c r="B518" s="1" t="n">
        <v>45335</v>
      </c>
      <c r="C518" s="1" t="n">
        <v>45742</v>
      </c>
      <c r="D518" t="inlineStr">
        <is>
          <t>ÖREBRO LÄN</t>
        </is>
      </c>
      <c r="E518" t="inlineStr">
        <is>
          <t>HÄLLEFORS</t>
        </is>
      </c>
      <c r="G518" t="n">
        <v>12.1</v>
      </c>
      <c r="H518" t="n">
        <v>0</v>
      </c>
      <c r="I518" t="n">
        <v>0</v>
      </c>
      <c r="J518" t="n">
        <v>0</v>
      </c>
      <c r="K518" t="n">
        <v>0</v>
      </c>
      <c r="L518" t="n">
        <v>0</v>
      </c>
      <c r="M518" t="n">
        <v>0</v>
      </c>
      <c r="N518" t="n">
        <v>0</v>
      </c>
      <c r="O518" t="n">
        <v>0</v>
      </c>
      <c r="P518" t="n">
        <v>0</v>
      </c>
      <c r="Q518" t="n">
        <v>0</v>
      </c>
      <c r="R518" s="2" t="inlineStr"/>
    </row>
    <row r="519" ht="15" customHeight="1">
      <c r="A519" t="inlineStr">
        <is>
          <t>A 7066-2024</t>
        </is>
      </c>
      <c r="B519" s="1" t="n">
        <v>45343</v>
      </c>
      <c r="C519" s="1" t="n">
        <v>45742</v>
      </c>
      <c r="D519" t="inlineStr">
        <is>
          <t>ÖREBRO LÄN</t>
        </is>
      </c>
      <c r="E519" t="inlineStr">
        <is>
          <t>HÄLLEFORS</t>
        </is>
      </c>
      <c r="G519" t="n">
        <v>1.2</v>
      </c>
      <c r="H519" t="n">
        <v>0</v>
      </c>
      <c r="I519" t="n">
        <v>0</v>
      </c>
      <c r="J519" t="n">
        <v>0</v>
      </c>
      <c r="K519" t="n">
        <v>0</v>
      </c>
      <c r="L519" t="n">
        <v>0</v>
      </c>
      <c r="M519" t="n">
        <v>0</v>
      </c>
      <c r="N519" t="n">
        <v>0</v>
      </c>
      <c r="O519" t="n">
        <v>0</v>
      </c>
      <c r="P519" t="n">
        <v>0</v>
      </c>
      <c r="Q519" t="n">
        <v>0</v>
      </c>
      <c r="R519" s="2" t="inlineStr"/>
    </row>
    <row r="520" ht="15" customHeight="1">
      <c r="A520" t="inlineStr">
        <is>
          <t>A 8292-2024</t>
        </is>
      </c>
      <c r="B520" s="1" t="n">
        <v>45352</v>
      </c>
      <c r="C520" s="1" t="n">
        <v>45742</v>
      </c>
      <c r="D520" t="inlineStr">
        <is>
          <t>ÖREBRO LÄN</t>
        </is>
      </c>
      <c r="E520" t="inlineStr">
        <is>
          <t>HÄLLEFORS</t>
        </is>
      </c>
      <c r="G520" t="n">
        <v>15.6</v>
      </c>
      <c r="H520" t="n">
        <v>0</v>
      </c>
      <c r="I520" t="n">
        <v>0</v>
      </c>
      <c r="J520" t="n">
        <v>0</v>
      </c>
      <c r="K520" t="n">
        <v>0</v>
      </c>
      <c r="L520" t="n">
        <v>0</v>
      </c>
      <c r="M520" t="n">
        <v>0</v>
      </c>
      <c r="N520" t="n">
        <v>0</v>
      </c>
      <c r="O520" t="n">
        <v>0</v>
      </c>
      <c r="P520" t="n">
        <v>0</v>
      </c>
      <c r="Q520" t="n">
        <v>0</v>
      </c>
      <c r="R520" s="2" t="inlineStr"/>
    </row>
    <row r="521" ht="15" customHeight="1">
      <c r="A521" t="inlineStr">
        <is>
          <t>A 8519-2024</t>
        </is>
      </c>
      <c r="B521" s="1" t="n">
        <v>45355</v>
      </c>
      <c r="C521" s="1" t="n">
        <v>45742</v>
      </c>
      <c r="D521" t="inlineStr">
        <is>
          <t>ÖREBRO LÄN</t>
        </is>
      </c>
      <c r="E521" t="inlineStr">
        <is>
          <t>HÄLLEFORS</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9895-2024</t>
        </is>
      </c>
      <c r="B522" s="1" t="n">
        <v>45363</v>
      </c>
      <c r="C522" s="1" t="n">
        <v>45742</v>
      </c>
      <c r="D522" t="inlineStr">
        <is>
          <t>ÖREBRO LÄN</t>
        </is>
      </c>
      <c r="E522" t="inlineStr">
        <is>
          <t>HÄLLEFORS</t>
        </is>
      </c>
      <c r="F522" t="inlineStr">
        <is>
          <t>Bergvik skog väst AB</t>
        </is>
      </c>
      <c r="G522" t="n">
        <v>11.2</v>
      </c>
      <c r="H522" t="n">
        <v>0</v>
      </c>
      <c r="I522" t="n">
        <v>0</v>
      </c>
      <c r="J522" t="n">
        <v>0</v>
      </c>
      <c r="K522" t="n">
        <v>0</v>
      </c>
      <c r="L522" t="n">
        <v>0</v>
      </c>
      <c r="M522" t="n">
        <v>0</v>
      </c>
      <c r="N522" t="n">
        <v>0</v>
      </c>
      <c r="O522" t="n">
        <v>0</v>
      </c>
      <c r="P522" t="n">
        <v>0</v>
      </c>
      <c r="Q522" t="n">
        <v>0</v>
      </c>
      <c r="R522" s="2" t="inlineStr"/>
    </row>
    <row r="523" ht="15" customHeight="1">
      <c r="A523" t="inlineStr">
        <is>
          <t>A 9906-2024</t>
        </is>
      </c>
      <c r="B523" s="1" t="n">
        <v>45363</v>
      </c>
      <c r="C523" s="1" t="n">
        <v>45742</v>
      </c>
      <c r="D523" t="inlineStr">
        <is>
          <t>ÖREBRO LÄN</t>
        </is>
      </c>
      <c r="E523" t="inlineStr">
        <is>
          <t>HÄLLEFORS</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9854-2024</t>
        </is>
      </c>
      <c r="B524" s="1" t="n">
        <v>45363</v>
      </c>
      <c r="C524" s="1" t="n">
        <v>45742</v>
      </c>
      <c r="D524" t="inlineStr">
        <is>
          <t>ÖREBRO LÄN</t>
        </is>
      </c>
      <c r="E524" t="inlineStr">
        <is>
          <t>HÄLLEFORS</t>
        </is>
      </c>
      <c r="F524" t="inlineStr">
        <is>
          <t>Bergvik skog väst AB</t>
        </is>
      </c>
      <c r="G524" t="n">
        <v>11.9</v>
      </c>
      <c r="H524" t="n">
        <v>0</v>
      </c>
      <c r="I524" t="n">
        <v>0</v>
      </c>
      <c r="J524" t="n">
        <v>0</v>
      </c>
      <c r="K524" t="n">
        <v>0</v>
      </c>
      <c r="L524" t="n">
        <v>0</v>
      </c>
      <c r="M524" t="n">
        <v>0</v>
      </c>
      <c r="N524" t="n">
        <v>0</v>
      </c>
      <c r="O524" t="n">
        <v>0</v>
      </c>
      <c r="P524" t="n">
        <v>0</v>
      </c>
      <c r="Q524" t="n">
        <v>0</v>
      </c>
      <c r="R524" s="2" t="inlineStr"/>
    </row>
    <row r="525" ht="15" customHeight="1">
      <c r="A525" t="inlineStr">
        <is>
          <t>A 11098-2024</t>
        </is>
      </c>
      <c r="B525" s="1" t="n">
        <v>45371</v>
      </c>
      <c r="C525" s="1" t="n">
        <v>45742</v>
      </c>
      <c r="D525" t="inlineStr">
        <is>
          <t>ÖREBRO LÄN</t>
        </is>
      </c>
      <c r="E525" t="inlineStr">
        <is>
          <t>HÄLLEFORS</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11459-2024</t>
        </is>
      </c>
      <c r="B526" s="1" t="n">
        <v>45372</v>
      </c>
      <c r="C526" s="1" t="n">
        <v>45742</v>
      </c>
      <c r="D526" t="inlineStr">
        <is>
          <t>ÖREBRO LÄN</t>
        </is>
      </c>
      <c r="E526" t="inlineStr">
        <is>
          <t>HÄLLEFORS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11467-2024</t>
        </is>
      </c>
      <c r="B527" s="1" t="n">
        <v>45372</v>
      </c>
      <c r="C527" s="1" t="n">
        <v>45742</v>
      </c>
      <c r="D527" t="inlineStr">
        <is>
          <t>ÖREBRO LÄN</t>
        </is>
      </c>
      <c r="E527" t="inlineStr">
        <is>
          <t>HÄLLEFORS</t>
        </is>
      </c>
      <c r="G527" t="n">
        <v>1</v>
      </c>
      <c r="H527" t="n">
        <v>0</v>
      </c>
      <c r="I527" t="n">
        <v>0</v>
      </c>
      <c r="J527" t="n">
        <v>0</v>
      </c>
      <c r="K527" t="n">
        <v>0</v>
      </c>
      <c r="L527" t="n">
        <v>0</v>
      </c>
      <c r="M527" t="n">
        <v>0</v>
      </c>
      <c r="N527" t="n">
        <v>0</v>
      </c>
      <c r="O527" t="n">
        <v>0</v>
      </c>
      <c r="P527" t="n">
        <v>0</v>
      </c>
      <c r="Q527" t="n">
        <v>0</v>
      </c>
      <c r="R527" s="2" t="inlineStr"/>
    </row>
    <row r="528" ht="15" customHeight="1">
      <c r="A528" t="inlineStr">
        <is>
          <t>A 12546-2024</t>
        </is>
      </c>
      <c r="B528" s="1" t="n">
        <v>45379</v>
      </c>
      <c r="C528" s="1" t="n">
        <v>45742</v>
      </c>
      <c r="D528" t="inlineStr">
        <is>
          <t>ÖREBRO LÄN</t>
        </is>
      </c>
      <c r="E528" t="inlineStr">
        <is>
          <t>HÄLLEFORS</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12547-2024</t>
        </is>
      </c>
      <c r="B529" s="1" t="n">
        <v>45379</v>
      </c>
      <c r="C529" s="1" t="n">
        <v>45742</v>
      </c>
      <c r="D529" t="inlineStr">
        <is>
          <t>ÖREBRO LÄN</t>
        </is>
      </c>
      <c r="E529" t="inlineStr">
        <is>
          <t>HÄLLEFORS</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12540-2024</t>
        </is>
      </c>
      <c r="B530" s="1" t="n">
        <v>45379</v>
      </c>
      <c r="C530" s="1" t="n">
        <v>45742</v>
      </c>
      <c r="D530" t="inlineStr">
        <is>
          <t>ÖREBRO LÄN</t>
        </is>
      </c>
      <c r="E530" t="inlineStr">
        <is>
          <t>HÄLLEFORS</t>
        </is>
      </c>
      <c r="F530" t="inlineStr">
        <is>
          <t>Bergvik skog väst AB</t>
        </is>
      </c>
      <c r="G530" t="n">
        <v>3.6</v>
      </c>
      <c r="H530" t="n">
        <v>0</v>
      </c>
      <c r="I530" t="n">
        <v>0</v>
      </c>
      <c r="J530" t="n">
        <v>0</v>
      </c>
      <c r="K530" t="n">
        <v>0</v>
      </c>
      <c r="L530" t="n">
        <v>0</v>
      </c>
      <c r="M530" t="n">
        <v>0</v>
      </c>
      <c r="N530" t="n">
        <v>0</v>
      </c>
      <c r="O530" t="n">
        <v>0</v>
      </c>
      <c r="P530" t="n">
        <v>0</v>
      </c>
      <c r="Q530" t="n">
        <v>0</v>
      </c>
      <c r="R530" s="2" t="inlineStr"/>
    </row>
    <row r="531" ht="15" customHeight="1">
      <c r="A531" t="inlineStr">
        <is>
          <t>A 13294-2024</t>
        </is>
      </c>
      <c r="B531" s="1" t="n">
        <v>45386</v>
      </c>
      <c r="C531" s="1" t="n">
        <v>45742</v>
      </c>
      <c r="D531" t="inlineStr">
        <is>
          <t>ÖREBRO LÄN</t>
        </is>
      </c>
      <c r="E531" t="inlineStr">
        <is>
          <t>HÄLLEFORS</t>
        </is>
      </c>
      <c r="F531" t="inlineStr">
        <is>
          <t>Bergvik skog väst AB</t>
        </is>
      </c>
      <c r="G531" t="n">
        <v>11.1</v>
      </c>
      <c r="H531" t="n">
        <v>0</v>
      </c>
      <c r="I531" t="n">
        <v>0</v>
      </c>
      <c r="J531" t="n">
        <v>0</v>
      </c>
      <c r="K531" t="n">
        <v>0</v>
      </c>
      <c r="L531" t="n">
        <v>0</v>
      </c>
      <c r="M531" t="n">
        <v>0</v>
      </c>
      <c r="N531" t="n">
        <v>0</v>
      </c>
      <c r="O531" t="n">
        <v>0</v>
      </c>
      <c r="P531" t="n">
        <v>0</v>
      </c>
      <c r="Q531" t="n">
        <v>0</v>
      </c>
      <c r="R531" s="2" t="inlineStr"/>
    </row>
    <row r="532" ht="15" customHeight="1">
      <c r="A532" t="inlineStr">
        <is>
          <t>A 13731-2024</t>
        </is>
      </c>
      <c r="B532" s="1" t="n">
        <v>45390</v>
      </c>
      <c r="C532" s="1" t="n">
        <v>45742</v>
      </c>
      <c r="D532" t="inlineStr">
        <is>
          <t>ÖREBRO LÄN</t>
        </is>
      </c>
      <c r="E532" t="inlineStr">
        <is>
          <t>HÄLLEFORS</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14128-2024</t>
        </is>
      </c>
      <c r="B533" s="1" t="n">
        <v>45392</v>
      </c>
      <c r="C533" s="1" t="n">
        <v>45742</v>
      </c>
      <c r="D533" t="inlineStr">
        <is>
          <t>ÖREBRO LÄN</t>
        </is>
      </c>
      <c r="E533" t="inlineStr">
        <is>
          <t>HÄLLEFORS</t>
        </is>
      </c>
      <c r="G533" t="n">
        <v>2.8</v>
      </c>
      <c r="H533" t="n">
        <v>0</v>
      </c>
      <c r="I533" t="n">
        <v>0</v>
      </c>
      <c r="J533" t="n">
        <v>0</v>
      </c>
      <c r="K533" t="n">
        <v>0</v>
      </c>
      <c r="L533" t="n">
        <v>0</v>
      </c>
      <c r="M533" t="n">
        <v>0</v>
      </c>
      <c r="N533" t="n">
        <v>0</v>
      </c>
      <c r="O533" t="n">
        <v>0</v>
      </c>
      <c r="P533" t="n">
        <v>0</v>
      </c>
      <c r="Q533" t="n">
        <v>0</v>
      </c>
      <c r="R533" s="2" t="inlineStr"/>
    </row>
    <row r="534" ht="15" customHeight="1">
      <c r="A534" t="inlineStr">
        <is>
          <t>A 14709-2024</t>
        </is>
      </c>
      <c r="B534" s="1" t="n">
        <v>45397</v>
      </c>
      <c r="C534" s="1" t="n">
        <v>45742</v>
      </c>
      <c r="D534" t="inlineStr">
        <is>
          <t>ÖREBRO LÄN</t>
        </is>
      </c>
      <c r="E534" t="inlineStr">
        <is>
          <t>HÄLLEFORS</t>
        </is>
      </c>
      <c r="G534" t="n">
        <v>5.1</v>
      </c>
      <c r="H534" t="n">
        <v>0</v>
      </c>
      <c r="I534" t="n">
        <v>0</v>
      </c>
      <c r="J534" t="n">
        <v>0</v>
      </c>
      <c r="K534" t="n">
        <v>0</v>
      </c>
      <c r="L534" t="n">
        <v>0</v>
      </c>
      <c r="M534" t="n">
        <v>0</v>
      </c>
      <c r="N534" t="n">
        <v>0</v>
      </c>
      <c r="O534" t="n">
        <v>0</v>
      </c>
      <c r="P534" t="n">
        <v>0</v>
      </c>
      <c r="Q534" t="n">
        <v>0</v>
      </c>
      <c r="R534" s="2" t="inlineStr"/>
    </row>
    <row r="535" ht="15" customHeight="1">
      <c r="A535" t="inlineStr">
        <is>
          <t>A 15013-2024</t>
        </is>
      </c>
      <c r="B535" s="1" t="n">
        <v>45399</v>
      </c>
      <c r="C535" s="1" t="n">
        <v>45742</v>
      </c>
      <c r="D535" t="inlineStr">
        <is>
          <t>ÖREBRO LÄN</t>
        </is>
      </c>
      <c r="E535" t="inlineStr">
        <is>
          <t>HÄLLEFORS</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15011-2024</t>
        </is>
      </c>
      <c r="B536" s="1" t="n">
        <v>45399</v>
      </c>
      <c r="C536" s="1" t="n">
        <v>45742</v>
      </c>
      <c r="D536" t="inlineStr">
        <is>
          <t>ÖREBRO LÄN</t>
        </is>
      </c>
      <c r="E536" t="inlineStr">
        <is>
          <t>HÄLLEFORS</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15757-2024</t>
        </is>
      </c>
      <c r="B537" s="1" t="n">
        <v>45404</v>
      </c>
      <c r="C537" s="1" t="n">
        <v>45742</v>
      </c>
      <c r="D537" t="inlineStr">
        <is>
          <t>ÖREBRO LÄN</t>
        </is>
      </c>
      <c r="E537" t="inlineStr">
        <is>
          <t>HÄLLEFORS</t>
        </is>
      </c>
      <c r="G537" t="n">
        <v>1.4</v>
      </c>
      <c r="H537" t="n">
        <v>0</v>
      </c>
      <c r="I537" t="n">
        <v>0</v>
      </c>
      <c r="J537" t="n">
        <v>0</v>
      </c>
      <c r="K537" t="n">
        <v>0</v>
      </c>
      <c r="L537" t="n">
        <v>0</v>
      </c>
      <c r="M537" t="n">
        <v>0</v>
      </c>
      <c r="N537" t="n">
        <v>0</v>
      </c>
      <c r="O537" t="n">
        <v>0</v>
      </c>
      <c r="P537" t="n">
        <v>0</v>
      </c>
      <c r="Q537" t="n">
        <v>0</v>
      </c>
      <c r="R537" s="2" t="inlineStr"/>
    </row>
    <row r="538" ht="15" customHeight="1">
      <c r="A538" t="inlineStr">
        <is>
          <t>A 15755-2024</t>
        </is>
      </c>
      <c r="B538" s="1" t="n">
        <v>45404</v>
      </c>
      <c r="C538" s="1" t="n">
        <v>45742</v>
      </c>
      <c r="D538" t="inlineStr">
        <is>
          <t>ÖREBRO LÄN</t>
        </is>
      </c>
      <c r="E538" t="inlineStr">
        <is>
          <t>HÄLLEFORS</t>
        </is>
      </c>
      <c r="G538" t="n">
        <v>0.8</v>
      </c>
      <c r="H538" t="n">
        <v>0</v>
      </c>
      <c r="I538" t="n">
        <v>0</v>
      </c>
      <c r="J538" t="n">
        <v>0</v>
      </c>
      <c r="K538" t="n">
        <v>0</v>
      </c>
      <c r="L538" t="n">
        <v>0</v>
      </c>
      <c r="M538" t="n">
        <v>0</v>
      </c>
      <c r="N538" t="n">
        <v>0</v>
      </c>
      <c r="O538" t="n">
        <v>0</v>
      </c>
      <c r="P538" t="n">
        <v>0</v>
      </c>
      <c r="Q538" t="n">
        <v>0</v>
      </c>
      <c r="R538" s="2" t="inlineStr"/>
    </row>
    <row r="539" ht="15" customHeight="1">
      <c r="A539" t="inlineStr">
        <is>
          <t>A 16933-2024</t>
        </is>
      </c>
      <c r="B539" s="1" t="n">
        <v>45411</v>
      </c>
      <c r="C539" s="1" t="n">
        <v>45742</v>
      </c>
      <c r="D539" t="inlineStr">
        <is>
          <t>ÖREBRO LÄN</t>
        </is>
      </c>
      <c r="E539" t="inlineStr">
        <is>
          <t>HÄLLEFORS</t>
        </is>
      </c>
      <c r="G539" t="n">
        <v>2</v>
      </c>
      <c r="H539" t="n">
        <v>0</v>
      </c>
      <c r="I539" t="n">
        <v>0</v>
      </c>
      <c r="J539" t="n">
        <v>0</v>
      </c>
      <c r="K539" t="n">
        <v>0</v>
      </c>
      <c r="L539" t="n">
        <v>0</v>
      </c>
      <c r="M539" t="n">
        <v>0</v>
      </c>
      <c r="N539" t="n">
        <v>0</v>
      </c>
      <c r="O539" t="n">
        <v>0</v>
      </c>
      <c r="P539" t="n">
        <v>0</v>
      </c>
      <c r="Q539" t="n">
        <v>0</v>
      </c>
      <c r="R539" s="2" t="inlineStr"/>
    </row>
    <row r="540" ht="15" customHeight="1">
      <c r="A540" t="inlineStr">
        <is>
          <t>A 16999-2024</t>
        </is>
      </c>
      <c r="B540" s="1" t="n">
        <v>45412</v>
      </c>
      <c r="C540" s="1" t="n">
        <v>45742</v>
      </c>
      <c r="D540" t="inlineStr">
        <is>
          <t>ÖREBRO LÄN</t>
        </is>
      </c>
      <c r="E540" t="inlineStr">
        <is>
          <t>HÄLLEFORS</t>
        </is>
      </c>
      <c r="G540" t="n">
        <v>3.5</v>
      </c>
      <c r="H540" t="n">
        <v>0</v>
      </c>
      <c r="I540" t="n">
        <v>0</v>
      </c>
      <c r="J540" t="n">
        <v>0</v>
      </c>
      <c r="K540" t="n">
        <v>0</v>
      </c>
      <c r="L540" t="n">
        <v>0</v>
      </c>
      <c r="M540" t="n">
        <v>0</v>
      </c>
      <c r="N540" t="n">
        <v>0</v>
      </c>
      <c r="O540" t="n">
        <v>0</v>
      </c>
      <c r="P540" t="n">
        <v>0</v>
      </c>
      <c r="Q540" t="n">
        <v>0</v>
      </c>
      <c r="R540" s="2" t="inlineStr"/>
    </row>
    <row r="541" ht="15" customHeight="1">
      <c r="A541" t="inlineStr">
        <is>
          <t>A 17000-2024</t>
        </is>
      </c>
      <c r="B541" s="1" t="n">
        <v>45412</v>
      </c>
      <c r="C541" s="1" t="n">
        <v>45742</v>
      </c>
      <c r="D541" t="inlineStr">
        <is>
          <t>ÖREBRO LÄN</t>
        </is>
      </c>
      <c r="E541" t="inlineStr">
        <is>
          <t>HÄLLEFORS</t>
        </is>
      </c>
      <c r="G541" t="n">
        <v>1.6</v>
      </c>
      <c r="H541" t="n">
        <v>0</v>
      </c>
      <c r="I541" t="n">
        <v>0</v>
      </c>
      <c r="J541" t="n">
        <v>0</v>
      </c>
      <c r="K541" t="n">
        <v>0</v>
      </c>
      <c r="L541" t="n">
        <v>0</v>
      </c>
      <c r="M541" t="n">
        <v>0</v>
      </c>
      <c r="N541" t="n">
        <v>0</v>
      </c>
      <c r="O541" t="n">
        <v>0</v>
      </c>
      <c r="P541" t="n">
        <v>0</v>
      </c>
      <c r="Q541" t="n">
        <v>0</v>
      </c>
      <c r="R541" s="2" t="inlineStr"/>
    </row>
    <row r="542" ht="15" customHeight="1">
      <c r="A542" t="inlineStr">
        <is>
          <t>A 16998-2024</t>
        </is>
      </c>
      <c r="B542" s="1" t="n">
        <v>45412</v>
      </c>
      <c r="C542" s="1" t="n">
        <v>45742</v>
      </c>
      <c r="D542" t="inlineStr">
        <is>
          <t>ÖREBRO LÄN</t>
        </is>
      </c>
      <c r="E542" t="inlineStr">
        <is>
          <t>HÄLLEFORS</t>
        </is>
      </c>
      <c r="G542" t="n">
        <v>0.7</v>
      </c>
      <c r="H542" t="n">
        <v>0</v>
      </c>
      <c r="I542" t="n">
        <v>0</v>
      </c>
      <c r="J542" t="n">
        <v>0</v>
      </c>
      <c r="K542" t="n">
        <v>0</v>
      </c>
      <c r="L542" t="n">
        <v>0</v>
      </c>
      <c r="M542" t="n">
        <v>0</v>
      </c>
      <c r="N542" t="n">
        <v>0</v>
      </c>
      <c r="O542" t="n">
        <v>0</v>
      </c>
      <c r="P542" t="n">
        <v>0</v>
      </c>
      <c r="Q542" t="n">
        <v>0</v>
      </c>
      <c r="R542" s="2" t="inlineStr"/>
    </row>
    <row r="543" ht="15" customHeight="1">
      <c r="A543" t="inlineStr">
        <is>
          <t>A 17305-2024</t>
        </is>
      </c>
      <c r="B543" s="1" t="n">
        <v>45414</v>
      </c>
      <c r="C543" s="1" t="n">
        <v>45742</v>
      </c>
      <c r="D543" t="inlineStr">
        <is>
          <t>ÖREBRO LÄN</t>
        </is>
      </c>
      <c r="E543" t="inlineStr">
        <is>
          <t>HÄLLEFORS</t>
        </is>
      </c>
      <c r="F543" t="inlineStr">
        <is>
          <t>Bergvik skog väst AB</t>
        </is>
      </c>
      <c r="G543" t="n">
        <v>6.7</v>
      </c>
      <c r="H543" t="n">
        <v>0</v>
      </c>
      <c r="I543" t="n">
        <v>0</v>
      </c>
      <c r="J543" t="n">
        <v>0</v>
      </c>
      <c r="K543" t="n">
        <v>0</v>
      </c>
      <c r="L543" t="n">
        <v>0</v>
      </c>
      <c r="M543" t="n">
        <v>0</v>
      </c>
      <c r="N543" t="n">
        <v>0</v>
      </c>
      <c r="O543" t="n">
        <v>0</v>
      </c>
      <c r="P543" t="n">
        <v>0</v>
      </c>
      <c r="Q543" t="n">
        <v>0</v>
      </c>
      <c r="R543" s="2" t="inlineStr"/>
    </row>
    <row r="544" ht="15" customHeight="1">
      <c r="A544" t="inlineStr">
        <is>
          <t>A 17242-2024</t>
        </is>
      </c>
      <c r="B544" s="1" t="n">
        <v>45414</v>
      </c>
      <c r="C544" s="1" t="n">
        <v>45742</v>
      </c>
      <c r="D544" t="inlineStr">
        <is>
          <t>ÖREBRO LÄN</t>
        </is>
      </c>
      <c r="E544" t="inlineStr">
        <is>
          <t>HÄLLEFORS</t>
        </is>
      </c>
      <c r="F544" t="inlineStr">
        <is>
          <t>Bergvik skog väst AB</t>
        </is>
      </c>
      <c r="G544" t="n">
        <v>4.7</v>
      </c>
      <c r="H544" t="n">
        <v>0</v>
      </c>
      <c r="I544" t="n">
        <v>0</v>
      </c>
      <c r="J544" t="n">
        <v>0</v>
      </c>
      <c r="K544" t="n">
        <v>0</v>
      </c>
      <c r="L544" t="n">
        <v>0</v>
      </c>
      <c r="M544" t="n">
        <v>0</v>
      </c>
      <c r="N544" t="n">
        <v>0</v>
      </c>
      <c r="O544" t="n">
        <v>0</v>
      </c>
      <c r="P544" t="n">
        <v>0</v>
      </c>
      <c r="Q544" t="n">
        <v>0</v>
      </c>
      <c r="R544" s="2" t="inlineStr"/>
    </row>
    <row r="545" ht="15" customHeight="1">
      <c r="A545" t="inlineStr">
        <is>
          <t>A 18168-2024</t>
        </is>
      </c>
      <c r="B545" s="1" t="n">
        <v>45420</v>
      </c>
      <c r="C545" s="1" t="n">
        <v>45742</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19054-2024</t>
        </is>
      </c>
      <c r="B546" s="1" t="n">
        <v>45427</v>
      </c>
      <c r="C546" s="1" t="n">
        <v>45742</v>
      </c>
      <c r="D546" t="inlineStr">
        <is>
          <t>ÖREBRO LÄN</t>
        </is>
      </c>
      <c r="E546" t="inlineStr">
        <is>
          <t>HÄLLEFORS</t>
        </is>
      </c>
      <c r="G546" t="n">
        <v>0.5</v>
      </c>
      <c r="H546" t="n">
        <v>0</v>
      </c>
      <c r="I546" t="n">
        <v>0</v>
      </c>
      <c r="J546" t="n">
        <v>0</v>
      </c>
      <c r="K546" t="n">
        <v>0</v>
      </c>
      <c r="L546" t="n">
        <v>0</v>
      </c>
      <c r="M546" t="n">
        <v>0</v>
      </c>
      <c r="N546" t="n">
        <v>0</v>
      </c>
      <c r="O546" t="n">
        <v>0</v>
      </c>
      <c r="P546" t="n">
        <v>0</v>
      </c>
      <c r="Q546" t="n">
        <v>0</v>
      </c>
      <c r="R546" s="2" t="inlineStr"/>
    </row>
    <row r="547" ht="15" customHeight="1">
      <c r="A547" t="inlineStr">
        <is>
          <t>A 19055-2024</t>
        </is>
      </c>
      <c r="B547" s="1" t="n">
        <v>45427</v>
      </c>
      <c r="C547" s="1" t="n">
        <v>45742</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18889-2024</t>
        </is>
      </c>
      <c r="B548" s="1" t="n">
        <v>45427</v>
      </c>
      <c r="C548" s="1" t="n">
        <v>45742</v>
      </c>
      <c r="D548" t="inlineStr">
        <is>
          <t>ÖREBRO LÄN</t>
        </is>
      </c>
      <c r="E548" t="inlineStr">
        <is>
          <t>HÄLLEFORS</t>
        </is>
      </c>
      <c r="G548" t="n">
        <v>8.5</v>
      </c>
      <c r="H548" t="n">
        <v>0</v>
      </c>
      <c r="I548" t="n">
        <v>0</v>
      </c>
      <c r="J548" t="n">
        <v>0</v>
      </c>
      <c r="K548" t="n">
        <v>0</v>
      </c>
      <c r="L548" t="n">
        <v>0</v>
      </c>
      <c r="M548" t="n">
        <v>0</v>
      </c>
      <c r="N548" t="n">
        <v>0</v>
      </c>
      <c r="O548" t="n">
        <v>0</v>
      </c>
      <c r="P548" t="n">
        <v>0</v>
      </c>
      <c r="Q548" t="n">
        <v>0</v>
      </c>
      <c r="R548" s="2" t="inlineStr"/>
    </row>
    <row r="549" ht="15" customHeight="1">
      <c r="A549" t="inlineStr">
        <is>
          <t>A 19356-2024</t>
        </is>
      </c>
      <c r="B549" s="1" t="n">
        <v>45429</v>
      </c>
      <c r="C549" s="1" t="n">
        <v>45742</v>
      </c>
      <c r="D549" t="inlineStr">
        <is>
          <t>ÖREBRO LÄN</t>
        </is>
      </c>
      <c r="E549" t="inlineStr">
        <is>
          <t>HÄLLEFORS</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19683-2024</t>
        </is>
      </c>
      <c r="B550" s="1" t="n">
        <v>45432</v>
      </c>
      <c r="C550" s="1" t="n">
        <v>45742</v>
      </c>
      <c r="D550" t="inlineStr">
        <is>
          <t>ÖREBRO LÄN</t>
        </is>
      </c>
      <c r="E550" t="inlineStr">
        <is>
          <t>HÄLLEFORS</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19805-2024</t>
        </is>
      </c>
      <c r="B551" s="1" t="n">
        <v>45433</v>
      </c>
      <c r="C551" s="1" t="n">
        <v>45742</v>
      </c>
      <c r="D551" t="inlineStr">
        <is>
          <t>ÖREBRO LÄN</t>
        </is>
      </c>
      <c r="E551" t="inlineStr">
        <is>
          <t>HÄLLEFORS</t>
        </is>
      </c>
      <c r="G551" t="n">
        <v>3</v>
      </c>
      <c r="H551" t="n">
        <v>0</v>
      </c>
      <c r="I551" t="n">
        <v>0</v>
      </c>
      <c r="J551" t="n">
        <v>0</v>
      </c>
      <c r="K551" t="n">
        <v>0</v>
      </c>
      <c r="L551" t="n">
        <v>0</v>
      </c>
      <c r="M551" t="n">
        <v>0</v>
      </c>
      <c r="N551" t="n">
        <v>0</v>
      </c>
      <c r="O551" t="n">
        <v>0</v>
      </c>
      <c r="P551" t="n">
        <v>0</v>
      </c>
      <c r="Q551" t="n">
        <v>0</v>
      </c>
      <c r="R551" s="2" t="inlineStr"/>
    </row>
    <row r="552" ht="15" customHeight="1">
      <c r="A552" t="inlineStr">
        <is>
          <t>A 20075-2024</t>
        </is>
      </c>
      <c r="B552" s="1" t="n">
        <v>45434</v>
      </c>
      <c r="C552" s="1" t="n">
        <v>45742</v>
      </c>
      <c r="D552" t="inlineStr">
        <is>
          <t>ÖREBRO LÄN</t>
        </is>
      </c>
      <c r="E552" t="inlineStr">
        <is>
          <t>HÄLLEFORS</t>
        </is>
      </c>
      <c r="G552" t="n">
        <v>0.8</v>
      </c>
      <c r="H552" t="n">
        <v>0</v>
      </c>
      <c r="I552" t="n">
        <v>0</v>
      </c>
      <c r="J552" t="n">
        <v>0</v>
      </c>
      <c r="K552" t="n">
        <v>0</v>
      </c>
      <c r="L552" t="n">
        <v>0</v>
      </c>
      <c r="M552" t="n">
        <v>0</v>
      </c>
      <c r="N552" t="n">
        <v>0</v>
      </c>
      <c r="O552" t="n">
        <v>0</v>
      </c>
      <c r="P552" t="n">
        <v>0</v>
      </c>
      <c r="Q552" t="n">
        <v>0</v>
      </c>
      <c r="R552" s="2" t="inlineStr"/>
    </row>
    <row r="553" ht="15" customHeight="1">
      <c r="A553" t="inlineStr">
        <is>
          <t>A 20118-2024</t>
        </is>
      </c>
      <c r="B553" s="1" t="n">
        <v>45434</v>
      </c>
      <c r="C553" s="1" t="n">
        <v>45742</v>
      </c>
      <c r="D553" t="inlineStr">
        <is>
          <t>ÖREBRO LÄN</t>
        </is>
      </c>
      <c r="E553" t="inlineStr">
        <is>
          <t>HÄLLEFORS</t>
        </is>
      </c>
      <c r="G553" t="n">
        <v>2.4</v>
      </c>
      <c r="H553" t="n">
        <v>0</v>
      </c>
      <c r="I553" t="n">
        <v>0</v>
      </c>
      <c r="J553" t="n">
        <v>0</v>
      </c>
      <c r="K553" t="n">
        <v>0</v>
      </c>
      <c r="L553" t="n">
        <v>0</v>
      </c>
      <c r="M553" t="n">
        <v>0</v>
      </c>
      <c r="N553" t="n">
        <v>0</v>
      </c>
      <c r="O553" t="n">
        <v>0</v>
      </c>
      <c r="P553" t="n">
        <v>0</v>
      </c>
      <c r="Q553" t="n">
        <v>0</v>
      </c>
      <c r="R553" s="2" t="inlineStr"/>
    </row>
    <row r="554" ht="15" customHeight="1">
      <c r="A554" t="inlineStr">
        <is>
          <t>A 20122-2024</t>
        </is>
      </c>
      <c r="B554" s="1" t="n">
        <v>45434</v>
      </c>
      <c r="C554" s="1" t="n">
        <v>45742</v>
      </c>
      <c r="D554" t="inlineStr">
        <is>
          <t>ÖREBRO LÄN</t>
        </is>
      </c>
      <c r="E554" t="inlineStr">
        <is>
          <t>HÄLLEFORS</t>
        </is>
      </c>
      <c r="G554" t="n">
        <v>2</v>
      </c>
      <c r="H554" t="n">
        <v>0</v>
      </c>
      <c r="I554" t="n">
        <v>0</v>
      </c>
      <c r="J554" t="n">
        <v>0</v>
      </c>
      <c r="K554" t="n">
        <v>0</v>
      </c>
      <c r="L554" t="n">
        <v>0</v>
      </c>
      <c r="M554" t="n">
        <v>0</v>
      </c>
      <c r="N554" t="n">
        <v>0</v>
      </c>
      <c r="O554" t="n">
        <v>0</v>
      </c>
      <c r="P554" t="n">
        <v>0</v>
      </c>
      <c r="Q554" t="n">
        <v>0</v>
      </c>
      <c r="R554" s="2" t="inlineStr"/>
    </row>
    <row r="555" ht="15" customHeight="1">
      <c r="A555" t="inlineStr">
        <is>
          <t>A 20069-2024</t>
        </is>
      </c>
      <c r="B555" s="1" t="n">
        <v>45434</v>
      </c>
      <c r="C555" s="1" t="n">
        <v>45742</v>
      </c>
      <c r="D555" t="inlineStr">
        <is>
          <t>ÖREBRO LÄN</t>
        </is>
      </c>
      <c r="E555" t="inlineStr">
        <is>
          <t>HÄLLEFORS</t>
        </is>
      </c>
      <c r="G555" t="n">
        <v>10.1</v>
      </c>
      <c r="H555" t="n">
        <v>0</v>
      </c>
      <c r="I555" t="n">
        <v>0</v>
      </c>
      <c r="J555" t="n">
        <v>0</v>
      </c>
      <c r="K555" t="n">
        <v>0</v>
      </c>
      <c r="L555" t="n">
        <v>0</v>
      </c>
      <c r="M555" t="n">
        <v>0</v>
      </c>
      <c r="N555" t="n">
        <v>0</v>
      </c>
      <c r="O555" t="n">
        <v>0</v>
      </c>
      <c r="P555" t="n">
        <v>0</v>
      </c>
      <c r="Q555" t="n">
        <v>0</v>
      </c>
      <c r="R555" s="2" t="inlineStr"/>
    </row>
    <row r="556" ht="15" customHeight="1">
      <c r="A556" t="inlineStr">
        <is>
          <t>A 20128-2024</t>
        </is>
      </c>
      <c r="B556" s="1" t="n">
        <v>45434</v>
      </c>
      <c r="C556" s="1" t="n">
        <v>45742</v>
      </c>
      <c r="D556" t="inlineStr">
        <is>
          <t>ÖREBRO LÄN</t>
        </is>
      </c>
      <c r="E556" t="inlineStr">
        <is>
          <t>HÄLLEFORS</t>
        </is>
      </c>
      <c r="G556" t="n">
        <v>2.4</v>
      </c>
      <c r="H556" t="n">
        <v>0</v>
      </c>
      <c r="I556" t="n">
        <v>0</v>
      </c>
      <c r="J556" t="n">
        <v>0</v>
      </c>
      <c r="K556" t="n">
        <v>0</v>
      </c>
      <c r="L556" t="n">
        <v>0</v>
      </c>
      <c r="M556" t="n">
        <v>0</v>
      </c>
      <c r="N556" t="n">
        <v>0</v>
      </c>
      <c r="O556" t="n">
        <v>0</v>
      </c>
      <c r="P556" t="n">
        <v>0</v>
      </c>
      <c r="Q556" t="n">
        <v>0</v>
      </c>
      <c r="R556" s="2" t="inlineStr"/>
    </row>
    <row r="557" ht="15" customHeight="1">
      <c r="A557" t="inlineStr">
        <is>
          <t>A 21001-2024</t>
        </is>
      </c>
      <c r="B557" s="1" t="n">
        <v>45439</v>
      </c>
      <c r="C557" s="1" t="n">
        <v>45742</v>
      </c>
      <c r="D557" t="inlineStr">
        <is>
          <t>ÖREBRO LÄN</t>
        </is>
      </c>
      <c r="E557" t="inlineStr">
        <is>
          <t>HÄLLEFORS</t>
        </is>
      </c>
      <c r="G557" t="n">
        <v>5.9</v>
      </c>
      <c r="H557" t="n">
        <v>0</v>
      </c>
      <c r="I557" t="n">
        <v>0</v>
      </c>
      <c r="J557" t="n">
        <v>0</v>
      </c>
      <c r="K557" t="n">
        <v>0</v>
      </c>
      <c r="L557" t="n">
        <v>0</v>
      </c>
      <c r="M557" t="n">
        <v>0</v>
      </c>
      <c r="N557" t="n">
        <v>0</v>
      </c>
      <c r="O557" t="n">
        <v>0</v>
      </c>
      <c r="P557" t="n">
        <v>0</v>
      </c>
      <c r="Q557" t="n">
        <v>0</v>
      </c>
      <c r="R557" s="2" t="inlineStr"/>
    </row>
    <row r="558" ht="15" customHeight="1">
      <c r="A558" t="inlineStr">
        <is>
          <t>A 21267-2024</t>
        </is>
      </c>
      <c r="B558" s="1" t="n">
        <v>45440</v>
      </c>
      <c r="C558" s="1" t="n">
        <v>45742</v>
      </c>
      <c r="D558" t="inlineStr">
        <is>
          <t>ÖREBRO LÄN</t>
        </is>
      </c>
      <c r="E558" t="inlineStr">
        <is>
          <t>HÄLLEFORS</t>
        </is>
      </c>
      <c r="G558" t="n">
        <v>10.4</v>
      </c>
      <c r="H558" t="n">
        <v>0</v>
      </c>
      <c r="I558" t="n">
        <v>0</v>
      </c>
      <c r="J558" t="n">
        <v>0</v>
      </c>
      <c r="K558" t="n">
        <v>0</v>
      </c>
      <c r="L558" t="n">
        <v>0</v>
      </c>
      <c r="M558" t="n">
        <v>0</v>
      </c>
      <c r="N558" t="n">
        <v>0</v>
      </c>
      <c r="O558" t="n">
        <v>0</v>
      </c>
      <c r="P558" t="n">
        <v>0</v>
      </c>
      <c r="Q558" t="n">
        <v>0</v>
      </c>
      <c r="R558" s="2" t="inlineStr"/>
    </row>
    <row r="559" ht="15" customHeight="1">
      <c r="A559" t="inlineStr">
        <is>
          <t>A 21315-2024</t>
        </is>
      </c>
      <c r="B559" s="1" t="n">
        <v>45440</v>
      </c>
      <c r="C559" s="1" t="n">
        <v>45742</v>
      </c>
      <c r="D559" t="inlineStr">
        <is>
          <t>ÖREBRO LÄN</t>
        </is>
      </c>
      <c r="E559" t="inlineStr">
        <is>
          <t>HÄLLEFORS</t>
        </is>
      </c>
      <c r="G559" t="n">
        <v>3.1</v>
      </c>
      <c r="H559" t="n">
        <v>0</v>
      </c>
      <c r="I559" t="n">
        <v>0</v>
      </c>
      <c r="J559" t="n">
        <v>0</v>
      </c>
      <c r="K559" t="n">
        <v>0</v>
      </c>
      <c r="L559" t="n">
        <v>0</v>
      </c>
      <c r="M559" t="n">
        <v>0</v>
      </c>
      <c r="N559" t="n">
        <v>0</v>
      </c>
      <c r="O559" t="n">
        <v>0</v>
      </c>
      <c r="P559" t="n">
        <v>0</v>
      </c>
      <c r="Q559" t="n">
        <v>0</v>
      </c>
      <c r="R559" s="2" t="inlineStr"/>
    </row>
    <row r="560" ht="15" customHeight="1">
      <c r="A560" t="inlineStr">
        <is>
          <t>A 21489-2024</t>
        </is>
      </c>
      <c r="B560" s="1" t="n">
        <v>45441</v>
      </c>
      <c r="C560" s="1" t="n">
        <v>45742</v>
      </c>
      <c r="D560" t="inlineStr">
        <is>
          <t>ÖREBRO LÄN</t>
        </is>
      </c>
      <c r="E560" t="inlineStr">
        <is>
          <t>HÄLLEFORS</t>
        </is>
      </c>
      <c r="G560" t="n">
        <v>7.4</v>
      </c>
      <c r="H560" t="n">
        <v>0</v>
      </c>
      <c r="I560" t="n">
        <v>0</v>
      </c>
      <c r="J560" t="n">
        <v>0</v>
      </c>
      <c r="K560" t="n">
        <v>0</v>
      </c>
      <c r="L560" t="n">
        <v>0</v>
      </c>
      <c r="M560" t="n">
        <v>0</v>
      </c>
      <c r="N560" t="n">
        <v>0</v>
      </c>
      <c r="O560" t="n">
        <v>0</v>
      </c>
      <c r="P560" t="n">
        <v>0</v>
      </c>
      <c r="Q560" t="n">
        <v>0</v>
      </c>
      <c r="R560" s="2" t="inlineStr"/>
    </row>
    <row r="561" ht="15" customHeight="1">
      <c r="A561" t="inlineStr">
        <is>
          <t>A 23037-2024</t>
        </is>
      </c>
      <c r="B561" s="1" t="n">
        <v>45450</v>
      </c>
      <c r="C561" s="1" t="n">
        <v>45742</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23036-2024</t>
        </is>
      </c>
      <c r="B562" s="1" t="n">
        <v>45450</v>
      </c>
      <c r="C562" s="1" t="n">
        <v>45742</v>
      </c>
      <c r="D562" t="inlineStr">
        <is>
          <t>ÖREBRO LÄN</t>
        </is>
      </c>
      <c r="E562" t="inlineStr">
        <is>
          <t>HÄLLEFORS</t>
        </is>
      </c>
      <c r="G562" t="n">
        <v>1.5</v>
      </c>
      <c r="H562" t="n">
        <v>0</v>
      </c>
      <c r="I562" t="n">
        <v>0</v>
      </c>
      <c r="J562" t="n">
        <v>0</v>
      </c>
      <c r="K562" t="n">
        <v>0</v>
      </c>
      <c r="L562" t="n">
        <v>0</v>
      </c>
      <c r="M562" t="n">
        <v>0</v>
      </c>
      <c r="N562" t="n">
        <v>0</v>
      </c>
      <c r="O562" t="n">
        <v>0</v>
      </c>
      <c r="P562" t="n">
        <v>0</v>
      </c>
      <c r="Q562" t="n">
        <v>0</v>
      </c>
      <c r="R562" s="2" t="inlineStr"/>
    </row>
    <row r="563" ht="15" customHeight="1">
      <c r="A563" t="inlineStr">
        <is>
          <t>A 23218-2024</t>
        </is>
      </c>
      <c r="B563" s="1" t="n">
        <v>45452</v>
      </c>
      <c r="C563" s="1" t="n">
        <v>45742</v>
      </c>
      <c r="D563" t="inlineStr">
        <is>
          <t>ÖREBRO LÄN</t>
        </is>
      </c>
      <c r="E563" t="inlineStr">
        <is>
          <t>HÄLLEFORS</t>
        </is>
      </c>
      <c r="G563" t="n">
        <v>2.7</v>
      </c>
      <c r="H563" t="n">
        <v>0</v>
      </c>
      <c r="I563" t="n">
        <v>0</v>
      </c>
      <c r="J563" t="n">
        <v>0</v>
      </c>
      <c r="K563" t="n">
        <v>0</v>
      </c>
      <c r="L563" t="n">
        <v>0</v>
      </c>
      <c r="M563" t="n">
        <v>0</v>
      </c>
      <c r="N563" t="n">
        <v>0</v>
      </c>
      <c r="O563" t="n">
        <v>0</v>
      </c>
      <c r="P563" t="n">
        <v>0</v>
      </c>
      <c r="Q563" t="n">
        <v>0</v>
      </c>
      <c r="R563" s="2" t="inlineStr"/>
    </row>
    <row r="564" ht="15" customHeight="1">
      <c r="A564" t="inlineStr">
        <is>
          <t>A 23360-2024</t>
        </is>
      </c>
      <c r="B564" s="1" t="n">
        <v>45453</v>
      </c>
      <c r="C564" s="1" t="n">
        <v>45742</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24014-2024</t>
        </is>
      </c>
      <c r="B565" s="1" t="n">
        <v>45456</v>
      </c>
      <c r="C565" s="1" t="n">
        <v>45742</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24011-2024</t>
        </is>
      </c>
      <c r="B566" s="1" t="n">
        <v>45456</v>
      </c>
      <c r="C566" s="1" t="n">
        <v>45742</v>
      </c>
      <c r="D566" t="inlineStr">
        <is>
          <t>ÖREBRO LÄN</t>
        </is>
      </c>
      <c r="E566" t="inlineStr">
        <is>
          <t>HÄLLEFORS</t>
        </is>
      </c>
      <c r="G566" t="n">
        <v>1.1</v>
      </c>
      <c r="H566" t="n">
        <v>0</v>
      </c>
      <c r="I566" t="n">
        <v>0</v>
      </c>
      <c r="J566" t="n">
        <v>0</v>
      </c>
      <c r="K566" t="n">
        <v>0</v>
      </c>
      <c r="L566" t="n">
        <v>0</v>
      </c>
      <c r="M566" t="n">
        <v>0</v>
      </c>
      <c r="N566" t="n">
        <v>0</v>
      </c>
      <c r="O566" t="n">
        <v>0</v>
      </c>
      <c r="P566" t="n">
        <v>0</v>
      </c>
      <c r="Q566" t="n">
        <v>0</v>
      </c>
      <c r="R566" s="2" t="inlineStr"/>
    </row>
    <row r="567" ht="15" customHeight="1">
      <c r="A567" t="inlineStr">
        <is>
          <t>A 24679-2024</t>
        </is>
      </c>
      <c r="B567" s="1" t="n">
        <v>45460</v>
      </c>
      <c r="C567" s="1" t="n">
        <v>45742</v>
      </c>
      <c r="D567" t="inlineStr">
        <is>
          <t>ÖREBRO LÄN</t>
        </is>
      </c>
      <c r="E567" t="inlineStr">
        <is>
          <t>HÄLLEFORS</t>
        </is>
      </c>
      <c r="G567" t="n">
        <v>4.1</v>
      </c>
      <c r="H567" t="n">
        <v>0</v>
      </c>
      <c r="I567" t="n">
        <v>0</v>
      </c>
      <c r="J567" t="n">
        <v>0</v>
      </c>
      <c r="K567" t="n">
        <v>0</v>
      </c>
      <c r="L567" t="n">
        <v>0</v>
      </c>
      <c r="M567" t="n">
        <v>0</v>
      </c>
      <c r="N567" t="n">
        <v>0</v>
      </c>
      <c r="O567" t="n">
        <v>0</v>
      </c>
      <c r="P567" t="n">
        <v>0</v>
      </c>
      <c r="Q567" t="n">
        <v>0</v>
      </c>
      <c r="R567" s="2" t="inlineStr"/>
    </row>
    <row r="568" ht="15" customHeight="1">
      <c r="A568" t="inlineStr">
        <is>
          <t>A 25220-2024</t>
        </is>
      </c>
      <c r="B568" s="1" t="n">
        <v>45462</v>
      </c>
      <c r="C568" s="1" t="n">
        <v>45742</v>
      </c>
      <c r="D568" t="inlineStr">
        <is>
          <t>ÖREBRO LÄN</t>
        </is>
      </c>
      <c r="E568" t="inlineStr">
        <is>
          <t>HÄLLEFORS</t>
        </is>
      </c>
      <c r="G568" t="n">
        <v>2</v>
      </c>
      <c r="H568" t="n">
        <v>0</v>
      </c>
      <c r="I568" t="n">
        <v>0</v>
      </c>
      <c r="J568" t="n">
        <v>0</v>
      </c>
      <c r="K568" t="n">
        <v>0</v>
      </c>
      <c r="L568" t="n">
        <v>0</v>
      </c>
      <c r="M568" t="n">
        <v>0</v>
      </c>
      <c r="N568" t="n">
        <v>0</v>
      </c>
      <c r="O568" t="n">
        <v>0</v>
      </c>
      <c r="P568" t="n">
        <v>0</v>
      </c>
      <c r="Q568" t="n">
        <v>0</v>
      </c>
      <c r="R568" s="2" t="inlineStr"/>
    </row>
    <row r="569" ht="15" customHeight="1">
      <c r="A569" t="inlineStr">
        <is>
          <t>A 25059-2024</t>
        </is>
      </c>
      <c r="B569" s="1" t="n">
        <v>45462</v>
      </c>
      <c r="C569" s="1" t="n">
        <v>45742</v>
      </c>
      <c r="D569" t="inlineStr">
        <is>
          <t>ÖREBRO LÄN</t>
        </is>
      </c>
      <c r="E569" t="inlineStr">
        <is>
          <t>HÄLLEFORS</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25460-2024</t>
        </is>
      </c>
      <c r="B570" s="1" t="n">
        <v>45463</v>
      </c>
      <c r="C570" s="1" t="n">
        <v>45742</v>
      </c>
      <c r="D570" t="inlineStr">
        <is>
          <t>ÖREBRO LÄN</t>
        </is>
      </c>
      <c r="E570" t="inlineStr">
        <is>
          <t>HÄLLEFORS</t>
        </is>
      </c>
      <c r="G570" t="n">
        <v>3.4</v>
      </c>
      <c r="H570" t="n">
        <v>0</v>
      </c>
      <c r="I570" t="n">
        <v>0</v>
      </c>
      <c r="J570" t="n">
        <v>0</v>
      </c>
      <c r="K570" t="n">
        <v>0</v>
      </c>
      <c r="L570" t="n">
        <v>0</v>
      </c>
      <c r="M570" t="n">
        <v>0</v>
      </c>
      <c r="N570" t="n">
        <v>0</v>
      </c>
      <c r="O570" t="n">
        <v>0</v>
      </c>
      <c r="P570" t="n">
        <v>0</v>
      </c>
      <c r="Q570" t="n">
        <v>0</v>
      </c>
      <c r="R570" s="2" t="inlineStr"/>
    </row>
    <row r="571" ht="15" customHeight="1">
      <c r="A571" t="inlineStr">
        <is>
          <t>A 25896-2024</t>
        </is>
      </c>
      <c r="B571" s="1" t="n">
        <v>45467</v>
      </c>
      <c r="C571" s="1" t="n">
        <v>45742</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26747-2024</t>
        </is>
      </c>
      <c r="B572" s="1" t="n">
        <v>45470</v>
      </c>
      <c r="C572" s="1" t="n">
        <v>45742</v>
      </c>
      <c r="D572" t="inlineStr">
        <is>
          <t>ÖREBRO LÄN</t>
        </is>
      </c>
      <c r="E572" t="inlineStr">
        <is>
          <t>HÄLLEFORS</t>
        </is>
      </c>
      <c r="G572" t="n">
        <v>7.9</v>
      </c>
      <c r="H572" t="n">
        <v>0</v>
      </c>
      <c r="I572" t="n">
        <v>0</v>
      </c>
      <c r="J572" t="n">
        <v>0</v>
      </c>
      <c r="K572" t="n">
        <v>0</v>
      </c>
      <c r="L572" t="n">
        <v>0</v>
      </c>
      <c r="M572" t="n">
        <v>0</v>
      </c>
      <c r="N572" t="n">
        <v>0</v>
      </c>
      <c r="O572" t="n">
        <v>0</v>
      </c>
      <c r="P572" t="n">
        <v>0</v>
      </c>
      <c r="Q572" t="n">
        <v>0</v>
      </c>
      <c r="R572" s="2" t="inlineStr"/>
    </row>
    <row r="573" ht="15" customHeight="1">
      <c r="A573" t="inlineStr">
        <is>
          <t>A 28575-2024</t>
        </is>
      </c>
      <c r="B573" s="1" t="n">
        <v>45478</v>
      </c>
      <c r="C573" s="1" t="n">
        <v>45742</v>
      </c>
      <c r="D573" t="inlineStr">
        <is>
          <t>ÖREBRO LÄN</t>
        </is>
      </c>
      <c r="E573" t="inlineStr">
        <is>
          <t>HÄLLEFORS</t>
        </is>
      </c>
      <c r="F573" t="inlineStr">
        <is>
          <t>Bergvik skog väst AB</t>
        </is>
      </c>
      <c r="G573" t="n">
        <v>6.1</v>
      </c>
      <c r="H573" t="n">
        <v>0</v>
      </c>
      <c r="I573" t="n">
        <v>0</v>
      </c>
      <c r="J573" t="n">
        <v>0</v>
      </c>
      <c r="K573" t="n">
        <v>0</v>
      </c>
      <c r="L573" t="n">
        <v>0</v>
      </c>
      <c r="M573" t="n">
        <v>0</v>
      </c>
      <c r="N573" t="n">
        <v>0</v>
      </c>
      <c r="O573" t="n">
        <v>0</v>
      </c>
      <c r="P573" t="n">
        <v>0</v>
      </c>
      <c r="Q573" t="n">
        <v>0</v>
      </c>
      <c r="R573" s="2" t="inlineStr"/>
    </row>
    <row r="574" ht="15" customHeight="1">
      <c r="A574" t="inlineStr">
        <is>
          <t>A 28564-2024</t>
        </is>
      </c>
      <c r="B574" s="1" t="n">
        <v>45478</v>
      </c>
      <c r="C574" s="1" t="n">
        <v>45742</v>
      </c>
      <c r="D574" t="inlineStr">
        <is>
          <t>ÖREBRO LÄN</t>
        </is>
      </c>
      <c r="E574" t="inlineStr">
        <is>
          <t>HÄLLEFORS</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28628-2024</t>
        </is>
      </c>
      <c r="B575" s="1" t="n">
        <v>45478</v>
      </c>
      <c r="C575" s="1" t="n">
        <v>45742</v>
      </c>
      <c r="D575" t="inlineStr">
        <is>
          <t>ÖREBRO LÄN</t>
        </is>
      </c>
      <c r="E575" t="inlineStr">
        <is>
          <t>HÄLLEFORS</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28605-2024</t>
        </is>
      </c>
      <c r="B576" s="1" t="n">
        <v>45478</v>
      </c>
      <c r="C576" s="1" t="n">
        <v>45742</v>
      </c>
      <c r="D576" t="inlineStr">
        <is>
          <t>ÖREBRO LÄN</t>
        </is>
      </c>
      <c r="E576" t="inlineStr">
        <is>
          <t>HÄLLEFORS</t>
        </is>
      </c>
      <c r="F576" t="inlineStr">
        <is>
          <t>Bergvik skog väst AB</t>
        </is>
      </c>
      <c r="G576" t="n">
        <v>2.6</v>
      </c>
      <c r="H576" t="n">
        <v>0</v>
      </c>
      <c r="I576" t="n">
        <v>0</v>
      </c>
      <c r="J576" t="n">
        <v>0</v>
      </c>
      <c r="K576" t="n">
        <v>0</v>
      </c>
      <c r="L576" t="n">
        <v>0</v>
      </c>
      <c r="M576" t="n">
        <v>0</v>
      </c>
      <c r="N576" t="n">
        <v>0</v>
      </c>
      <c r="O576" t="n">
        <v>0</v>
      </c>
      <c r="P576" t="n">
        <v>0</v>
      </c>
      <c r="Q576" t="n">
        <v>0</v>
      </c>
      <c r="R576" s="2" t="inlineStr"/>
    </row>
    <row r="577" ht="15" customHeight="1">
      <c r="A577" t="inlineStr">
        <is>
          <t>A 28653-2024</t>
        </is>
      </c>
      <c r="B577" s="1" t="n">
        <v>45478</v>
      </c>
      <c r="C577" s="1" t="n">
        <v>45742</v>
      </c>
      <c r="D577" t="inlineStr">
        <is>
          <t>ÖREBRO LÄN</t>
        </is>
      </c>
      <c r="E577" t="inlineStr">
        <is>
          <t>HÄLLEFORS</t>
        </is>
      </c>
      <c r="G577" t="n">
        <v>0.7</v>
      </c>
      <c r="H577" t="n">
        <v>0</v>
      </c>
      <c r="I577" t="n">
        <v>0</v>
      </c>
      <c r="J577" t="n">
        <v>0</v>
      </c>
      <c r="K577" t="n">
        <v>0</v>
      </c>
      <c r="L577" t="n">
        <v>0</v>
      </c>
      <c r="M577" t="n">
        <v>0</v>
      </c>
      <c r="N577" t="n">
        <v>0</v>
      </c>
      <c r="O577" t="n">
        <v>0</v>
      </c>
      <c r="P577" t="n">
        <v>0</v>
      </c>
      <c r="Q577" t="n">
        <v>0</v>
      </c>
      <c r="R577" s="2" t="inlineStr"/>
    </row>
    <row r="578" ht="15" customHeight="1">
      <c r="A578" t="inlineStr">
        <is>
          <t>A 29027-2024</t>
        </is>
      </c>
      <c r="B578" s="1" t="n">
        <v>45481</v>
      </c>
      <c r="C578" s="1" t="n">
        <v>45742</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28986-2024</t>
        </is>
      </c>
      <c r="B579" s="1" t="n">
        <v>45481</v>
      </c>
      <c r="C579" s="1" t="n">
        <v>45742</v>
      </c>
      <c r="D579" t="inlineStr">
        <is>
          <t>ÖREBRO LÄN</t>
        </is>
      </c>
      <c r="E579" t="inlineStr">
        <is>
          <t>HÄLLEFORS</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29340-2024</t>
        </is>
      </c>
      <c r="B580" s="1" t="n">
        <v>45483</v>
      </c>
      <c r="C580" s="1" t="n">
        <v>45742</v>
      </c>
      <c r="D580" t="inlineStr">
        <is>
          <t>ÖREBRO LÄN</t>
        </is>
      </c>
      <c r="E580" t="inlineStr">
        <is>
          <t>HÄLLEFORS</t>
        </is>
      </c>
      <c r="G580" t="n">
        <v>1.7</v>
      </c>
      <c r="H580" t="n">
        <v>0</v>
      </c>
      <c r="I580" t="n">
        <v>0</v>
      </c>
      <c r="J580" t="n">
        <v>0</v>
      </c>
      <c r="K580" t="n">
        <v>0</v>
      </c>
      <c r="L580" t="n">
        <v>0</v>
      </c>
      <c r="M580" t="n">
        <v>0</v>
      </c>
      <c r="N580" t="n">
        <v>0</v>
      </c>
      <c r="O580" t="n">
        <v>0</v>
      </c>
      <c r="P580" t="n">
        <v>0</v>
      </c>
      <c r="Q580" t="n">
        <v>0</v>
      </c>
      <c r="R580" s="2" t="inlineStr"/>
    </row>
    <row r="581" ht="15" customHeight="1">
      <c r="A581" t="inlineStr">
        <is>
          <t>A 30307-2024</t>
        </is>
      </c>
      <c r="B581" s="1" t="n">
        <v>45490</v>
      </c>
      <c r="C581" s="1" t="n">
        <v>45742</v>
      </c>
      <c r="D581" t="inlineStr">
        <is>
          <t>ÖREBRO LÄN</t>
        </is>
      </c>
      <c r="E581" t="inlineStr">
        <is>
          <t>HÄLLEFORS</t>
        </is>
      </c>
      <c r="G581" t="n">
        <v>2.5</v>
      </c>
      <c r="H581" t="n">
        <v>0</v>
      </c>
      <c r="I581" t="n">
        <v>0</v>
      </c>
      <c r="J581" t="n">
        <v>0</v>
      </c>
      <c r="K581" t="n">
        <v>0</v>
      </c>
      <c r="L581" t="n">
        <v>0</v>
      </c>
      <c r="M581" t="n">
        <v>0</v>
      </c>
      <c r="N581" t="n">
        <v>0</v>
      </c>
      <c r="O581" t="n">
        <v>0</v>
      </c>
      <c r="P581" t="n">
        <v>0</v>
      </c>
      <c r="Q581" t="n">
        <v>0</v>
      </c>
      <c r="R581" s="2" t="inlineStr"/>
    </row>
    <row r="582" ht="15" customHeight="1">
      <c r="A582" t="inlineStr">
        <is>
          <t>A 30591-2024</t>
        </is>
      </c>
      <c r="B582" s="1" t="n">
        <v>45493</v>
      </c>
      <c r="C582" s="1" t="n">
        <v>45742</v>
      </c>
      <c r="D582" t="inlineStr">
        <is>
          <t>ÖREBRO LÄN</t>
        </is>
      </c>
      <c r="E582" t="inlineStr">
        <is>
          <t>HÄLLEFORS</t>
        </is>
      </c>
      <c r="G582" t="n">
        <v>12.5</v>
      </c>
      <c r="H582" t="n">
        <v>0</v>
      </c>
      <c r="I582" t="n">
        <v>0</v>
      </c>
      <c r="J582" t="n">
        <v>0</v>
      </c>
      <c r="K582" t="n">
        <v>0</v>
      </c>
      <c r="L582" t="n">
        <v>0</v>
      </c>
      <c r="M582" t="n">
        <v>0</v>
      </c>
      <c r="N582" t="n">
        <v>0</v>
      </c>
      <c r="O582" t="n">
        <v>0</v>
      </c>
      <c r="P582" t="n">
        <v>0</v>
      </c>
      <c r="Q582" t="n">
        <v>0</v>
      </c>
      <c r="R582" s="2" t="inlineStr"/>
    </row>
    <row r="583" ht="15" customHeight="1">
      <c r="A583" t="inlineStr">
        <is>
          <t>A 30592-2024</t>
        </is>
      </c>
      <c r="B583" s="1" t="n">
        <v>45493</v>
      </c>
      <c r="C583" s="1" t="n">
        <v>45742</v>
      </c>
      <c r="D583" t="inlineStr">
        <is>
          <t>ÖREBRO LÄN</t>
        </is>
      </c>
      <c r="E583" t="inlineStr">
        <is>
          <t>HÄLLEFORS</t>
        </is>
      </c>
      <c r="G583" t="n">
        <v>7.1</v>
      </c>
      <c r="H583" t="n">
        <v>0</v>
      </c>
      <c r="I583" t="n">
        <v>0</v>
      </c>
      <c r="J583" t="n">
        <v>0</v>
      </c>
      <c r="K583" t="n">
        <v>0</v>
      </c>
      <c r="L583" t="n">
        <v>0</v>
      </c>
      <c r="M583" t="n">
        <v>0</v>
      </c>
      <c r="N583" t="n">
        <v>0</v>
      </c>
      <c r="O583" t="n">
        <v>0</v>
      </c>
      <c r="P583" t="n">
        <v>0</v>
      </c>
      <c r="Q583" t="n">
        <v>0</v>
      </c>
      <c r="R583" s="2" t="inlineStr"/>
    </row>
    <row r="584" ht="15" customHeight="1">
      <c r="A584" t="inlineStr">
        <is>
          <t>A 30994-2024</t>
        </is>
      </c>
      <c r="B584" s="1" t="n">
        <v>45499</v>
      </c>
      <c r="C584" s="1" t="n">
        <v>45742</v>
      </c>
      <c r="D584" t="inlineStr">
        <is>
          <t>ÖREBRO LÄN</t>
        </is>
      </c>
      <c r="E584" t="inlineStr">
        <is>
          <t>HÄLLEFORS</t>
        </is>
      </c>
      <c r="G584" t="n">
        <v>4</v>
      </c>
      <c r="H584" t="n">
        <v>0</v>
      </c>
      <c r="I584" t="n">
        <v>0</v>
      </c>
      <c r="J584" t="n">
        <v>0</v>
      </c>
      <c r="K584" t="n">
        <v>0</v>
      </c>
      <c r="L584" t="n">
        <v>0</v>
      </c>
      <c r="M584" t="n">
        <v>0</v>
      </c>
      <c r="N584" t="n">
        <v>0</v>
      </c>
      <c r="O584" t="n">
        <v>0</v>
      </c>
      <c r="P584" t="n">
        <v>0</v>
      </c>
      <c r="Q584" t="n">
        <v>0</v>
      </c>
      <c r="R584" s="2" t="inlineStr"/>
    </row>
    <row r="585" ht="15" customHeight="1">
      <c r="A585" t="inlineStr">
        <is>
          <t>A 32266-2024</t>
        </is>
      </c>
      <c r="B585" s="1" t="n">
        <v>45512</v>
      </c>
      <c r="C585" s="1" t="n">
        <v>45742</v>
      </c>
      <c r="D585" t="inlineStr">
        <is>
          <t>ÖREBRO LÄN</t>
        </is>
      </c>
      <c r="E585" t="inlineStr">
        <is>
          <t>HÄLLEFORS</t>
        </is>
      </c>
      <c r="F585" t="inlineStr">
        <is>
          <t>Bergvik skog väst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33066-2024</t>
        </is>
      </c>
      <c r="B586" s="1" t="n">
        <v>45517</v>
      </c>
      <c r="C586" s="1" t="n">
        <v>45742</v>
      </c>
      <c r="D586" t="inlineStr">
        <is>
          <t>ÖREBRO LÄN</t>
        </is>
      </c>
      <c r="E586" t="inlineStr">
        <is>
          <t>HÄLLEFORS</t>
        </is>
      </c>
      <c r="F586" t="inlineStr">
        <is>
          <t>Bergvik skog väst AB</t>
        </is>
      </c>
      <c r="G586" t="n">
        <v>4.2</v>
      </c>
      <c r="H586" t="n">
        <v>0</v>
      </c>
      <c r="I586" t="n">
        <v>0</v>
      </c>
      <c r="J586" t="n">
        <v>0</v>
      </c>
      <c r="K586" t="n">
        <v>0</v>
      </c>
      <c r="L586" t="n">
        <v>0</v>
      </c>
      <c r="M586" t="n">
        <v>0</v>
      </c>
      <c r="N586" t="n">
        <v>0</v>
      </c>
      <c r="O586" t="n">
        <v>0</v>
      </c>
      <c r="P586" t="n">
        <v>0</v>
      </c>
      <c r="Q586" t="n">
        <v>0</v>
      </c>
      <c r="R586" s="2" t="inlineStr"/>
    </row>
    <row r="587" ht="15" customHeight="1">
      <c r="A587" t="inlineStr">
        <is>
          <t>A 32938-2024</t>
        </is>
      </c>
      <c r="B587" s="1" t="n">
        <v>45517</v>
      </c>
      <c r="C587" s="1" t="n">
        <v>45742</v>
      </c>
      <c r="D587" t="inlineStr">
        <is>
          <t>ÖREBRO LÄN</t>
        </is>
      </c>
      <c r="E587" t="inlineStr">
        <is>
          <t>HÄLLEFORS</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32937-2024</t>
        </is>
      </c>
      <c r="B588" s="1" t="n">
        <v>45517</v>
      </c>
      <c r="C588" s="1" t="n">
        <v>45742</v>
      </c>
      <c r="D588" t="inlineStr">
        <is>
          <t>ÖREBRO LÄN</t>
        </is>
      </c>
      <c r="E588" t="inlineStr">
        <is>
          <t>HÄLLEFORS</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32935-2024</t>
        </is>
      </c>
      <c r="B589" s="1" t="n">
        <v>45517</v>
      </c>
      <c r="C589" s="1" t="n">
        <v>45742</v>
      </c>
      <c r="D589" t="inlineStr">
        <is>
          <t>ÖREBRO LÄN</t>
        </is>
      </c>
      <c r="E589" t="inlineStr">
        <is>
          <t>HÄLLEFORS</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33646-2024</t>
        </is>
      </c>
      <c r="B590" s="1" t="n">
        <v>45520</v>
      </c>
      <c r="C590" s="1" t="n">
        <v>45742</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33944-2024</t>
        </is>
      </c>
      <c r="B591" s="1" t="n">
        <v>45523</v>
      </c>
      <c r="C591" s="1" t="n">
        <v>45742</v>
      </c>
      <c r="D591" t="inlineStr">
        <is>
          <t>ÖREBRO LÄN</t>
        </is>
      </c>
      <c r="E591" t="inlineStr">
        <is>
          <t>HÄLLEFORS</t>
        </is>
      </c>
      <c r="G591" t="n">
        <v>5.9</v>
      </c>
      <c r="H591" t="n">
        <v>0</v>
      </c>
      <c r="I591" t="n">
        <v>0</v>
      </c>
      <c r="J591" t="n">
        <v>0</v>
      </c>
      <c r="K591" t="n">
        <v>0</v>
      </c>
      <c r="L591" t="n">
        <v>0</v>
      </c>
      <c r="M591" t="n">
        <v>0</v>
      </c>
      <c r="N591" t="n">
        <v>0</v>
      </c>
      <c r="O591" t="n">
        <v>0</v>
      </c>
      <c r="P591" t="n">
        <v>0</v>
      </c>
      <c r="Q591" t="n">
        <v>0</v>
      </c>
      <c r="R591" s="2" t="inlineStr"/>
    </row>
    <row r="592" ht="15" customHeight="1">
      <c r="A592" t="inlineStr">
        <is>
          <t>A 35861-2024</t>
        </is>
      </c>
      <c r="B592" s="1" t="n">
        <v>45533</v>
      </c>
      <c r="C592" s="1" t="n">
        <v>45742</v>
      </c>
      <c r="D592" t="inlineStr">
        <is>
          <t>ÖREBRO LÄN</t>
        </is>
      </c>
      <c r="E592" t="inlineStr">
        <is>
          <t>HÄLLEFORS</t>
        </is>
      </c>
      <c r="F592" t="inlineStr">
        <is>
          <t>Bergvik skog väst AB</t>
        </is>
      </c>
      <c r="G592" t="n">
        <v>25.9</v>
      </c>
      <c r="H592" t="n">
        <v>0</v>
      </c>
      <c r="I592" t="n">
        <v>0</v>
      </c>
      <c r="J592" t="n">
        <v>0</v>
      </c>
      <c r="K592" t="n">
        <v>0</v>
      </c>
      <c r="L592" t="n">
        <v>0</v>
      </c>
      <c r="M592" t="n">
        <v>0</v>
      </c>
      <c r="N592" t="n">
        <v>0</v>
      </c>
      <c r="O592" t="n">
        <v>0</v>
      </c>
      <c r="P592" t="n">
        <v>0</v>
      </c>
      <c r="Q592" t="n">
        <v>0</v>
      </c>
      <c r="R592" s="2" t="inlineStr"/>
    </row>
    <row r="593" ht="15" customHeight="1">
      <c r="A593" t="inlineStr">
        <is>
          <t>A 35860-2024</t>
        </is>
      </c>
      <c r="B593" s="1" t="n">
        <v>45533</v>
      </c>
      <c r="C593" s="1" t="n">
        <v>45742</v>
      </c>
      <c r="D593" t="inlineStr">
        <is>
          <t>ÖREBRO LÄN</t>
        </is>
      </c>
      <c r="E593" t="inlineStr">
        <is>
          <t>HÄLLEFORS</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35864-2024</t>
        </is>
      </c>
      <c r="B594" s="1" t="n">
        <v>45533</v>
      </c>
      <c r="C594" s="1" t="n">
        <v>45742</v>
      </c>
      <c r="D594" t="inlineStr">
        <is>
          <t>ÖREBRO LÄN</t>
        </is>
      </c>
      <c r="E594" t="inlineStr">
        <is>
          <t>HÄLLEFORS</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35862-2024</t>
        </is>
      </c>
      <c r="B595" s="1" t="n">
        <v>45533</v>
      </c>
      <c r="C595" s="1" t="n">
        <v>45742</v>
      </c>
      <c r="D595" t="inlineStr">
        <is>
          <t>ÖREBRO LÄN</t>
        </is>
      </c>
      <c r="E595" t="inlineStr">
        <is>
          <t>HÄLLEFORS</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36090-2024</t>
        </is>
      </c>
      <c r="B596" s="1" t="n">
        <v>45533</v>
      </c>
      <c r="C596" s="1" t="n">
        <v>45742</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36149-2024</t>
        </is>
      </c>
      <c r="B597" s="1" t="n">
        <v>45534</v>
      </c>
      <c r="C597" s="1" t="n">
        <v>45742</v>
      </c>
      <c r="D597" t="inlineStr">
        <is>
          <t>ÖREBRO LÄN</t>
        </is>
      </c>
      <c r="E597" t="inlineStr">
        <is>
          <t>HÄLLEFORS</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36159-2024</t>
        </is>
      </c>
      <c r="B598" s="1" t="n">
        <v>45534</v>
      </c>
      <c r="C598" s="1" t="n">
        <v>45742</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36114-2024</t>
        </is>
      </c>
      <c r="B599" s="1" t="n">
        <v>45534</v>
      </c>
      <c r="C599" s="1" t="n">
        <v>45742</v>
      </c>
      <c r="D599" t="inlineStr">
        <is>
          <t>ÖREBRO LÄN</t>
        </is>
      </c>
      <c r="E599" t="inlineStr">
        <is>
          <t>HÄLLEFORS</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36152-2024</t>
        </is>
      </c>
      <c r="B600" s="1" t="n">
        <v>45534</v>
      </c>
      <c r="C600" s="1" t="n">
        <v>45742</v>
      </c>
      <c r="D600" t="inlineStr">
        <is>
          <t>ÖREBRO LÄN</t>
        </is>
      </c>
      <c r="E600" t="inlineStr">
        <is>
          <t>HÄLLEFORS</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36276-2024</t>
        </is>
      </c>
      <c r="B601" s="1" t="n">
        <v>45534</v>
      </c>
      <c r="C601" s="1" t="n">
        <v>45742</v>
      </c>
      <c r="D601" t="inlineStr">
        <is>
          <t>ÖREBRO LÄN</t>
        </is>
      </c>
      <c r="E601" t="inlineStr">
        <is>
          <t>HÄLLEFORS</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36637-2024</t>
        </is>
      </c>
      <c r="B602" s="1" t="n">
        <v>45537</v>
      </c>
      <c r="C602" s="1" t="n">
        <v>45742</v>
      </c>
      <c r="D602" t="inlineStr">
        <is>
          <t>ÖREBRO LÄN</t>
        </is>
      </c>
      <c r="E602" t="inlineStr">
        <is>
          <t>HÄLLEFORS</t>
        </is>
      </c>
      <c r="G602" t="n">
        <v>3.6</v>
      </c>
      <c r="H602" t="n">
        <v>0</v>
      </c>
      <c r="I602" t="n">
        <v>0</v>
      </c>
      <c r="J602" t="n">
        <v>0</v>
      </c>
      <c r="K602" t="n">
        <v>0</v>
      </c>
      <c r="L602" t="n">
        <v>0</v>
      </c>
      <c r="M602" t="n">
        <v>0</v>
      </c>
      <c r="N602" t="n">
        <v>0</v>
      </c>
      <c r="O602" t="n">
        <v>0</v>
      </c>
      <c r="P602" t="n">
        <v>0</v>
      </c>
      <c r="Q602" t="n">
        <v>0</v>
      </c>
      <c r="R602" s="2" t="inlineStr"/>
    </row>
    <row r="603" ht="15" customHeight="1">
      <c r="A603" t="inlineStr">
        <is>
          <t>A 37542-2024</t>
        </is>
      </c>
      <c r="B603" s="1" t="n">
        <v>45541</v>
      </c>
      <c r="C603" s="1" t="n">
        <v>45742</v>
      </c>
      <c r="D603" t="inlineStr">
        <is>
          <t>ÖREBRO LÄN</t>
        </is>
      </c>
      <c r="E603" t="inlineStr">
        <is>
          <t>HÄLLEFORS</t>
        </is>
      </c>
      <c r="G603" t="n">
        <v>1.6</v>
      </c>
      <c r="H603" t="n">
        <v>0</v>
      </c>
      <c r="I603" t="n">
        <v>0</v>
      </c>
      <c r="J603" t="n">
        <v>0</v>
      </c>
      <c r="K603" t="n">
        <v>0</v>
      </c>
      <c r="L603" t="n">
        <v>0</v>
      </c>
      <c r="M603" t="n">
        <v>0</v>
      </c>
      <c r="N603" t="n">
        <v>0</v>
      </c>
      <c r="O603" t="n">
        <v>0</v>
      </c>
      <c r="P603" t="n">
        <v>0</v>
      </c>
      <c r="Q603" t="n">
        <v>0</v>
      </c>
      <c r="R603" s="2" t="inlineStr"/>
    </row>
    <row r="604" ht="15" customHeight="1">
      <c r="A604" t="inlineStr">
        <is>
          <t>A 38010-2024</t>
        </is>
      </c>
      <c r="B604" s="1" t="n">
        <v>45544</v>
      </c>
      <c r="C604" s="1" t="n">
        <v>45742</v>
      </c>
      <c r="D604" t="inlineStr">
        <is>
          <t>ÖREBRO LÄN</t>
        </is>
      </c>
      <c r="E604" t="inlineStr">
        <is>
          <t>HÄLLEFORS</t>
        </is>
      </c>
      <c r="G604" t="n">
        <v>22.7</v>
      </c>
      <c r="H604" t="n">
        <v>0</v>
      </c>
      <c r="I604" t="n">
        <v>0</v>
      </c>
      <c r="J604" t="n">
        <v>0</v>
      </c>
      <c r="K604" t="n">
        <v>0</v>
      </c>
      <c r="L604" t="n">
        <v>0</v>
      </c>
      <c r="M604" t="n">
        <v>0</v>
      </c>
      <c r="N604" t="n">
        <v>0</v>
      </c>
      <c r="O604" t="n">
        <v>0</v>
      </c>
      <c r="P604" t="n">
        <v>0</v>
      </c>
      <c r="Q604" t="n">
        <v>0</v>
      </c>
      <c r="R604" s="2" t="inlineStr"/>
    </row>
    <row r="605" ht="15" customHeight="1">
      <c r="A605" t="inlineStr">
        <is>
          <t>A 38713-2024</t>
        </is>
      </c>
      <c r="B605" s="1" t="n">
        <v>45547</v>
      </c>
      <c r="C605" s="1" t="n">
        <v>45742</v>
      </c>
      <c r="D605" t="inlineStr">
        <is>
          <t>ÖREBRO LÄN</t>
        </is>
      </c>
      <c r="E605" t="inlineStr">
        <is>
          <t>HÄLLEFORS</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38916-2024</t>
        </is>
      </c>
      <c r="B606" s="1" t="n">
        <v>45547</v>
      </c>
      <c r="C606" s="1" t="n">
        <v>45742</v>
      </c>
      <c r="D606" t="inlineStr">
        <is>
          <t>ÖREBRO LÄN</t>
        </is>
      </c>
      <c r="E606" t="inlineStr">
        <is>
          <t>HÄLLEFORS</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39171-2024</t>
        </is>
      </c>
      <c r="B607" s="1" t="n">
        <v>45548</v>
      </c>
      <c r="C607" s="1" t="n">
        <v>45742</v>
      </c>
      <c r="D607" t="inlineStr">
        <is>
          <t>ÖREBRO LÄN</t>
        </is>
      </c>
      <c r="E607" t="inlineStr">
        <is>
          <t>HÄLLEFORS</t>
        </is>
      </c>
      <c r="G607" t="n">
        <v>3.8</v>
      </c>
      <c r="H607" t="n">
        <v>0</v>
      </c>
      <c r="I607" t="n">
        <v>0</v>
      </c>
      <c r="J607" t="n">
        <v>0</v>
      </c>
      <c r="K607" t="n">
        <v>0</v>
      </c>
      <c r="L607" t="n">
        <v>0</v>
      </c>
      <c r="M607" t="n">
        <v>0</v>
      </c>
      <c r="N607" t="n">
        <v>0</v>
      </c>
      <c r="O607" t="n">
        <v>0</v>
      </c>
      <c r="P607" t="n">
        <v>0</v>
      </c>
      <c r="Q607" t="n">
        <v>0</v>
      </c>
      <c r="R607" s="2" t="inlineStr"/>
    </row>
    <row r="608" ht="15" customHeight="1">
      <c r="A608" t="inlineStr">
        <is>
          <t>A 39513-2024</t>
        </is>
      </c>
      <c r="B608" s="1" t="n">
        <v>45551</v>
      </c>
      <c r="C608" s="1" t="n">
        <v>45742</v>
      </c>
      <c r="D608" t="inlineStr">
        <is>
          <t>ÖREBRO LÄN</t>
        </is>
      </c>
      <c r="E608" t="inlineStr">
        <is>
          <t>HÄLLEFORS</t>
        </is>
      </c>
      <c r="G608" t="n">
        <v>0.7</v>
      </c>
      <c r="H608" t="n">
        <v>0</v>
      </c>
      <c r="I608" t="n">
        <v>0</v>
      </c>
      <c r="J608" t="n">
        <v>0</v>
      </c>
      <c r="K608" t="n">
        <v>0</v>
      </c>
      <c r="L608" t="n">
        <v>0</v>
      </c>
      <c r="M608" t="n">
        <v>0</v>
      </c>
      <c r="N608" t="n">
        <v>0</v>
      </c>
      <c r="O608" t="n">
        <v>0</v>
      </c>
      <c r="P608" t="n">
        <v>0</v>
      </c>
      <c r="Q608" t="n">
        <v>0</v>
      </c>
      <c r="R608" s="2" t="inlineStr"/>
    </row>
    <row r="609" ht="15" customHeight="1">
      <c r="A609" t="inlineStr">
        <is>
          <t>A 42920-2024</t>
        </is>
      </c>
      <c r="B609" s="1" t="n">
        <v>45567</v>
      </c>
      <c r="C609" s="1" t="n">
        <v>45742</v>
      </c>
      <c r="D609" t="inlineStr">
        <is>
          <t>ÖREBRO LÄN</t>
        </is>
      </c>
      <c r="E609" t="inlineStr">
        <is>
          <t>HÄLLEFORS</t>
        </is>
      </c>
      <c r="F609" t="inlineStr">
        <is>
          <t>Bergvik skog väst AB</t>
        </is>
      </c>
      <c r="G609" t="n">
        <v>5.5</v>
      </c>
      <c r="H609" t="n">
        <v>0</v>
      </c>
      <c r="I609" t="n">
        <v>0</v>
      </c>
      <c r="J609" t="n">
        <v>0</v>
      </c>
      <c r="K609" t="n">
        <v>0</v>
      </c>
      <c r="L609" t="n">
        <v>0</v>
      </c>
      <c r="M609" t="n">
        <v>0</v>
      </c>
      <c r="N609" t="n">
        <v>0</v>
      </c>
      <c r="O609" t="n">
        <v>0</v>
      </c>
      <c r="P609" t="n">
        <v>0</v>
      </c>
      <c r="Q609" t="n">
        <v>0</v>
      </c>
      <c r="R609" s="2" t="inlineStr"/>
    </row>
    <row r="610" ht="15" customHeight="1">
      <c r="A610" t="inlineStr">
        <is>
          <t>A 42921-2024</t>
        </is>
      </c>
      <c r="B610" s="1" t="n">
        <v>45567</v>
      </c>
      <c r="C610" s="1" t="n">
        <v>45742</v>
      </c>
      <c r="D610" t="inlineStr">
        <is>
          <t>ÖREBRO LÄN</t>
        </is>
      </c>
      <c r="E610" t="inlineStr">
        <is>
          <t>HÄLLEFORS</t>
        </is>
      </c>
      <c r="F610" t="inlineStr">
        <is>
          <t>Bergvik skog väst AB</t>
        </is>
      </c>
      <c r="G610" t="n">
        <v>4.2</v>
      </c>
      <c r="H610" t="n">
        <v>0</v>
      </c>
      <c r="I610" t="n">
        <v>0</v>
      </c>
      <c r="J610" t="n">
        <v>0</v>
      </c>
      <c r="K610" t="n">
        <v>0</v>
      </c>
      <c r="L610" t="n">
        <v>0</v>
      </c>
      <c r="M610" t="n">
        <v>0</v>
      </c>
      <c r="N610" t="n">
        <v>0</v>
      </c>
      <c r="O610" t="n">
        <v>0</v>
      </c>
      <c r="P610" t="n">
        <v>0</v>
      </c>
      <c r="Q610" t="n">
        <v>0</v>
      </c>
      <c r="R610" s="2" t="inlineStr"/>
    </row>
    <row r="611" ht="15" customHeight="1">
      <c r="A611" t="inlineStr">
        <is>
          <t>A 42918-2024</t>
        </is>
      </c>
      <c r="B611" s="1" t="n">
        <v>45567</v>
      </c>
      <c r="C611" s="1" t="n">
        <v>45742</v>
      </c>
      <c r="D611" t="inlineStr">
        <is>
          <t>ÖREBRO LÄN</t>
        </is>
      </c>
      <c r="E611" t="inlineStr">
        <is>
          <t>HÄLLEFORS</t>
        </is>
      </c>
      <c r="F611" t="inlineStr">
        <is>
          <t>Bergvik skog väst AB</t>
        </is>
      </c>
      <c r="G611" t="n">
        <v>3.8</v>
      </c>
      <c r="H611" t="n">
        <v>0</v>
      </c>
      <c r="I611" t="n">
        <v>0</v>
      </c>
      <c r="J611" t="n">
        <v>0</v>
      </c>
      <c r="K611" t="n">
        <v>0</v>
      </c>
      <c r="L611" t="n">
        <v>0</v>
      </c>
      <c r="M611" t="n">
        <v>0</v>
      </c>
      <c r="N611" t="n">
        <v>0</v>
      </c>
      <c r="O611" t="n">
        <v>0</v>
      </c>
      <c r="P611" t="n">
        <v>0</v>
      </c>
      <c r="Q611" t="n">
        <v>0</v>
      </c>
      <c r="R611" s="2" t="inlineStr"/>
    </row>
    <row r="612" ht="15" customHeight="1">
      <c r="A612" t="inlineStr">
        <is>
          <t>A 43096-2024</t>
        </is>
      </c>
      <c r="B612" s="1" t="n">
        <v>45567</v>
      </c>
      <c r="C612" s="1" t="n">
        <v>45742</v>
      </c>
      <c r="D612" t="inlineStr">
        <is>
          <t>ÖREBRO LÄN</t>
        </is>
      </c>
      <c r="E612" t="inlineStr">
        <is>
          <t>HÄLLEFORS</t>
        </is>
      </c>
      <c r="G612" t="n">
        <v>5.4</v>
      </c>
      <c r="H612" t="n">
        <v>0</v>
      </c>
      <c r="I612" t="n">
        <v>0</v>
      </c>
      <c r="J612" t="n">
        <v>0</v>
      </c>
      <c r="K612" t="n">
        <v>0</v>
      </c>
      <c r="L612" t="n">
        <v>0</v>
      </c>
      <c r="M612" t="n">
        <v>0</v>
      </c>
      <c r="N612" t="n">
        <v>0</v>
      </c>
      <c r="O612" t="n">
        <v>0</v>
      </c>
      <c r="P612" t="n">
        <v>0</v>
      </c>
      <c r="Q612" t="n">
        <v>0</v>
      </c>
      <c r="R612" s="2" t="inlineStr"/>
    </row>
    <row r="613" ht="15" customHeight="1">
      <c r="A613" t="inlineStr">
        <is>
          <t>A 43876-2024</t>
        </is>
      </c>
      <c r="B613" s="1" t="n">
        <v>45572</v>
      </c>
      <c r="C613" s="1" t="n">
        <v>45742</v>
      </c>
      <c r="D613" t="inlineStr">
        <is>
          <t>ÖREBRO LÄN</t>
        </is>
      </c>
      <c r="E613" t="inlineStr">
        <is>
          <t>HÄLLEFORS</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43966-2024</t>
        </is>
      </c>
      <c r="B614" s="1" t="n">
        <v>45572</v>
      </c>
      <c r="C614" s="1" t="n">
        <v>45742</v>
      </c>
      <c r="D614" t="inlineStr">
        <is>
          <t>ÖREBRO LÄN</t>
        </is>
      </c>
      <c r="E614" t="inlineStr">
        <is>
          <t>HÄLLEFORS</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44007-2024</t>
        </is>
      </c>
      <c r="B615" s="1" t="n">
        <v>45572</v>
      </c>
      <c r="C615" s="1" t="n">
        <v>45742</v>
      </c>
      <c r="D615" t="inlineStr">
        <is>
          <t>ÖREBRO LÄN</t>
        </is>
      </c>
      <c r="E615" t="inlineStr">
        <is>
          <t>HÄLLEFORS</t>
        </is>
      </c>
      <c r="G615" t="n">
        <v>7.3</v>
      </c>
      <c r="H615" t="n">
        <v>0</v>
      </c>
      <c r="I615" t="n">
        <v>0</v>
      </c>
      <c r="J615" t="n">
        <v>0</v>
      </c>
      <c r="K615" t="n">
        <v>0</v>
      </c>
      <c r="L615" t="n">
        <v>0</v>
      </c>
      <c r="M615" t="n">
        <v>0</v>
      </c>
      <c r="N615" t="n">
        <v>0</v>
      </c>
      <c r="O615" t="n">
        <v>0</v>
      </c>
      <c r="P615" t="n">
        <v>0</v>
      </c>
      <c r="Q615" t="n">
        <v>0</v>
      </c>
      <c r="R615" s="2" t="inlineStr"/>
    </row>
    <row r="616" ht="15" customHeight="1">
      <c r="A616" t="inlineStr">
        <is>
          <t>A 44015-2024</t>
        </is>
      </c>
      <c r="B616" s="1" t="n">
        <v>45572</v>
      </c>
      <c r="C616" s="1" t="n">
        <v>45742</v>
      </c>
      <c r="D616" t="inlineStr">
        <is>
          <t>ÖREBRO LÄN</t>
        </is>
      </c>
      <c r="E616" t="inlineStr">
        <is>
          <t>HÄLLEFORS</t>
        </is>
      </c>
      <c r="G616" t="n">
        <v>1.6</v>
      </c>
      <c r="H616" t="n">
        <v>0</v>
      </c>
      <c r="I616" t="n">
        <v>0</v>
      </c>
      <c r="J616" t="n">
        <v>0</v>
      </c>
      <c r="K616" t="n">
        <v>0</v>
      </c>
      <c r="L616" t="n">
        <v>0</v>
      </c>
      <c r="M616" t="n">
        <v>0</v>
      </c>
      <c r="N616" t="n">
        <v>0</v>
      </c>
      <c r="O616" t="n">
        <v>0</v>
      </c>
      <c r="P616" t="n">
        <v>0</v>
      </c>
      <c r="Q616" t="n">
        <v>0</v>
      </c>
      <c r="R616" s="2" t="inlineStr"/>
    </row>
    <row r="617" ht="15" customHeight="1">
      <c r="A617" t="inlineStr">
        <is>
          <t>A 44052-2024</t>
        </is>
      </c>
      <c r="B617" s="1" t="n">
        <v>45572</v>
      </c>
      <c r="C617" s="1" t="n">
        <v>45742</v>
      </c>
      <c r="D617" t="inlineStr">
        <is>
          <t>ÖREBRO LÄN</t>
        </is>
      </c>
      <c r="E617" t="inlineStr">
        <is>
          <t>HÄLLEFORS</t>
        </is>
      </c>
      <c r="G617" t="n">
        <v>2.2</v>
      </c>
      <c r="H617" t="n">
        <v>0</v>
      </c>
      <c r="I617" t="n">
        <v>0</v>
      </c>
      <c r="J617" t="n">
        <v>0</v>
      </c>
      <c r="K617" t="n">
        <v>0</v>
      </c>
      <c r="L617" t="n">
        <v>0</v>
      </c>
      <c r="M617" t="n">
        <v>0</v>
      </c>
      <c r="N617" t="n">
        <v>0</v>
      </c>
      <c r="O617" t="n">
        <v>0</v>
      </c>
      <c r="P617" t="n">
        <v>0</v>
      </c>
      <c r="Q617" t="n">
        <v>0</v>
      </c>
      <c r="R617" s="2" t="inlineStr"/>
    </row>
    <row r="618" ht="15" customHeight="1">
      <c r="A618" t="inlineStr">
        <is>
          <t>A 44105-2024</t>
        </is>
      </c>
      <c r="B618" s="1" t="n">
        <v>45572</v>
      </c>
      <c r="C618" s="1" t="n">
        <v>45742</v>
      </c>
      <c r="D618" t="inlineStr">
        <is>
          <t>ÖREBRO LÄN</t>
        </is>
      </c>
      <c r="E618" t="inlineStr">
        <is>
          <t>HÄLLEFORS</t>
        </is>
      </c>
      <c r="F618" t="inlineStr">
        <is>
          <t>Bergvik skog väst AB</t>
        </is>
      </c>
      <c r="G618" t="n">
        <v>5.6</v>
      </c>
      <c r="H618" t="n">
        <v>0</v>
      </c>
      <c r="I618" t="n">
        <v>0</v>
      </c>
      <c r="J618" t="n">
        <v>0</v>
      </c>
      <c r="K618" t="n">
        <v>0</v>
      </c>
      <c r="L618" t="n">
        <v>0</v>
      </c>
      <c r="M618" t="n">
        <v>0</v>
      </c>
      <c r="N618" t="n">
        <v>0</v>
      </c>
      <c r="O618" t="n">
        <v>0</v>
      </c>
      <c r="P618" t="n">
        <v>0</v>
      </c>
      <c r="Q618" t="n">
        <v>0</v>
      </c>
      <c r="R618" s="2" t="inlineStr"/>
    </row>
    <row r="619" ht="15" customHeight="1">
      <c r="A619" t="inlineStr">
        <is>
          <t>A 44129-2024</t>
        </is>
      </c>
      <c r="B619" s="1" t="n">
        <v>45572</v>
      </c>
      <c r="C619" s="1" t="n">
        <v>45742</v>
      </c>
      <c r="D619" t="inlineStr">
        <is>
          <t>ÖREBRO LÄN</t>
        </is>
      </c>
      <c r="E619" t="inlineStr">
        <is>
          <t>HÄLLEFORS</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43886-2024</t>
        </is>
      </c>
      <c r="B620" s="1" t="n">
        <v>45572</v>
      </c>
      <c r="C620" s="1" t="n">
        <v>45742</v>
      </c>
      <c r="D620" t="inlineStr">
        <is>
          <t>ÖREBRO LÄN</t>
        </is>
      </c>
      <c r="E620" t="inlineStr">
        <is>
          <t>HÄLLEFORS</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44062-2024</t>
        </is>
      </c>
      <c r="B621" s="1" t="n">
        <v>45572</v>
      </c>
      <c r="C621" s="1" t="n">
        <v>45742</v>
      </c>
      <c r="D621" t="inlineStr">
        <is>
          <t>ÖREBRO LÄN</t>
        </is>
      </c>
      <c r="E621" t="inlineStr">
        <is>
          <t>HÄLLEFORS</t>
        </is>
      </c>
      <c r="G621" t="n">
        <v>0.8</v>
      </c>
      <c r="H621" t="n">
        <v>0</v>
      </c>
      <c r="I621" t="n">
        <v>0</v>
      </c>
      <c r="J621" t="n">
        <v>0</v>
      </c>
      <c r="K621" t="n">
        <v>0</v>
      </c>
      <c r="L621" t="n">
        <v>0</v>
      </c>
      <c r="M621" t="n">
        <v>0</v>
      </c>
      <c r="N621" t="n">
        <v>0</v>
      </c>
      <c r="O621" t="n">
        <v>0</v>
      </c>
      <c r="P621" t="n">
        <v>0</v>
      </c>
      <c r="Q621" t="n">
        <v>0</v>
      </c>
      <c r="R621" s="2" t="inlineStr"/>
    </row>
    <row r="622" ht="15" customHeight="1">
      <c r="A622" t="inlineStr">
        <is>
          <t>A 44143-2024</t>
        </is>
      </c>
      <c r="B622" s="1" t="n">
        <v>45572</v>
      </c>
      <c r="C622" s="1" t="n">
        <v>45742</v>
      </c>
      <c r="D622" t="inlineStr">
        <is>
          <t>ÖREBRO LÄN</t>
        </is>
      </c>
      <c r="E622" t="inlineStr">
        <is>
          <t>HÄLLEFORS</t>
        </is>
      </c>
      <c r="F622" t="inlineStr">
        <is>
          <t>Bergvik skog väst AB</t>
        </is>
      </c>
      <c r="G622" t="n">
        <v>7.8</v>
      </c>
      <c r="H622" t="n">
        <v>0</v>
      </c>
      <c r="I622" t="n">
        <v>0</v>
      </c>
      <c r="J622" t="n">
        <v>0</v>
      </c>
      <c r="K622" t="n">
        <v>0</v>
      </c>
      <c r="L622" t="n">
        <v>0</v>
      </c>
      <c r="M622" t="n">
        <v>0</v>
      </c>
      <c r="N622" t="n">
        <v>0</v>
      </c>
      <c r="O622" t="n">
        <v>0</v>
      </c>
      <c r="P622" t="n">
        <v>0</v>
      </c>
      <c r="Q622" t="n">
        <v>0</v>
      </c>
      <c r="R622" s="2" t="inlineStr"/>
    </row>
    <row r="623" ht="15" customHeight="1">
      <c r="A623" t="inlineStr">
        <is>
          <t>A 44123-2024</t>
        </is>
      </c>
      <c r="B623" s="1" t="n">
        <v>45572</v>
      </c>
      <c r="C623" s="1" t="n">
        <v>45742</v>
      </c>
      <c r="D623" t="inlineStr">
        <is>
          <t>ÖREBRO LÄN</t>
        </is>
      </c>
      <c r="E623" t="inlineStr">
        <is>
          <t>HÄLLEFORS</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44107-2024</t>
        </is>
      </c>
      <c r="B624" s="1" t="n">
        <v>45572</v>
      </c>
      <c r="C624" s="1" t="n">
        <v>45742</v>
      </c>
      <c r="D624" t="inlineStr">
        <is>
          <t>ÖREBRO LÄN</t>
        </is>
      </c>
      <c r="E624" t="inlineStr">
        <is>
          <t>HÄLLEFORS</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44091-2024</t>
        </is>
      </c>
      <c r="B625" s="1" t="n">
        <v>45572</v>
      </c>
      <c r="C625" s="1" t="n">
        <v>45742</v>
      </c>
      <c r="D625" t="inlineStr">
        <is>
          <t>ÖREBRO LÄN</t>
        </is>
      </c>
      <c r="E625" t="inlineStr">
        <is>
          <t>HÄLLEFORS</t>
        </is>
      </c>
      <c r="G625" t="n">
        <v>1</v>
      </c>
      <c r="H625" t="n">
        <v>0</v>
      </c>
      <c r="I625" t="n">
        <v>0</v>
      </c>
      <c r="J625" t="n">
        <v>0</v>
      </c>
      <c r="K625" t="n">
        <v>0</v>
      </c>
      <c r="L625" t="n">
        <v>0</v>
      </c>
      <c r="M625" t="n">
        <v>0</v>
      </c>
      <c r="N625" t="n">
        <v>0</v>
      </c>
      <c r="O625" t="n">
        <v>0</v>
      </c>
      <c r="P625" t="n">
        <v>0</v>
      </c>
      <c r="Q625" t="n">
        <v>0</v>
      </c>
      <c r="R625" s="2" t="inlineStr"/>
    </row>
    <row r="626" ht="15" customHeight="1">
      <c r="A626" t="inlineStr">
        <is>
          <t>A 44106-2024</t>
        </is>
      </c>
      <c r="B626" s="1" t="n">
        <v>45572</v>
      </c>
      <c r="C626" s="1" t="n">
        <v>45742</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44122-2024</t>
        </is>
      </c>
      <c r="B627" s="1" t="n">
        <v>45572</v>
      </c>
      <c r="C627" s="1" t="n">
        <v>45742</v>
      </c>
      <c r="D627" t="inlineStr">
        <is>
          <t>ÖREBRO LÄN</t>
        </is>
      </c>
      <c r="E627" t="inlineStr">
        <is>
          <t>HÄLLEFORS</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44088-2024</t>
        </is>
      </c>
      <c r="B628" s="1" t="n">
        <v>45572</v>
      </c>
      <c r="C628" s="1" t="n">
        <v>45742</v>
      </c>
      <c r="D628" t="inlineStr">
        <is>
          <t>ÖREBRO LÄN</t>
        </is>
      </c>
      <c r="E628" t="inlineStr">
        <is>
          <t>HÄLLEFORS</t>
        </is>
      </c>
      <c r="G628" t="n">
        <v>4</v>
      </c>
      <c r="H628" t="n">
        <v>0</v>
      </c>
      <c r="I628" t="n">
        <v>0</v>
      </c>
      <c r="J628" t="n">
        <v>0</v>
      </c>
      <c r="K628" t="n">
        <v>0</v>
      </c>
      <c r="L628" t="n">
        <v>0</v>
      </c>
      <c r="M628" t="n">
        <v>0</v>
      </c>
      <c r="N628" t="n">
        <v>0</v>
      </c>
      <c r="O628" t="n">
        <v>0</v>
      </c>
      <c r="P628" t="n">
        <v>0</v>
      </c>
      <c r="Q628" t="n">
        <v>0</v>
      </c>
      <c r="R628" s="2" t="inlineStr"/>
    </row>
    <row r="629" ht="15" customHeight="1">
      <c r="A629" t="inlineStr">
        <is>
          <t>A 44772-2024</t>
        </is>
      </c>
      <c r="B629" s="1" t="n">
        <v>45574</v>
      </c>
      <c r="C629" s="1" t="n">
        <v>45742</v>
      </c>
      <c r="D629" t="inlineStr">
        <is>
          <t>ÖREBRO LÄN</t>
        </is>
      </c>
      <c r="E629" t="inlineStr">
        <is>
          <t>HÄLLEFORS</t>
        </is>
      </c>
      <c r="F629" t="inlineStr">
        <is>
          <t>Sveaskog</t>
        </is>
      </c>
      <c r="G629" t="n">
        <v>7.5</v>
      </c>
      <c r="H629" t="n">
        <v>0</v>
      </c>
      <c r="I629" t="n">
        <v>0</v>
      </c>
      <c r="J629" t="n">
        <v>0</v>
      </c>
      <c r="K629" t="n">
        <v>0</v>
      </c>
      <c r="L629" t="n">
        <v>0</v>
      </c>
      <c r="M629" t="n">
        <v>0</v>
      </c>
      <c r="N629" t="n">
        <v>0</v>
      </c>
      <c r="O629" t="n">
        <v>0</v>
      </c>
      <c r="P629" t="n">
        <v>0</v>
      </c>
      <c r="Q629" t="n">
        <v>0</v>
      </c>
      <c r="R629" s="2" t="inlineStr"/>
    </row>
    <row r="630" ht="15" customHeight="1">
      <c r="A630" t="inlineStr">
        <is>
          <t>A 45689-2024</t>
        </is>
      </c>
      <c r="B630" s="1" t="n">
        <v>45579</v>
      </c>
      <c r="C630" s="1" t="n">
        <v>45742</v>
      </c>
      <c r="D630" t="inlineStr">
        <is>
          <t>ÖREBRO LÄN</t>
        </is>
      </c>
      <c r="E630" t="inlineStr">
        <is>
          <t>HÄLLEFORS</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45691-2024</t>
        </is>
      </c>
      <c r="B631" s="1" t="n">
        <v>45579</v>
      </c>
      <c r="C631" s="1" t="n">
        <v>45742</v>
      </c>
      <c r="D631" t="inlineStr">
        <is>
          <t>ÖREBRO LÄN</t>
        </is>
      </c>
      <c r="E631" t="inlineStr">
        <is>
          <t>HÄLLEFORS</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46168-2024</t>
        </is>
      </c>
      <c r="B632" s="1" t="n">
        <v>45581</v>
      </c>
      <c r="C632" s="1" t="n">
        <v>45742</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46599-2024</t>
        </is>
      </c>
      <c r="B633" s="1" t="n">
        <v>45582</v>
      </c>
      <c r="C633" s="1" t="n">
        <v>45742</v>
      </c>
      <c r="D633" t="inlineStr">
        <is>
          <t>ÖREBRO LÄN</t>
        </is>
      </c>
      <c r="E633" t="inlineStr">
        <is>
          <t>HÄLLEFORS</t>
        </is>
      </c>
      <c r="F633" t="inlineStr">
        <is>
          <t>Sveaskog</t>
        </is>
      </c>
      <c r="G633" t="n">
        <v>10.1</v>
      </c>
      <c r="H633" t="n">
        <v>0</v>
      </c>
      <c r="I633" t="n">
        <v>0</v>
      </c>
      <c r="J633" t="n">
        <v>0</v>
      </c>
      <c r="K633" t="n">
        <v>0</v>
      </c>
      <c r="L633" t="n">
        <v>0</v>
      </c>
      <c r="M633" t="n">
        <v>0</v>
      </c>
      <c r="N633" t="n">
        <v>0</v>
      </c>
      <c r="O633" t="n">
        <v>0</v>
      </c>
      <c r="P633" t="n">
        <v>0</v>
      </c>
      <c r="Q633" t="n">
        <v>0</v>
      </c>
      <c r="R633" s="2" t="inlineStr"/>
    </row>
    <row r="634" ht="15" customHeight="1">
      <c r="A634" t="inlineStr">
        <is>
          <t>A 46639-2024</t>
        </is>
      </c>
      <c r="B634" s="1" t="n">
        <v>45583</v>
      </c>
      <c r="C634" s="1" t="n">
        <v>45742</v>
      </c>
      <c r="D634" t="inlineStr">
        <is>
          <t>ÖREBRO LÄN</t>
        </is>
      </c>
      <c r="E634" t="inlineStr">
        <is>
          <t>HÄLLEFORS</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46616-2024</t>
        </is>
      </c>
      <c r="B635" s="1" t="n">
        <v>45583</v>
      </c>
      <c r="C635" s="1" t="n">
        <v>45742</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46621-2024</t>
        </is>
      </c>
      <c r="B636" s="1" t="n">
        <v>45583</v>
      </c>
      <c r="C636" s="1" t="n">
        <v>45742</v>
      </c>
      <c r="D636" t="inlineStr">
        <is>
          <t>ÖREBRO LÄN</t>
        </is>
      </c>
      <c r="E636" t="inlineStr">
        <is>
          <t>HÄLLEFORS</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46642-2024</t>
        </is>
      </c>
      <c r="B637" s="1" t="n">
        <v>45583</v>
      </c>
      <c r="C637" s="1" t="n">
        <v>45742</v>
      </c>
      <c r="D637" t="inlineStr">
        <is>
          <t>ÖREBRO LÄN</t>
        </is>
      </c>
      <c r="E637" t="inlineStr">
        <is>
          <t>HÄLLEFORS</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47811-2024</t>
        </is>
      </c>
      <c r="B638" s="1" t="n">
        <v>45588</v>
      </c>
      <c r="C638" s="1" t="n">
        <v>45742</v>
      </c>
      <c r="D638" t="inlineStr">
        <is>
          <t>ÖREBRO LÄN</t>
        </is>
      </c>
      <c r="E638" t="inlineStr">
        <is>
          <t>HÄLLEFORS</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47906-2024</t>
        </is>
      </c>
      <c r="B639" s="1" t="n">
        <v>45589</v>
      </c>
      <c r="C639" s="1" t="n">
        <v>45742</v>
      </c>
      <c r="D639" t="inlineStr">
        <is>
          <t>ÖREBRO LÄN</t>
        </is>
      </c>
      <c r="E639" t="inlineStr">
        <is>
          <t>HÄLLEFORS</t>
        </is>
      </c>
      <c r="F639" t="inlineStr">
        <is>
          <t>Bergvik skog väst AB</t>
        </is>
      </c>
      <c r="G639" t="n">
        <v>2.3</v>
      </c>
      <c r="H639" t="n">
        <v>0</v>
      </c>
      <c r="I639" t="n">
        <v>0</v>
      </c>
      <c r="J639" t="n">
        <v>0</v>
      </c>
      <c r="K639" t="n">
        <v>0</v>
      </c>
      <c r="L639" t="n">
        <v>0</v>
      </c>
      <c r="M639" t="n">
        <v>0</v>
      </c>
      <c r="N639" t="n">
        <v>0</v>
      </c>
      <c r="O639" t="n">
        <v>0</v>
      </c>
      <c r="P639" t="n">
        <v>0</v>
      </c>
      <c r="Q639" t="n">
        <v>0</v>
      </c>
      <c r="R639" s="2" t="inlineStr"/>
    </row>
    <row r="640" ht="15" customHeight="1">
      <c r="A640" t="inlineStr">
        <is>
          <t>A 47907-2024</t>
        </is>
      </c>
      <c r="B640" s="1" t="n">
        <v>45589</v>
      </c>
      <c r="C640" s="1" t="n">
        <v>45742</v>
      </c>
      <c r="D640" t="inlineStr">
        <is>
          <t>ÖREBRO LÄN</t>
        </is>
      </c>
      <c r="E640" t="inlineStr">
        <is>
          <t>HÄLLEFORS</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48429-2024</t>
        </is>
      </c>
      <c r="B641" s="1" t="n">
        <v>45590</v>
      </c>
      <c r="C641" s="1" t="n">
        <v>45742</v>
      </c>
      <c r="D641" t="inlineStr">
        <is>
          <t>ÖREBRO LÄN</t>
        </is>
      </c>
      <c r="E641" t="inlineStr">
        <is>
          <t>HÄLLEFORS</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48650-2024</t>
        </is>
      </c>
      <c r="B642" s="1" t="n">
        <v>45593</v>
      </c>
      <c r="C642" s="1" t="n">
        <v>45742</v>
      </c>
      <c r="D642" t="inlineStr">
        <is>
          <t>ÖREBRO LÄN</t>
        </is>
      </c>
      <c r="E642" t="inlineStr">
        <is>
          <t>HÄLLEFORS</t>
        </is>
      </c>
      <c r="G642" t="n">
        <v>1.8</v>
      </c>
      <c r="H642" t="n">
        <v>0</v>
      </c>
      <c r="I642" t="n">
        <v>0</v>
      </c>
      <c r="J642" t="n">
        <v>0</v>
      </c>
      <c r="K642" t="n">
        <v>0</v>
      </c>
      <c r="L642" t="n">
        <v>0</v>
      </c>
      <c r="M642" t="n">
        <v>0</v>
      </c>
      <c r="N642" t="n">
        <v>0</v>
      </c>
      <c r="O642" t="n">
        <v>0</v>
      </c>
      <c r="P642" t="n">
        <v>0</v>
      </c>
      <c r="Q642" t="n">
        <v>0</v>
      </c>
      <c r="R642" s="2" t="inlineStr"/>
    </row>
    <row r="643" ht="15" customHeight="1">
      <c r="A643" t="inlineStr">
        <is>
          <t>A 50135-2024</t>
        </is>
      </c>
      <c r="B643" s="1" t="n">
        <v>45600</v>
      </c>
      <c r="C643" s="1" t="n">
        <v>45742</v>
      </c>
      <c r="D643" t="inlineStr">
        <is>
          <t>ÖREBRO LÄN</t>
        </is>
      </c>
      <c r="E643" t="inlineStr">
        <is>
          <t>HÄLLEFORS</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50166-2024</t>
        </is>
      </c>
      <c r="B644" s="1" t="n">
        <v>45600</v>
      </c>
      <c r="C644" s="1" t="n">
        <v>45742</v>
      </c>
      <c r="D644" t="inlineStr">
        <is>
          <t>ÖREBRO LÄN</t>
        </is>
      </c>
      <c r="E644" t="inlineStr">
        <is>
          <t>HÄLLEFORS</t>
        </is>
      </c>
      <c r="G644" t="n">
        <v>1.3</v>
      </c>
      <c r="H644" t="n">
        <v>0</v>
      </c>
      <c r="I644" t="n">
        <v>0</v>
      </c>
      <c r="J644" t="n">
        <v>0</v>
      </c>
      <c r="K644" t="n">
        <v>0</v>
      </c>
      <c r="L644" t="n">
        <v>0</v>
      </c>
      <c r="M644" t="n">
        <v>0</v>
      </c>
      <c r="N644" t="n">
        <v>0</v>
      </c>
      <c r="O644" t="n">
        <v>0</v>
      </c>
      <c r="P644" t="n">
        <v>0</v>
      </c>
      <c r="Q644" t="n">
        <v>0</v>
      </c>
      <c r="R644" s="2" t="inlineStr"/>
    </row>
    <row r="645" ht="15" customHeight="1">
      <c r="A645" t="inlineStr">
        <is>
          <t>A 50571-2024</t>
        </is>
      </c>
      <c r="B645" s="1" t="n">
        <v>45601</v>
      </c>
      <c r="C645" s="1" t="n">
        <v>45742</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51720-2024</t>
        </is>
      </c>
      <c r="B646" s="1" t="n">
        <v>45607</v>
      </c>
      <c r="C646" s="1" t="n">
        <v>45742</v>
      </c>
      <c r="D646" t="inlineStr">
        <is>
          <t>ÖREBRO LÄN</t>
        </is>
      </c>
      <c r="E646" t="inlineStr">
        <is>
          <t>HÄLLEFORS</t>
        </is>
      </c>
      <c r="G646" t="n">
        <v>0.8</v>
      </c>
      <c r="H646" t="n">
        <v>0</v>
      </c>
      <c r="I646" t="n">
        <v>0</v>
      </c>
      <c r="J646" t="n">
        <v>0</v>
      </c>
      <c r="K646" t="n">
        <v>0</v>
      </c>
      <c r="L646" t="n">
        <v>0</v>
      </c>
      <c r="M646" t="n">
        <v>0</v>
      </c>
      <c r="N646" t="n">
        <v>0</v>
      </c>
      <c r="O646" t="n">
        <v>0</v>
      </c>
      <c r="P646" t="n">
        <v>0</v>
      </c>
      <c r="Q646" t="n">
        <v>0</v>
      </c>
      <c r="R646" s="2" t="inlineStr"/>
    </row>
    <row r="647" ht="15" customHeight="1">
      <c r="A647" t="inlineStr">
        <is>
          <t>A 52270-2024</t>
        </is>
      </c>
      <c r="B647" s="1" t="n">
        <v>45608</v>
      </c>
      <c r="C647" s="1" t="n">
        <v>45742</v>
      </c>
      <c r="D647" t="inlineStr">
        <is>
          <t>ÖREBRO LÄN</t>
        </is>
      </c>
      <c r="E647" t="inlineStr">
        <is>
          <t>HÄLLEFORS</t>
        </is>
      </c>
      <c r="G647" t="n">
        <v>1.6</v>
      </c>
      <c r="H647" t="n">
        <v>0</v>
      </c>
      <c r="I647" t="n">
        <v>0</v>
      </c>
      <c r="J647" t="n">
        <v>0</v>
      </c>
      <c r="K647" t="n">
        <v>0</v>
      </c>
      <c r="L647" t="n">
        <v>0</v>
      </c>
      <c r="M647" t="n">
        <v>0</v>
      </c>
      <c r="N647" t="n">
        <v>0</v>
      </c>
      <c r="O647" t="n">
        <v>0</v>
      </c>
      <c r="P647" t="n">
        <v>0</v>
      </c>
      <c r="Q647" t="n">
        <v>0</v>
      </c>
      <c r="R647" s="2" t="inlineStr"/>
    </row>
    <row r="648" ht="15" customHeight="1">
      <c r="A648" t="inlineStr">
        <is>
          <t>A 52606-2024</t>
        </is>
      </c>
      <c r="B648" s="1" t="n">
        <v>45609</v>
      </c>
      <c r="C648" s="1" t="n">
        <v>45742</v>
      </c>
      <c r="D648" t="inlineStr">
        <is>
          <t>ÖREBRO LÄN</t>
        </is>
      </c>
      <c r="E648" t="inlineStr">
        <is>
          <t>HÄLLEFORS</t>
        </is>
      </c>
      <c r="G648" t="n">
        <v>4.2</v>
      </c>
      <c r="H648" t="n">
        <v>0</v>
      </c>
      <c r="I648" t="n">
        <v>0</v>
      </c>
      <c r="J648" t="n">
        <v>0</v>
      </c>
      <c r="K648" t="n">
        <v>0</v>
      </c>
      <c r="L648" t="n">
        <v>0</v>
      </c>
      <c r="M648" t="n">
        <v>0</v>
      </c>
      <c r="N648" t="n">
        <v>0</v>
      </c>
      <c r="O648" t="n">
        <v>0</v>
      </c>
      <c r="P648" t="n">
        <v>0</v>
      </c>
      <c r="Q648" t="n">
        <v>0</v>
      </c>
      <c r="R648" s="2" t="inlineStr"/>
    </row>
    <row r="649" ht="15" customHeight="1">
      <c r="A649" t="inlineStr">
        <is>
          <t>A 52642-2024</t>
        </is>
      </c>
      <c r="B649" s="1" t="n">
        <v>45610</v>
      </c>
      <c r="C649" s="1" t="n">
        <v>45742</v>
      </c>
      <c r="D649" t="inlineStr">
        <is>
          <t>ÖREBRO LÄN</t>
        </is>
      </c>
      <c r="E649" t="inlineStr">
        <is>
          <t>HÄLLEFORS</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53344-2024</t>
        </is>
      </c>
      <c r="B650" s="1" t="n">
        <v>45614</v>
      </c>
      <c r="C650" s="1" t="n">
        <v>45742</v>
      </c>
      <c r="D650" t="inlineStr">
        <is>
          <t>ÖREBRO LÄN</t>
        </is>
      </c>
      <c r="E650" t="inlineStr">
        <is>
          <t>HÄLLEFORS</t>
        </is>
      </c>
      <c r="G650" t="n">
        <v>0.9</v>
      </c>
      <c r="H650" t="n">
        <v>0</v>
      </c>
      <c r="I650" t="n">
        <v>0</v>
      </c>
      <c r="J650" t="n">
        <v>0</v>
      </c>
      <c r="K650" t="n">
        <v>0</v>
      </c>
      <c r="L650" t="n">
        <v>0</v>
      </c>
      <c r="M650" t="n">
        <v>0</v>
      </c>
      <c r="N650" t="n">
        <v>0</v>
      </c>
      <c r="O650" t="n">
        <v>0</v>
      </c>
      <c r="P650" t="n">
        <v>0</v>
      </c>
      <c r="Q650" t="n">
        <v>0</v>
      </c>
      <c r="R650" s="2" t="inlineStr"/>
    </row>
    <row r="651" ht="15" customHeight="1">
      <c r="A651" t="inlineStr">
        <is>
          <t>A 53340-2024</t>
        </is>
      </c>
      <c r="B651" s="1" t="n">
        <v>45614</v>
      </c>
      <c r="C651" s="1" t="n">
        <v>45742</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54995-2024</t>
        </is>
      </c>
      <c r="B652" s="1" t="n">
        <v>45621</v>
      </c>
      <c r="C652" s="1" t="n">
        <v>45742</v>
      </c>
      <c r="D652" t="inlineStr">
        <is>
          <t>ÖREBRO LÄN</t>
        </is>
      </c>
      <c r="E652" t="inlineStr">
        <is>
          <t>HÄLLEFORS</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55099-2024</t>
        </is>
      </c>
      <c r="B653" s="1" t="n">
        <v>45621</v>
      </c>
      <c r="C653" s="1" t="n">
        <v>45742</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55745-2024</t>
        </is>
      </c>
      <c r="B654" s="1" t="n">
        <v>45623</v>
      </c>
      <c r="C654" s="1" t="n">
        <v>45742</v>
      </c>
      <c r="D654" t="inlineStr">
        <is>
          <t>ÖREBRO LÄN</t>
        </is>
      </c>
      <c r="E654" t="inlineStr">
        <is>
          <t>HÄLLEFORS</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55747-2024</t>
        </is>
      </c>
      <c r="B655" s="1" t="n">
        <v>45623</v>
      </c>
      <c r="C655" s="1" t="n">
        <v>45742</v>
      </c>
      <c r="D655" t="inlineStr">
        <is>
          <t>ÖREBRO LÄN</t>
        </is>
      </c>
      <c r="E655" t="inlineStr">
        <is>
          <t>HÄLLEFORS</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56236-2024</t>
        </is>
      </c>
      <c r="B656" s="1" t="n">
        <v>45624</v>
      </c>
      <c r="C656" s="1" t="n">
        <v>45742</v>
      </c>
      <c r="D656" t="inlineStr">
        <is>
          <t>ÖREBRO LÄN</t>
        </is>
      </c>
      <c r="E656" t="inlineStr">
        <is>
          <t>HÄLLEFORS</t>
        </is>
      </c>
      <c r="F656" t="inlineStr">
        <is>
          <t>Bergvik skog väst AB</t>
        </is>
      </c>
      <c r="G656" t="n">
        <v>15.4</v>
      </c>
      <c r="H656" t="n">
        <v>0</v>
      </c>
      <c r="I656" t="n">
        <v>0</v>
      </c>
      <c r="J656" t="n">
        <v>0</v>
      </c>
      <c r="K656" t="n">
        <v>0</v>
      </c>
      <c r="L656" t="n">
        <v>0</v>
      </c>
      <c r="M656" t="n">
        <v>0</v>
      </c>
      <c r="N656" t="n">
        <v>0</v>
      </c>
      <c r="O656" t="n">
        <v>0</v>
      </c>
      <c r="P656" t="n">
        <v>0</v>
      </c>
      <c r="Q656" t="n">
        <v>0</v>
      </c>
      <c r="R656" s="2" t="inlineStr"/>
    </row>
    <row r="657" ht="15" customHeight="1">
      <c r="A657" t="inlineStr">
        <is>
          <t>A 56184-2024</t>
        </is>
      </c>
      <c r="B657" s="1" t="n">
        <v>45624</v>
      </c>
      <c r="C657" s="1" t="n">
        <v>45742</v>
      </c>
      <c r="D657" t="inlineStr">
        <is>
          <t>ÖREBRO LÄN</t>
        </is>
      </c>
      <c r="E657" t="inlineStr">
        <is>
          <t>HÄLLEFORS</t>
        </is>
      </c>
      <c r="F657" t="inlineStr">
        <is>
          <t>Bergvik skog väst AB</t>
        </is>
      </c>
      <c r="G657" t="n">
        <v>12.6</v>
      </c>
      <c r="H657" t="n">
        <v>0</v>
      </c>
      <c r="I657" t="n">
        <v>0</v>
      </c>
      <c r="J657" t="n">
        <v>0</v>
      </c>
      <c r="K657" t="n">
        <v>0</v>
      </c>
      <c r="L657" t="n">
        <v>0</v>
      </c>
      <c r="M657" t="n">
        <v>0</v>
      </c>
      <c r="N657" t="n">
        <v>0</v>
      </c>
      <c r="O657" t="n">
        <v>0</v>
      </c>
      <c r="P657" t="n">
        <v>0</v>
      </c>
      <c r="Q657" t="n">
        <v>0</v>
      </c>
      <c r="R657" s="2" t="inlineStr"/>
    </row>
    <row r="658" ht="15" customHeight="1">
      <c r="A658" t="inlineStr">
        <is>
          <t>A 56193-2024</t>
        </is>
      </c>
      <c r="B658" s="1" t="n">
        <v>45624</v>
      </c>
      <c r="C658" s="1" t="n">
        <v>45742</v>
      </c>
      <c r="D658" t="inlineStr">
        <is>
          <t>ÖREBRO LÄN</t>
        </is>
      </c>
      <c r="E658" t="inlineStr">
        <is>
          <t>HÄLLEFORS</t>
        </is>
      </c>
      <c r="F658" t="inlineStr">
        <is>
          <t>Bergvik skog väst AB</t>
        </is>
      </c>
      <c r="G658" t="n">
        <v>10.8</v>
      </c>
      <c r="H658" t="n">
        <v>0</v>
      </c>
      <c r="I658" t="n">
        <v>0</v>
      </c>
      <c r="J658" t="n">
        <v>0</v>
      </c>
      <c r="K658" t="n">
        <v>0</v>
      </c>
      <c r="L658" t="n">
        <v>0</v>
      </c>
      <c r="M658" t="n">
        <v>0</v>
      </c>
      <c r="N658" t="n">
        <v>0</v>
      </c>
      <c r="O658" t="n">
        <v>0</v>
      </c>
      <c r="P658" t="n">
        <v>0</v>
      </c>
      <c r="Q658" t="n">
        <v>0</v>
      </c>
      <c r="R658" s="2" t="inlineStr"/>
    </row>
    <row r="659" ht="15" customHeight="1">
      <c r="A659" t="inlineStr">
        <is>
          <t>A 56161-2024</t>
        </is>
      </c>
      <c r="B659" s="1" t="n">
        <v>45624</v>
      </c>
      <c r="C659" s="1" t="n">
        <v>45742</v>
      </c>
      <c r="D659" t="inlineStr">
        <is>
          <t>ÖREBRO LÄN</t>
        </is>
      </c>
      <c r="E659" t="inlineStr">
        <is>
          <t>HÄLLEFORS</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56237-2024</t>
        </is>
      </c>
      <c r="B660" s="1" t="n">
        <v>45624</v>
      </c>
      <c r="C660" s="1" t="n">
        <v>45742</v>
      </c>
      <c r="D660" t="inlineStr">
        <is>
          <t>ÖREBRO LÄN</t>
        </is>
      </c>
      <c r="E660" t="inlineStr">
        <is>
          <t>HÄLLEFORS</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56294-2024</t>
        </is>
      </c>
      <c r="B661" s="1" t="n">
        <v>45624</v>
      </c>
      <c r="C661" s="1" t="n">
        <v>45742</v>
      </c>
      <c r="D661" t="inlineStr">
        <is>
          <t>ÖREBRO LÄN</t>
        </is>
      </c>
      <c r="E661" t="inlineStr">
        <is>
          <t>HÄLLEFORS</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56298-2024</t>
        </is>
      </c>
      <c r="B662" s="1" t="n">
        <v>45624</v>
      </c>
      <c r="C662" s="1" t="n">
        <v>45742</v>
      </c>
      <c r="D662" t="inlineStr">
        <is>
          <t>ÖREBRO LÄN</t>
        </is>
      </c>
      <c r="E662" t="inlineStr">
        <is>
          <t>HÄLLEFORS</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56697-2024</t>
        </is>
      </c>
      <c r="B663" s="1" t="n">
        <v>45627</v>
      </c>
      <c r="C663" s="1" t="n">
        <v>45742</v>
      </c>
      <c r="D663" t="inlineStr">
        <is>
          <t>ÖREBRO LÄN</t>
        </is>
      </c>
      <c r="E663" t="inlineStr">
        <is>
          <t>HÄLLEFORS</t>
        </is>
      </c>
      <c r="G663" t="n">
        <v>6.2</v>
      </c>
      <c r="H663" t="n">
        <v>0</v>
      </c>
      <c r="I663" t="n">
        <v>0</v>
      </c>
      <c r="J663" t="n">
        <v>0</v>
      </c>
      <c r="K663" t="n">
        <v>0</v>
      </c>
      <c r="L663" t="n">
        <v>0</v>
      </c>
      <c r="M663" t="n">
        <v>0</v>
      </c>
      <c r="N663" t="n">
        <v>0</v>
      </c>
      <c r="O663" t="n">
        <v>0</v>
      </c>
      <c r="P663" t="n">
        <v>0</v>
      </c>
      <c r="Q663" t="n">
        <v>0</v>
      </c>
      <c r="R663" s="2" t="inlineStr"/>
    </row>
    <row r="664" ht="15" customHeight="1">
      <c r="A664" t="inlineStr">
        <is>
          <t>A 57261-2024</t>
        </is>
      </c>
      <c r="B664" s="1" t="n">
        <v>45629</v>
      </c>
      <c r="C664" s="1" t="n">
        <v>45742</v>
      </c>
      <c r="D664" t="inlineStr">
        <is>
          <t>ÖREBRO LÄN</t>
        </is>
      </c>
      <c r="E664" t="inlineStr">
        <is>
          <t>HÄLLEFORS</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57254-2024</t>
        </is>
      </c>
      <c r="B665" s="1" t="n">
        <v>45629</v>
      </c>
      <c r="C665" s="1" t="n">
        <v>45742</v>
      </c>
      <c r="D665" t="inlineStr">
        <is>
          <t>ÖREBRO LÄN</t>
        </is>
      </c>
      <c r="E665" t="inlineStr">
        <is>
          <t>HÄLLEFORS</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57259-2024</t>
        </is>
      </c>
      <c r="B666" s="1" t="n">
        <v>45629</v>
      </c>
      <c r="C666" s="1" t="n">
        <v>45742</v>
      </c>
      <c r="D666" t="inlineStr">
        <is>
          <t>ÖREBRO LÄN</t>
        </is>
      </c>
      <c r="E666" t="inlineStr">
        <is>
          <t>HÄLLEFORS</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58768-2024</t>
        </is>
      </c>
      <c r="B667" s="1" t="n">
        <v>45635</v>
      </c>
      <c r="C667" s="1" t="n">
        <v>45742</v>
      </c>
      <c r="D667" t="inlineStr">
        <is>
          <t>ÖREBRO LÄN</t>
        </is>
      </c>
      <c r="E667" t="inlineStr">
        <is>
          <t>HÄLLEFORS</t>
        </is>
      </c>
      <c r="G667" t="n">
        <v>0.9</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45742</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45742</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59957-2024</t>
        </is>
      </c>
      <c r="B670" s="1" t="n">
        <v>45642</v>
      </c>
      <c r="C670" s="1" t="n">
        <v>45742</v>
      </c>
      <c r="D670" t="inlineStr">
        <is>
          <t>ÖREBRO LÄN</t>
        </is>
      </c>
      <c r="E670" t="inlineStr">
        <is>
          <t>HÄLLEFORS</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45742</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45742</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59955-2024</t>
        </is>
      </c>
      <c r="B673" s="1" t="n">
        <v>45642</v>
      </c>
      <c r="C673" s="1" t="n">
        <v>45742</v>
      </c>
      <c r="D673" t="inlineStr">
        <is>
          <t>ÖREBRO LÄN</t>
        </is>
      </c>
      <c r="E673" t="inlineStr">
        <is>
          <t>HÄLLEFORS</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45742</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45742</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60306-2024</t>
        </is>
      </c>
      <c r="B676" s="1" t="n">
        <v>45643</v>
      </c>
      <c r="C676" s="1" t="n">
        <v>45742</v>
      </c>
      <c r="D676" t="inlineStr">
        <is>
          <t>ÖREBRO LÄN</t>
        </is>
      </c>
      <c r="E676" t="inlineStr">
        <is>
          <t>HÄLLEFORS</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60303-2024</t>
        </is>
      </c>
      <c r="B677" s="1" t="n">
        <v>45643</v>
      </c>
      <c r="C677" s="1" t="n">
        <v>45742</v>
      </c>
      <c r="D677" t="inlineStr">
        <is>
          <t>ÖREBRO LÄN</t>
        </is>
      </c>
      <c r="E677" t="inlineStr">
        <is>
          <t>HÄLLEFORS</t>
        </is>
      </c>
      <c r="F677" t="inlineStr">
        <is>
          <t>Bergvik skog väst AB</t>
        </is>
      </c>
      <c r="G677" t="n">
        <v>0.3</v>
      </c>
      <c r="H677" t="n">
        <v>0</v>
      </c>
      <c r="I677" t="n">
        <v>0</v>
      </c>
      <c r="J677" t="n">
        <v>0</v>
      </c>
      <c r="K677" t="n">
        <v>0</v>
      </c>
      <c r="L677" t="n">
        <v>0</v>
      </c>
      <c r="M677" t="n">
        <v>0</v>
      </c>
      <c r="N677" t="n">
        <v>0</v>
      </c>
      <c r="O677" t="n">
        <v>0</v>
      </c>
      <c r="P677" t="n">
        <v>0</v>
      </c>
      <c r="Q677" t="n">
        <v>0</v>
      </c>
      <c r="R677" s="2" t="inlineStr"/>
    </row>
    <row r="678" ht="15" customHeight="1">
      <c r="A678" t="inlineStr">
        <is>
          <t>A 60312-2024</t>
        </is>
      </c>
      <c r="B678" s="1" t="n">
        <v>45643</v>
      </c>
      <c r="C678" s="1" t="n">
        <v>45742</v>
      </c>
      <c r="D678" t="inlineStr">
        <is>
          <t>ÖREBRO LÄN</t>
        </is>
      </c>
      <c r="E678" t="inlineStr">
        <is>
          <t>HÄLLEFORS</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60300-2024</t>
        </is>
      </c>
      <c r="B679" s="1" t="n">
        <v>45643</v>
      </c>
      <c r="C679" s="1" t="n">
        <v>45742</v>
      </c>
      <c r="D679" t="inlineStr">
        <is>
          <t>ÖREBRO LÄN</t>
        </is>
      </c>
      <c r="E679" t="inlineStr">
        <is>
          <t>HÄLLEFORS</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60515-2024</t>
        </is>
      </c>
      <c r="B680" s="1" t="n">
        <v>45643</v>
      </c>
      <c r="C680" s="1" t="n">
        <v>45742</v>
      </c>
      <c r="D680" t="inlineStr">
        <is>
          <t>ÖREBRO LÄN</t>
        </is>
      </c>
      <c r="E680" t="inlineStr">
        <is>
          <t>HÄLLEFORS</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60523-2024</t>
        </is>
      </c>
      <c r="B681" s="1" t="n">
        <v>45643</v>
      </c>
      <c r="C681" s="1" t="n">
        <v>45742</v>
      </c>
      <c r="D681" t="inlineStr">
        <is>
          <t>ÖREBRO LÄN</t>
        </is>
      </c>
      <c r="E681" t="inlineStr">
        <is>
          <t>HÄLLEFORS</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60527-2024</t>
        </is>
      </c>
      <c r="B682" s="1" t="n">
        <v>45643</v>
      </c>
      <c r="C682" s="1" t="n">
        <v>45742</v>
      </c>
      <c r="D682" t="inlineStr">
        <is>
          <t>ÖREBRO LÄN</t>
        </is>
      </c>
      <c r="E682" t="inlineStr">
        <is>
          <t>HÄLLEFORS</t>
        </is>
      </c>
      <c r="F682" t="inlineStr">
        <is>
          <t>Bergvik skog väst AB</t>
        </is>
      </c>
      <c r="G682" t="n">
        <v>7.7</v>
      </c>
      <c r="H682" t="n">
        <v>0</v>
      </c>
      <c r="I682" t="n">
        <v>0</v>
      </c>
      <c r="J682" t="n">
        <v>0</v>
      </c>
      <c r="K682" t="n">
        <v>0</v>
      </c>
      <c r="L682" t="n">
        <v>0</v>
      </c>
      <c r="M682" t="n">
        <v>0</v>
      </c>
      <c r="N682" t="n">
        <v>0</v>
      </c>
      <c r="O682" t="n">
        <v>0</v>
      </c>
      <c r="P682" t="n">
        <v>0</v>
      </c>
      <c r="Q682" t="n">
        <v>0</v>
      </c>
      <c r="R682" s="2" t="inlineStr"/>
    </row>
    <row r="683" ht="15" customHeight="1">
      <c r="A683" t="inlineStr">
        <is>
          <t>A 60297-2024</t>
        </is>
      </c>
      <c r="B683" s="1" t="n">
        <v>45643</v>
      </c>
      <c r="C683" s="1" t="n">
        <v>45742</v>
      </c>
      <c r="D683" t="inlineStr">
        <is>
          <t>ÖREBRO LÄN</t>
        </is>
      </c>
      <c r="E683" t="inlineStr">
        <is>
          <t>HÄLLEFORS</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60378-2024</t>
        </is>
      </c>
      <c r="B684" s="1" t="n">
        <v>45643</v>
      </c>
      <c r="C684" s="1" t="n">
        <v>45742</v>
      </c>
      <c r="D684" t="inlineStr">
        <is>
          <t>ÖREBRO LÄN</t>
        </is>
      </c>
      <c r="E684" t="inlineStr">
        <is>
          <t>HÄLLEFORS</t>
        </is>
      </c>
      <c r="F684" t="inlineStr">
        <is>
          <t>Bergvik skog väst AB</t>
        </is>
      </c>
      <c r="G684" t="n">
        <v>5.2</v>
      </c>
      <c r="H684" t="n">
        <v>0</v>
      </c>
      <c r="I684" t="n">
        <v>0</v>
      </c>
      <c r="J684" t="n">
        <v>0</v>
      </c>
      <c r="K684" t="n">
        <v>0</v>
      </c>
      <c r="L684" t="n">
        <v>0</v>
      </c>
      <c r="M684" t="n">
        <v>0</v>
      </c>
      <c r="N684" t="n">
        <v>0</v>
      </c>
      <c r="O684" t="n">
        <v>0</v>
      </c>
      <c r="P684" t="n">
        <v>0</v>
      </c>
      <c r="Q684" t="n">
        <v>0</v>
      </c>
      <c r="R684" s="2" t="inlineStr"/>
    </row>
    <row r="685" ht="15" customHeight="1">
      <c r="A685" t="inlineStr">
        <is>
          <t>A 60738-2024</t>
        </is>
      </c>
      <c r="B685" s="1" t="n">
        <v>45644</v>
      </c>
      <c r="C685" s="1" t="n">
        <v>45742</v>
      </c>
      <c r="D685" t="inlineStr">
        <is>
          <t>ÖREBRO LÄN</t>
        </is>
      </c>
      <c r="E685" t="inlineStr">
        <is>
          <t>HÄLLEFORS</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61590-2024</t>
        </is>
      </c>
      <c r="B686" s="1" t="n">
        <v>45646</v>
      </c>
      <c r="C686" s="1" t="n">
        <v>45742</v>
      </c>
      <c r="D686" t="inlineStr">
        <is>
          <t>ÖREBRO LÄN</t>
        </is>
      </c>
      <c r="E686" t="inlineStr">
        <is>
          <t>HÄLLEFORS</t>
        </is>
      </c>
      <c r="G686" t="n">
        <v>1.1</v>
      </c>
      <c r="H686" t="n">
        <v>0</v>
      </c>
      <c r="I686" t="n">
        <v>0</v>
      </c>
      <c r="J686" t="n">
        <v>0</v>
      </c>
      <c r="K686" t="n">
        <v>0</v>
      </c>
      <c r="L686" t="n">
        <v>0</v>
      </c>
      <c r="M686" t="n">
        <v>0</v>
      </c>
      <c r="N686" t="n">
        <v>0</v>
      </c>
      <c r="O686" t="n">
        <v>0</v>
      </c>
      <c r="P686" t="n">
        <v>0</v>
      </c>
      <c r="Q686" t="n">
        <v>0</v>
      </c>
      <c r="R686" s="2" t="inlineStr"/>
    </row>
    <row r="687" ht="15" customHeight="1">
      <c r="A687" t="inlineStr">
        <is>
          <t>A 401-2025</t>
        </is>
      </c>
      <c r="B687" s="1" t="n">
        <v>45663</v>
      </c>
      <c r="C687" s="1" t="n">
        <v>45742</v>
      </c>
      <c r="D687" t="inlineStr">
        <is>
          <t>ÖREBRO LÄN</t>
        </is>
      </c>
      <c r="E687" t="inlineStr">
        <is>
          <t>HÄLLEFORS</t>
        </is>
      </c>
      <c r="G687" t="n">
        <v>4.4</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45742</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1018-2025</t>
        </is>
      </c>
      <c r="B689" s="1" t="n">
        <v>45666</v>
      </c>
      <c r="C689" s="1" t="n">
        <v>45742</v>
      </c>
      <c r="D689" t="inlineStr">
        <is>
          <t>ÖREBRO LÄN</t>
        </is>
      </c>
      <c r="E689" t="inlineStr">
        <is>
          <t>HÄLLEFORS</t>
        </is>
      </c>
      <c r="G689" t="n">
        <v>0.8</v>
      </c>
      <c r="H689" t="n">
        <v>0</v>
      </c>
      <c r="I689" t="n">
        <v>0</v>
      </c>
      <c r="J689" t="n">
        <v>0</v>
      </c>
      <c r="K689" t="n">
        <v>0</v>
      </c>
      <c r="L689" t="n">
        <v>0</v>
      </c>
      <c r="M689" t="n">
        <v>0</v>
      </c>
      <c r="N689" t="n">
        <v>0</v>
      </c>
      <c r="O689" t="n">
        <v>0</v>
      </c>
      <c r="P689" t="n">
        <v>0</v>
      </c>
      <c r="Q689" t="n">
        <v>0</v>
      </c>
      <c r="R689" s="2" t="inlineStr"/>
    </row>
    <row r="690" ht="15" customHeight="1">
      <c r="A690" t="inlineStr">
        <is>
          <t>A 1585-2025</t>
        </is>
      </c>
      <c r="B690" s="1" t="n">
        <v>45670</v>
      </c>
      <c r="C690" s="1" t="n">
        <v>45742</v>
      </c>
      <c r="D690" t="inlineStr">
        <is>
          <t>ÖREBRO LÄN</t>
        </is>
      </c>
      <c r="E690" t="inlineStr">
        <is>
          <t>HÄLLEFORS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1674-2025</t>
        </is>
      </c>
      <c r="B691" s="1" t="n">
        <v>45670</v>
      </c>
      <c r="C691" s="1" t="n">
        <v>45742</v>
      </c>
      <c r="D691" t="inlineStr">
        <is>
          <t>ÖREBRO LÄN</t>
        </is>
      </c>
      <c r="E691" t="inlineStr">
        <is>
          <t>HÄLLEFORS</t>
        </is>
      </c>
      <c r="G691" t="n">
        <v>3.3</v>
      </c>
      <c r="H691" t="n">
        <v>0</v>
      </c>
      <c r="I691" t="n">
        <v>0</v>
      </c>
      <c r="J691" t="n">
        <v>0</v>
      </c>
      <c r="K691" t="n">
        <v>0</v>
      </c>
      <c r="L691" t="n">
        <v>0</v>
      </c>
      <c r="M691" t="n">
        <v>0</v>
      </c>
      <c r="N691" t="n">
        <v>0</v>
      </c>
      <c r="O691" t="n">
        <v>0</v>
      </c>
      <c r="P691" t="n">
        <v>0</v>
      </c>
      <c r="Q691" t="n">
        <v>0</v>
      </c>
      <c r="R691" s="2" t="inlineStr"/>
    </row>
    <row r="692" ht="15" customHeight="1">
      <c r="A692" t="inlineStr">
        <is>
          <t>A 3643-2025</t>
        </is>
      </c>
      <c r="B692" s="1" t="n">
        <v>45681</v>
      </c>
      <c r="C692" s="1" t="n">
        <v>45742</v>
      </c>
      <c r="D692" t="inlineStr">
        <is>
          <t>ÖREBRO LÄN</t>
        </is>
      </c>
      <c r="E692" t="inlineStr">
        <is>
          <t>HÄLLEFORS</t>
        </is>
      </c>
      <c r="G692" t="n">
        <v>20.8</v>
      </c>
      <c r="H692" t="n">
        <v>0</v>
      </c>
      <c r="I692" t="n">
        <v>0</v>
      </c>
      <c r="J692" t="n">
        <v>0</v>
      </c>
      <c r="K692" t="n">
        <v>0</v>
      </c>
      <c r="L692" t="n">
        <v>0</v>
      </c>
      <c r="M692" t="n">
        <v>0</v>
      </c>
      <c r="N692" t="n">
        <v>0</v>
      </c>
      <c r="O692" t="n">
        <v>0</v>
      </c>
      <c r="P692" t="n">
        <v>0</v>
      </c>
      <c r="Q692" t="n">
        <v>0</v>
      </c>
      <c r="R692" s="2" t="inlineStr"/>
    </row>
    <row r="693" ht="15" customHeight="1">
      <c r="A693" t="inlineStr">
        <is>
          <t>A 4531-2025</t>
        </is>
      </c>
      <c r="B693" s="1" t="n">
        <v>45687</v>
      </c>
      <c r="C693" s="1" t="n">
        <v>45742</v>
      </c>
      <c r="D693" t="inlineStr">
        <is>
          <t>ÖREBRO LÄN</t>
        </is>
      </c>
      <c r="E693" t="inlineStr">
        <is>
          <t>HÄLLEFORS</t>
        </is>
      </c>
      <c r="F693" t="inlineStr">
        <is>
          <t>Bergvik skog väst AB</t>
        </is>
      </c>
      <c r="G693" t="n">
        <v>0.7</v>
      </c>
      <c r="H693" t="n">
        <v>0</v>
      </c>
      <c r="I693" t="n">
        <v>0</v>
      </c>
      <c r="J693" t="n">
        <v>0</v>
      </c>
      <c r="K693" t="n">
        <v>0</v>
      </c>
      <c r="L693" t="n">
        <v>0</v>
      </c>
      <c r="M693" t="n">
        <v>0</v>
      </c>
      <c r="N693" t="n">
        <v>0</v>
      </c>
      <c r="O693" t="n">
        <v>0</v>
      </c>
      <c r="P693" t="n">
        <v>0</v>
      </c>
      <c r="Q693" t="n">
        <v>0</v>
      </c>
      <c r="R693" s="2" t="inlineStr"/>
    </row>
    <row r="694" ht="15" customHeight="1">
      <c r="A694" t="inlineStr">
        <is>
          <t>A 4583-2025</t>
        </is>
      </c>
      <c r="B694" s="1" t="n">
        <v>45687</v>
      </c>
      <c r="C694" s="1" t="n">
        <v>45742</v>
      </c>
      <c r="D694" t="inlineStr">
        <is>
          <t>ÖREBRO LÄN</t>
        </is>
      </c>
      <c r="E694" t="inlineStr">
        <is>
          <t>HÄLLEFORS</t>
        </is>
      </c>
      <c r="G694" t="n">
        <v>3.3</v>
      </c>
      <c r="H694" t="n">
        <v>0</v>
      </c>
      <c r="I694" t="n">
        <v>0</v>
      </c>
      <c r="J694" t="n">
        <v>0</v>
      </c>
      <c r="K694" t="n">
        <v>0</v>
      </c>
      <c r="L694" t="n">
        <v>0</v>
      </c>
      <c r="M694" t="n">
        <v>0</v>
      </c>
      <c r="N694" t="n">
        <v>0</v>
      </c>
      <c r="O694" t="n">
        <v>0</v>
      </c>
      <c r="P694" t="n">
        <v>0</v>
      </c>
      <c r="Q694" t="n">
        <v>0</v>
      </c>
      <c r="R694" s="2" t="inlineStr"/>
    </row>
    <row r="695" ht="15" customHeight="1">
      <c r="A695" t="inlineStr">
        <is>
          <t>A 5045-2025</t>
        </is>
      </c>
      <c r="B695" s="1" t="n">
        <v>45691</v>
      </c>
      <c r="C695" s="1" t="n">
        <v>45742</v>
      </c>
      <c r="D695" t="inlineStr">
        <is>
          <t>ÖREBRO LÄN</t>
        </is>
      </c>
      <c r="E695" t="inlineStr">
        <is>
          <t>HÄLLEFORS</t>
        </is>
      </c>
      <c r="F695" t="inlineStr">
        <is>
          <t>Bergvik skog väst AB</t>
        </is>
      </c>
      <c r="G695" t="n">
        <v>6.4</v>
      </c>
      <c r="H695" t="n">
        <v>0</v>
      </c>
      <c r="I695" t="n">
        <v>0</v>
      </c>
      <c r="J695" t="n">
        <v>0</v>
      </c>
      <c r="K695" t="n">
        <v>0</v>
      </c>
      <c r="L695" t="n">
        <v>0</v>
      </c>
      <c r="M695" t="n">
        <v>0</v>
      </c>
      <c r="N695" t="n">
        <v>0</v>
      </c>
      <c r="O695" t="n">
        <v>0</v>
      </c>
      <c r="P695" t="n">
        <v>0</v>
      </c>
      <c r="Q695" t="n">
        <v>0</v>
      </c>
      <c r="R695" s="2" t="inlineStr"/>
    </row>
    <row r="696" ht="15" customHeight="1">
      <c r="A696" t="inlineStr">
        <is>
          <t>A 5042-2025</t>
        </is>
      </c>
      <c r="B696" s="1" t="n">
        <v>45691</v>
      </c>
      <c r="C696" s="1" t="n">
        <v>45742</v>
      </c>
      <c r="D696" t="inlineStr">
        <is>
          <t>ÖREBRO LÄN</t>
        </is>
      </c>
      <c r="E696" t="inlineStr">
        <is>
          <t>HÄLLEFORS</t>
        </is>
      </c>
      <c r="F696" t="inlineStr">
        <is>
          <t>Bergvik skog väst AB</t>
        </is>
      </c>
      <c r="G696" t="n">
        <v>3.3</v>
      </c>
      <c r="H696" t="n">
        <v>0</v>
      </c>
      <c r="I696" t="n">
        <v>0</v>
      </c>
      <c r="J696" t="n">
        <v>0</v>
      </c>
      <c r="K696" t="n">
        <v>0</v>
      </c>
      <c r="L696" t="n">
        <v>0</v>
      </c>
      <c r="M696" t="n">
        <v>0</v>
      </c>
      <c r="N696" t="n">
        <v>0</v>
      </c>
      <c r="O696" t="n">
        <v>0</v>
      </c>
      <c r="P696" t="n">
        <v>0</v>
      </c>
      <c r="Q696" t="n">
        <v>0</v>
      </c>
      <c r="R696" s="2" t="inlineStr"/>
    </row>
    <row r="697" ht="15" customHeight="1">
      <c r="A697" t="inlineStr">
        <is>
          <t>A 5033-2025</t>
        </is>
      </c>
      <c r="B697" s="1" t="n">
        <v>45691</v>
      </c>
      <c r="C697" s="1" t="n">
        <v>45742</v>
      </c>
      <c r="D697" t="inlineStr">
        <is>
          <t>ÖREBRO LÄN</t>
        </is>
      </c>
      <c r="E697" t="inlineStr">
        <is>
          <t>HÄLLEFORS</t>
        </is>
      </c>
      <c r="F697" t="inlineStr">
        <is>
          <t>Bergvik skog väst AB</t>
        </is>
      </c>
      <c r="G697" t="n">
        <v>5.6</v>
      </c>
      <c r="H697" t="n">
        <v>0</v>
      </c>
      <c r="I697" t="n">
        <v>0</v>
      </c>
      <c r="J697" t="n">
        <v>0</v>
      </c>
      <c r="K697" t="n">
        <v>0</v>
      </c>
      <c r="L697" t="n">
        <v>0</v>
      </c>
      <c r="M697" t="n">
        <v>0</v>
      </c>
      <c r="N697" t="n">
        <v>0</v>
      </c>
      <c r="O697" t="n">
        <v>0</v>
      </c>
      <c r="P697" t="n">
        <v>0</v>
      </c>
      <c r="Q697" t="n">
        <v>0</v>
      </c>
      <c r="R697" s="2" t="inlineStr"/>
    </row>
    <row r="698" ht="15" customHeight="1">
      <c r="A698" t="inlineStr">
        <is>
          <t>A 5237-2025</t>
        </is>
      </c>
      <c r="B698" s="1" t="n">
        <v>45692</v>
      </c>
      <c r="C698" s="1" t="n">
        <v>45742</v>
      </c>
      <c r="D698" t="inlineStr">
        <is>
          <t>ÖREBRO LÄN</t>
        </is>
      </c>
      <c r="E698" t="inlineStr">
        <is>
          <t>HÄLLEFORS</t>
        </is>
      </c>
      <c r="F698" t="inlineStr">
        <is>
          <t>Bergvik skog väst AB</t>
        </is>
      </c>
      <c r="G698" t="n">
        <v>4.6</v>
      </c>
      <c r="H698" t="n">
        <v>0</v>
      </c>
      <c r="I698" t="n">
        <v>0</v>
      </c>
      <c r="J698" t="n">
        <v>0</v>
      </c>
      <c r="K698" t="n">
        <v>0</v>
      </c>
      <c r="L698" t="n">
        <v>0</v>
      </c>
      <c r="M698" t="n">
        <v>0</v>
      </c>
      <c r="N698" t="n">
        <v>0</v>
      </c>
      <c r="O698" t="n">
        <v>0</v>
      </c>
      <c r="P698" t="n">
        <v>0</v>
      </c>
      <c r="Q698" t="n">
        <v>0</v>
      </c>
      <c r="R698" s="2" t="inlineStr"/>
    </row>
    <row r="699" ht="15" customHeight="1">
      <c r="A699" t="inlineStr">
        <is>
          <t>A 5245-2025</t>
        </is>
      </c>
      <c r="B699" s="1" t="n">
        <v>45692</v>
      </c>
      <c r="C699" s="1" t="n">
        <v>45742</v>
      </c>
      <c r="D699" t="inlineStr">
        <is>
          <t>ÖREBRO LÄN</t>
        </is>
      </c>
      <c r="E699" t="inlineStr">
        <is>
          <t>HÄLLEFORS</t>
        </is>
      </c>
      <c r="F699" t="inlineStr">
        <is>
          <t>Bergvik skog väst AB</t>
        </is>
      </c>
      <c r="G699" t="n">
        <v>8.699999999999999</v>
      </c>
      <c r="H699" t="n">
        <v>0</v>
      </c>
      <c r="I699" t="n">
        <v>0</v>
      </c>
      <c r="J699" t="n">
        <v>0</v>
      </c>
      <c r="K699" t="n">
        <v>0</v>
      </c>
      <c r="L699" t="n">
        <v>0</v>
      </c>
      <c r="M699" t="n">
        <v>0</v>
      </c>
      <c r="N699" t="n">
        <v>0</v>
      </c>
      <c r="O699" t="n">
        <v>0</v>
      </c>
      <c r="P699" t="n">
        <v>0</v>
      </c>
      <c r="Q699" t="n">
        <v>0</v>
      </c>
      <c r="R699" s="2" t="inlineStr"/>
    </row>
    <row r="700" ht="15" customHeight="1">
      <c r="A700" t="inlineStr">
        <is>
          <t>A 5263-2025</t>
        </is>
      </c>
      <c r="B700" s="1" t="n">
        <v>45692</v>
      </c>
      <c r="C700" s="1" t="n">
        <v>45742</v>
      </c>
      <c r="D700" t="inlineStr">
        <is>
          <t>ÖREBRO LÄN</t>
        </is>
      </c>
      <c r="E700" t="inlineStr">
        <is>
          <t>HÄLLEFORS</t>
        </is>
      </c>
      <c r="F700" t="inlineStr">
        <is>
          <t>Bergvik skog väst AB</t>
        </is>
      </c>
      <c r="G700" t="n">
        <v>2.1</v>
      </c>
      <c r="H700" t="n">
        <v>0</v>
      </c>
      <c r="I700" t="n">
        <v>0</v>
      </c>
      <c r="J700" t="n">
        <v>0</v>
      </c>
      <c r="K700" t="n">
        <v>0</v>
      </c>
      <c r="L700" t="n">
        <v>0</v>
      </c>
      <c r="M700" t="n">
        <v>0</v>
      </c>
      <c r="N700" t="n">
        <v>0</v>
      </c>
      <c r="O700" t="n">
        <v>0</v>
      </c>
      <c r="P700" t="n">
        <v>0</v>
      </c>
      <c r="Q700" t="n">
        <v>0</v>
      </c>
      <c r="R700" s="2" t="inlineStr"/>
    </row>
    <row r="701" ht="15" customHeight="1">
      <c r="A701" t="inlineStr">
        <is>
          <t>A 5268-2025</t>
        </is>
      </c>
      <c r="B701" s="1" t="n">
        <v>45692</v>
      </c>
      <c r="C701" s="1" t="n">
        <v>45742</v>
      </c>
      <c r="D701" t="inlineStr">
        <is>
          <t>ÖREBRO LÄN</t>
        </is>
      </c>
      <c r="E701" t="inlineStr">
        <is>
          <t>HÄLLEFORS</t>
        </is>
      </c>
      <c r="F701" t="inlineStr">
        <is>
          <t>Bergvik skog väst AB</t>
        </is>
      </c>
      <c r="G701" t="n">
        <v>3.8</v>
      </c>
      <c r="H701" t="n">
        <v>0</v>
      </c>
      <c r="I701" t="n">
        <v>0</v>
      </c>
      <c r="J701" t="n">
        <v>0</v>
      </c>
      <c r="K701" t="n">
        <v>0</v>
      </c>
      <c r="L701" t="n">
        <v>0</v>
      </c>
      <c r="M701" t="n">
        <v>0</v>
      </c>
      <c r="N701" t="n">
        <v>0</v>
      </c>
      <c r="O701" t="n">
        <v>0</v>
      </c>
      <c r="P701" t="n">
        <v>0</v>
      </c>
      <c r="Q701" t="n">
        <v>0</v>
      </c>
      <c r="R701" s="2" t="inlineStr"/>
    </row>
    <row r="702" ht="15" customHeight="1">
      <c r="A702" t="inlineStr">
        <is>
          <t>A 5256-2025</t>
        </is>
      </c>
      <c r="B702" s="1" t="n">
        <v>45692</v>
      </c>
      <c r="C702" s="1" t="n">
        <v>45742</v>
      </c>
      <c r="D702" t="inlineStr">
        <is>
          <t>ÖREBRO LÄN</t>
        </is>
      </c>
      <c r="E702" t="inlineStr">
        <is>
          <t>HÄLLEFORS</t>
        </is>
      </c>
      <c r="F702" t="inlineStr">
        <is>
          <t>Bergvik skog väst AB</t>
        </is>
      </c>
      <c r="G702" t="n">
        <v>6.3</v>
      </c>
      <c r="H702" t="n">
        <v>0</v>
      </c>
      <c r="I702" t="n">
        <v>0</v>
      </c>
      <c r="J702" t="n">
        <v>0</v>
      </c>
      <c r="K702" t="n">
        <v>0</v>
      </c>
      <c r="L702" t="n">
        <v>0</v>
      </c>
      <c r="M702" t="n">
        <v>0</v>
      </c>
      <c r="N702" t="n">
        <v>0</v>
      </c>
      <c r="O702" t="n">
        <v>0</v>
      </c>
      <c r="P702" t="n">
        <v>0</v>
      </c>
      <c r="Q702" t="n">
        <v>0</v>
      </c>
      <c r="R702" s="2" t="inlineStr"/>
    </row>
    <row r="703" ht="15" customHeight="1">
      <c r="A703" t="inlineStr">
        <is>
          <t>A 5684-2025</t>
        </is>
      </c>
      <c r="B703" s="1" t="n">
        <v>45694</v>
      </c>
      <c r="C703" s="1" t="n">
        <v>45742</v>
      </c>
      <c r="D703" t="inlineStr">
        <is>
          <t>ÖREBRO LÄN</t>
        </is>
      </c>
      <c r="E703" t="inlineStr">
        <is>
          <t>HÄLLEFORS</t>
        </is>
      </c>
      <c r="F703" t="inlineStr">
        <is>
          <t>Bergvik skog väst AB</t>
        </is>
      </c>
      <c r="G703" t="n">
        <v>2.1</v>
      </c>
      <c r="H703" t="n">
        <v>0</v>
      </c>
      <c r="I703" t="n">
        <v>0</v>
      </c>
      <c r="J703" t="n">
        <v>0</v>
      </c>
      <c r="K703" t="n">
        <v>0</v>
      </c>
      <c r="L703" t="n">
        <v>0</v>
      </c>
      <c r="M703" t="n">
        <v>0</v>
      </c>
      <c r="N703" t="n">
        <v>0</v>
      </c>
      <c r="O703" t="n">
        <v>0</v>
      </c>
      <c r="P703" t="n">
        <v>0</v>
      </c>
      <c r="Q703" t="n">
        <v>0</v>
      </c>
      <c r="R703" s="2" t="inlineStr"/>
    </row>
    <row r="704" ht="15" customHeight="1">
      <c r="A704" t="inlineStr">
        <is>
          <t>A 5685-2025</t>
        </is>
      </c>
      <c r="B704" s="1" t="n">
        <v>45694</v>
      </c>
      <c r="C704" s="1" t="n">
        <v>45742</v>
      </c>
      <c r="D704" t="inlineStr">
        <is>
          <t>ÖREBRO LÄN</t>
        </is>
      </c>
      <c r="E704" t="inlineStr">
        <is>
          <t>HÄLLEFORS</t>
        </is>
      </c>
      <c r="F704" t="inlineStr">
        <is>
          <t>Bergvik skog väst AB</t>
        </is>
      </c>
      <c r="G704" t="n">
        <v>4.7</v>
      </c>
      <c r="H704" t="n">
        <v>0</v>
      </c>
      <c r="I704" t="n">
        <v>0</v>
      </c>
      <c r="J704" t="n">
        <v>0</v>
      </c>
      <c r="K704" t="n">
        <v>0</v>
      </c>
      <c r="L704" t="n">
        <v>0</v>
      </c>
      <c r="M704" t="n">
        <v>0</v>
      </c>
      <c r="N704" t="n">
        <v>0</v>
      </c>
      <c r="O704" t="n">
        <v>0</v>
      </c>
      <c r="P704" t="n">
        <v>0</v>
      </c>
      <c r="Q704" t="n">
        <v>0</v>
      </c>
      <c r="R704" s="2" t="inlineStr"/>
    </row>
    <row r="705" ht="15" customHeight="1">
      <c r="A705" t="inlineStr">
        <is>
          <t>A 6281-2025</t>
        </is>
      </c>
      <c r="B705" s="1" t="n">
        <v>45698</v>
      </c>
      <c r="C705" s="1" t="n">
        <v>45742</v>
      </c>
      <c r="D705" t="inlineStr">
        <is>
          <t>ÖREBRO LÄN</t>
        </is>
      </c>
      <c r="E705" t="inlineStr">
        <is>
          <t>HÄLLEFORS</t>
        </is>
      </c>
      <c r="F705" t="inlineStr">
        <is>
          <t>Bergvik skog väst AB</t>
        </is>
      </c>
      <c r="G705" t="n">
        <v>0.7</v>
      </c>
      <c r="H705" t="n">
        <v>0</v>
      </c>
      <c r="I705" t="n">
        <v>0</v>
      </c>
      <c r="J705" t="n">
        <v>0</v>
      </c>
      <c r="K705" t="n">
        <v>0</v>
      </c>
      <c r="L705" t="n">
        <v>0</v>
      </c>
      <c r="M705" t="n">
        <v>0</v>
      </c>
      <c r="N705" t="n">
        <v>0</v>
      </c>
      <c r="O705" t="n">
        <v>0</v>
      </c>
      <c r="P705" t="n">
        <v>0</v>
      </c>
      <c r="Q705" t="n">
        <v>0</v>
      </c>
      <c r="R705" s="2" t="inlineStr"/>
    </row>
    <row r="706" ht="15" customHeight="1">
      <c r="A706" t="inlineStr">
        <is>
          <t>A 6761-2025</t>
        </is>
      </c>
      <c r="B706" s="1" t="n">
        <v>45700</v>
      </c>
      <c r="C706" s="1" t="n">
        <v>45742</v>
      </c>
      <c r="D706" t="inlineStr">
        <is>
          <t>ÖREBRO LÄN</t>
        </is>
      </c>
      <c r="E706" t="inlineStr">
        <is>
          <t>HÄLLEFORS</t>
        </is>
      </c>
      <c r="G706" t="n">
        <v>2.4</v>
      </c>
      <c r="H706" t="n">
        <v>0</v>
      </c>
      <c r="I706" t="n">
        <v>0</v>
      </c>
      <c r="J706" t="n">
        <v>0</v>
      </c>
      <c r="K706" t="n">
        <v>0</v>
      </c>
      <c r="L706" t="n">
        <v>0</v>
      </c>
      <c r="M706" t="n">
        <v>0</v>
      </c>
      <c r="N706" t="n">
        <v>0</v>
      </c>
      <c r="O706" t="n">
        <v>0</v>
      </c>
      <c r="P706" t="n">
        <v>0</v>
      </c>
      <c r="Q706" t="n">
        <v>0</v>
      </c>
      <c r="R706" s="2" t="inlineStr"/>
    </row>
    <row r="707" ht="15" customHeight="1">
      <c r="A707" t="inlineStr">
        <is>
          <t>A 8615-2025</t>
        </is>
      </c>
      <c r="B707" s="1" t="n">
        <v>45710</v>
      </c>
      <c r="C707" s="1" t="n">
        <v>45742</v>
      </c>
      <c r="D707" t="inlineStr">
        <is>
          <t>ÖREBRO LÄN</t>
        </is>
      </c>
      <c r="E707" t="inlineStr">
        <is>
          <t>HÄLLEFORS</t>
        </is>
      </c>
      <c r="G707" t="n">
        <v>6.2</v>
      </c>
      <c r="H707" t="n">
        <v>0</v>
      </c>
      <c r="I707" t="n">
        <v>0</v>
      </c>
      <c r="J707" t="n">
        <v>0</v>
      </c>
      <c r="K707" t="n">
        <v>0</v>
      </c>
      <c r="L707" t="n">
        <v>0</v>
      </c>
      <c r="M707" t="n">
        <v>0</v>
      </c>
      <c r="N707" t="n">
        <v>0</v>
      </c>
      <c r="O707" t="n">
        <v>0</v>
      </c>
      <c r="P707" t="n">
        <v>0</v>
      </c>
      <c r="Q707" t="n">
        <v>0</v>
      </c>
      <c r="R707" s="2" t="inlineStr"/>
    </row>
    <row r="708" ht="15" customHeight="1">
      <c r="A708" t="inlineStr">
        <is>
          <t>A 9539-2025</t>
        </is>
      </c>
      <c r="B708" s="1" t="n">
        <v>45715</v>
      </c>
      <c r="C708" s="1" t="n">
        <v>45742</v>
      </c>
      <c r="D708" t="inlineStr">
        <is>
          <t>ÖREBRO LÄN</t>
        </is>
      </c>
      <c r="E708" t="inlineStr">
        <is>
          <t>HÄLLEFORS</t>
        </is>
      </c>
      <c r="G708" t="n">
        <v>1.4</v>
      </c>
      <c r="H708" t="n">
        <v>0</v>
      </c>
      <c r="I708" t="n">
        <v>0</v>
      </c>
      <c r="J708" t="n">
        <v>0</v>
      </c>
      <c r="K708" t="n">
        <v>0</v>
      </c>
      <c r="L708" t="n">
        <v>0</v>
      </c>
      <c r="M708" t="n">
        <v>0</v>
      </c>
      <c r="N708" t="n">
        <v>0</v>
      </c>
      <c r="O708" t="n">
        <v>0</v>
      </c>
      <c r="P708" t="n">
        <v>0</v>
      </c>
      <c r="Q708" t="n">
        <v>0</v>
      </c>
      <c r="R708" s="2" t="inlineStr"/>
    </row>
    <row r="709" ht="15" customHeight="1">
      <c r="A709" t="inlineStr">
        <is>
          <t>A 9537-2025</t>
        </is>
      </c>
      <c r="B709" s="1" t="n">
        <v>45715</v>
      </c>
      <c r="C709" s="1" t="n">
        <v>45742</v>
      </c>
      <c r="D709" t="inlineStr">
        <is>
          <t>ÖREBRO LÄN</t>
        </is>
      </c>
      <c r="E709" t="inlineStr">
        <is>
          <t>HÄLLEFORS</t>
        </is>
      </c>
      <c r="G709" t="n">
        <v>2.7</v>
      </c>
      <c r="H709" t="n">
        <v>0</v>
      </c>
      <c r="I709" t="n">
        <v>0</v>
      </c>
      <c r="J709" t="n">
        <v>0</v>
      </c>
      <c r="K709" t="n">
        <v>0</v>
      </c>
      <c r="L709" t="n">
        <v>0</v>
      </c>
      <c r="M709" t="n">
        <v>0</v>
      </c>
      <c r="N709" t="n">
        <v>0</v>
      </c>
      <c r="O709" t="n">
        <v>0</v>
      </c>
      <c r="P709" t="n">
        <v>0</v>
      </c>
      <c r="Q709" t="n">
        <v>0</v>
      </c>
      <c r="R709" s="2" t="inlineStr"/>
    </row>
    <row r="710" ht="15" customHeight="1">
      <c r="A710" t="inlineStr">
        <is>
          <t>A 9536-2025</t>
        </is>
      </c>
      <c r="B710" s="1" t="n">
        <v>45715</v>
      </c>
      <c r="C710" s="1" t="n">
        <v>45742</v>
      </c>
      <c r="D710" t="inlineStr">
        <is>
          <t>ÖREBRO LÄN</t>
        </is>
      </c>
      <c r="E710" t="inlineStr">
        <is>
          <t>HÄLLEFORS</t>
        </is>
      </c>
      <c r="G710" t="n">
        <v>1.5</v>
      </c>
      <c r="H710" t="n">
        <v>0</v>
      </c>
      <c r="I710" t="n">
        <v>0</v>
      </c>
      <c r="J710" t="n">
        <v>0</v>
      </c>
      <c r="K710" t="n">
        <v>0</v>
      </c>
      <c r="L710" t="n">
        <v>0</v>
      </c>
      <c r="M710" t="n">
        <v>0</v>
      </c>
      <c r="N710" t="n">
        <v>0</v>
      </c>
      <c r="O710" t="n">
        <v>0</v>
      </c>
      <c r="P710" t="n">
        <v>0</v>
      </c>
      <c r="Q710" t="n">
        <v>0</v>
      </c>
      <c r="R710" s="2" t="inlineStr"/>
    </row>
    <row r="711" ht="15" customHeight="1">
      <c r="A711" t="inlineStr">
        <is>
          <t>A 10499-2025</t>
        </is>
      </c>
      <c r="B711" s="1" t="n">
        <v>45721</v>
      </c>
      <c r="C711" s="1" t="n">
        <v>45742</v>
      </c>
      <c r="D711" t="inlineStr">
        <is>
          <t>ÖREBRO LÄN</t>
        </is>
      </c>
      <c r="E711" t="inlineStr">
        <is>
          <t>HÄLLEFORS</t>
        </is>
      </c>
      <c r="F711" t="inlineStr">
        <is>
          <t>Bergvik skog väst AB</t>
        </is>
      </c>
      <c r="G711" t="n">
        <v>2.8</v>
      </c>
      <c r="H711" t="n">
        <v>0</v>
      </c>
      <c r="I711" t="n">
        <v>0</v>
      </c>
      <c r="J711" t="n">
        <v>0</v>
      </c>
      <c r="K711" t="n">
        <v>0</v>
      </c>
      <c r="L711" t="n">
        <v>0</v>
      </c>
      <c r="M711" t="n">
        <v>0</v>
      </c>
      <c r="N711" t="n">
        <v>0</v>
      </c>
      <c r="O711" t="n">
        <v>0</v>
      </c>
      <c r="P711" t="n">
        <v>0</v>
      </c>
      <c r="Q711" t="n">
        <v>0</v>
      </c>
      <c r="R711" s="2" t="inlineStr"/>
    </row>
    <row r="712" ht="15" customHeight="1">
      <c r="A712" t="inlineStr">
        <is>
          <t>A 11987-2025</t>
        </is>
      </c>
      <c r="B712" s="1" t="n">
        <v>45728</v>
      </c>
      <c r="C712" s="1" t="n">
        <v>45742</v>
      </c>
      <c r="D712" t="inlineStr">
        <is>
          <t>ÖREBRO LÄN</t>
        </is>
      </c>
      <c r="E712" t="inlineStr">
        <is>
          <t>HÄLLEFORS</t>
        </is>
      </c>
      <c r="F712" t="inlineStr">
        <is>
          <t>Bergvik skog väst AB</t>
        </is>
      </c>
      <c r="G712" t="n">
        <v>9.1</v>
      </c>
      <c r="H712" t="n">
        <v>0</v>
      </c>
      <c r="I712" t="n">
        <v>0</v>
      </c>
      <c r="J712" t="n">
        <v>0</v>
      </c>
      <c r="K712" t="n">
        <v>0</v>
      </c>
      <c r="L712" t="n">
        <v>0</v>
      </c>
      <c r="M712" t="n">
        <v>0</v>
      </c>
      <c r="N712" t="n">
        <v>0</v>
      </c>
      <c r="O712" t="n">
        <v>0</v>
      </c>
      <c r="P712" t="n">
        <v>0</v>
      </c>
      <c r="Q712" t="n">
        <v>0</v>
      </c>
      <c r="R712" s="2" t="inlineStr"/>
    </row>
    <row r="713" ht="15" customHeight="1">
      <c r="A713" t="inlineStr">
        <is>
          <t>A 12082-2025</t>
        </is>
      </c>
      <c r="B713" s="1" t="n">
        <v>45728</v>
      </c>
      <c r="C713" s="1" t="n">
        <v>45742</v>
      </c>
      <c r="D713" t="inlineStr">
        <is>
          <t>ÖREBRO LÄN</t>
        </is>
      </c>
      <c r="E713" t="inlineStr">
        <is>
          <t>HÄLLEFORS</t>
        </is>
      </c>
      <c r="F713" t="inlineStr">
        <is>
          <t>Bergvik skog väst AB</t>
        </is>
      </c>
      <c r="G713" t="n">
        <v>3.4</v>
      </c>
      <c r="H713" t="n">
        <v>0</v>
      </c>
      <c r="I713" t="n">
        <v>0</v>
      </c>
      <c r="J713" t="n">
        <v>0</v>
      </c>
      <c r="K713" t="n">
        <v>0</v>
      </c>
      <c r="L713" t="n">
        <v>0</v>
      </c>
      <c r="M713" t="n">
        <v>0</v>
      </c>
      <c r="N713" t="n">
        <v>0</v>
      </c>
      <c r="O713" t="n">
        <v>0</v>
      </c>
      <c r="P713" t="n">
        <v>0</v>
      </c>
      <c r="Q713" t="n">
        <v>0</v>
      </c>
      <c r="R713" s="2" t="inlineStr"/>
    </row>
    <row r="714" ht="15" customHeight="1">
      <c r="A714" t="inlineStr">
        <is>
          <t>A 12511-2025</t>
        </is>
      </c>
      <c r="B714" s="1" t="n">
        <v>45730</v>
      </c>
      <c r="C714" s="1" t="n">
        <v>45742</v>
      </c>
      <c r="D714" t="inlineStr">
        <is>
          <t>ÖREBRO LÄN</t>
        </is>
      </c>
      <c r="E714" t="inlineStr">
        <is>
          <t>HÄLLEFORS</t>
        </is>
      </c>
      <c r="G714" t="n">
        <v>0.7</v>
      </c>
      <c r="H714" t="n">
        <v>0</v>
      </c>
      <c r="I714" t="n">
        <v>0</v>
      </c>
      <c r="J714" t="n">
        <v>0</v>
      </c>
      <c r="K714" t="n">
        <v>0</v>
      </c>
      <c r="L714" t="n">
        <v>0</v>
      </c>
      <c r="M714" t="n">
        <v>0</v>
      </c>
      <c r="N714" t="n">
        <v>0</v>
      </c>
      <c r="O714" t="n">
        <v>0</v>
      </c>
      <c r="P714" t="n">
        <v>0</v>
      </c>
      <c r="Q714" t="n">
        <v>0</v>
      </c>
      <c r="R714" s="2" t="inlineStr"/>
    </row>
    <row r="715" ht="15" customHeight="1">
      <c r="A715" t="inlineStr">
        <is>
          <t>A 12555-2025</t>
        </is>
      </c>
      <c r="B715" s="1" t="n">
        <v>45731</v>
      </c>
      <c r="C715" s="1" t="n">
        <v>45742</v>
      </c>
      <c r="D715" t="inlineStr">
        <is>
          <t>ÖREBRO LÄN</t>
        </is>
      </c>
      <c r="E715" t="inlineStr">
        <is>
          <t>HÄLLEFORS</t>
        </is>
      </c>
      <c r="G715" t="n">
        <v>4</v>
      </c>
      <c r="H715" t="n">
        <v>0</v>
      </c>
      <c r="I715" t="n">
        <v>0</v>
      </c>
      <c r="J715" t="n">
        <v>0</v>
      </c>
      <c r="K715" t="n">
        <v>0</v>
      </c>
      <c r="L715" t="n">
        <v>0</v>
      </c>
      <c r="M715" t="n">
        <v>0</v>
      </c>
      <c r="N715" t="n">
        <v>0</v>
      </c>
      <c r="O715" t="n">
        <v>0</v>
      </c>
      <c r="P715" t="n">
        <v>0</v>
      </c>
      <c r="Q715" t="n">
        <v>0</v>
      </c>
      <c r="R715" s="2" t="inlineStr"/>
    </row>
    <row r="716" ht="15" customHeight="1">
      <c r="A716" t="inlineStr">
        <is>
          <t>A 12559-2025</t>
        </is>
      </c>
      <c r="B716" s="1" t="n">
        <v>45731</v>
      </c>
      <c r="C716" s="1" t="n">
        <v>45742</v>
      </c>
      <c r="D716" t="inlineStr">
        <is>
          <t>ÖREBRO LÄN</t>
        </is>
      </c>
      <c r="E716" t="inlineStr">
        <is>
          <t>HÄLLEFORS</t>
        </is>
      </c>
      <c r="G716" t="n">
        <v>2.4</v>
      </c>
      <c r="H716" t="n">
        <v>0</v>
      </c>
      <c r="I716" t="n">
        <v>0</v>
      </c>
      <c r="J716" t="n">
        <v>0</v>
      </c>
      <c r="K716" t="n">
        <v>0</v>
      </c>
      <c r="L716" t="n">
        <v>0</v>
      </c>
      <c r="M716" t="n">
        <v>0</v>
      </c>
      <c r="N716" t="n">
        <v>0</v>
      </c>
      <c r="O716" t="n">
        <v>0</v>
      </c>
      <c r="P716" t="n">
        <v>0</v>
      </c>
      <c r="Q716" t="n">
        <v>0</v>
      </c>
      <c r="R716" s="2" t="inlineStr"/>
    </row>
    <row r="717" ht="15" customHeight="1">
      <c r="A717" t="inlineStr">
        <is>
          <t>A 12558-2025</t>
        </is>
      </c>
      <c r="B717" s="1" t="n">
        <v>45731</v>
      </c>
      <c r="C717" s="1" t="n">
        <v>45742</v>
      </c>
      <c r="D717" t="inlineStr">
        <is>
          <t>ÖREBRO LÄN</t>
        </is>
      </c>
      <c r="E717" t="inlineStr">
        <is>
          <t>HÄLLEFORS</t>
        </is>
      </c>
      <c r="G717" t="n">
        <v>2.2</v>
      </c>
      <c r="H717" t="n">
        <v>0</v>
      </c>
      <c r="I717" t="n">
        <v>0</v>
      </c>
      <c r="J717" t="n">
        <v>0</v>
      </c>
      <c r="K717" t="n">
        <v>0</v>
      </c>
      <c r="L717" t="n">
        <v>0</v>
      </c>
      <c r="M717" t="n">
        <v>0</v>
      </c>
      <c r="N717" t="n">
        <v>0</v>
      </c>
      <c r="O717" t="n">
        <v>0</v>
      </c>
      <c r="P717" t="n">
        <v>0</v>
      </c>
      <c r="Q717" t="n">
        <v>0</v>
      </c>
      <c r="R717" s="2" t="inlineStr"/>
    </row>
    <row r="718" ht="15" customHeight="1">
      <c r="A718" t="inlineStr">
        <is>
          <t>A 12648-2025</t>
        </is>
      </c>
      <c r="B718" s="1" t="n">
        <v>45733</v>
      </c>
      <c r="C718" s="1" t="n">
        <v>45742</v>
      </c>
      <c r="D718" t="inlineStr">
        <is>
          <t>ÖREBRO LÄN</t>
        </is>
      </c>
      <c r="E718" t="inlineStr">
        <is>
          <t>HÄLLEFORS</t>
        </is>
      </c>
      <c r="F718" t="inlineStr">
        <is>
          <t>Bergvik skog väst AB</t>
        </is>
      </c>
      <c r="G718" t="n">
        <v>5</v>
      </c>
      <c r="H718" t="n">
        <v>0</v>
      </c>
      <c r="I718" t="n">
        <v>0</v>
      </c>
      <c r="J718" t="n">
        <v>0</v>
      </c>
      <c r="K718" t="n">
        <v>0</v>
      </c>
      <c r="L718" t="n">
        <v>0</v>
      </c>
      <c r="M718" t="n">
        <v>0</v>
      </c>
      <c r="N718" t="n">
        <v>0</v>
      </c>
      <c r="O718" t="n">
        <v>0</v>
      </c>
      <c r="P718" t="n">
        <v>0</v>
      </c>
      <c r="Q718" t="n">
        <v>0</v>
      </c>
      <c r="R718" s="2" t="inlineStr"/>
    </row>
    <row r="719">
      <c r="A719" t="inlineStr">
        <is>
          <t>A 12649-2025</t>
        </is>
      </c>
      <c r="B719" s="1" t="n">
        <v>45733</v>
      </c>
      <c r="C719" s="1" t="n">
        <v>45742</v>
      </c>
      <c r="D719" t="inlineStr">
        <is>
          <t>ÖREBRO LÄN</t>
        </is>
      </c>
      <c r="E719" t="inlineStr">
        <is>
          <t>HÄLLEFORS</t>
        </is>
      </c>
      <c r="F719" t="inlineStr">
        <is>
          <t>Bergvik skog väst AB</t>
        </is>
      </c>
      <c r="G719" t="n">
        <v>3.1</v>
      </c>
      <c r="H719" t="n">
        <v>0</v>
      </c>
      <c r="I719" t="n">
        <v>0</v>
      </c>
      <c r="J719" t="n">
        <v>0</v>
      </c>
      <c r="K719" t="n">
        <v>0</v>
      </c>
      <c r="L719" t="n">
        <v>0</v>
      </c>
      <c r="M719" t="n">
        <v>0</v>
      </c>
      <c r="N719" t="n">
        <v>0</v>
      </c>
      <c r="O719" t="n">
        <v>0</v>
      </c>
      <c r="P719" t="n">
        <v>0</v>
      </c>
      <c r="Q719" t="n">
        <v>0</v>
      </c>
      <c r="R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2025-03-26T17:37:11Z</dcterms:created>
  <dcterms:modified xmlns:dcterms="http://purl.org/dc/terms/" xmlns:xsi="http://www.w3.org/2001/XMLSchema-instance" xsi:type="dcterms:W3CDTF">2025-03-26T17:37:12Z</dcterms:modified>
</cp:coreProperties>
</file>