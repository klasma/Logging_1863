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46189</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46189</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46189</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44397-2025</t>
        </is>
      </c>
      <c r="B8" s="1" t="n">
        <v>45916.50061342592</v>
      </c>
      <c r="C8" s="1" t="n">
        <v>46189</v>
      </c>
      <c r="D8" t="inlineStr">
        <is>
          <t>ÖREBRO LÄN</t>
        </is>
      </c>
      <c r="E8" t="inlineStr">
        <is>
          <t>HÄLLEFORS</t>
        </is>
      </c>
      <c r="F8" t="inlineStr">
        <is>
          <t>Bergvik skog väst AB</t>
        </is>
      </c>
      <c r="G8" t="n">
        <v>6.5</v>
      </c>
      <c r="H8" t="n">
        <v>1</v>
      </c>
      <c r="I8" t="n">
        <v>1</v>
      </c>
      <c r="J8" t="n">
        <v>1</v>
      </c>
      <c r="K8" t="n">
        <v>0</v>
      </c>
      <c r="L8" t="n">
        <v>0</v>
      </c>
      <c r="M8" t="n">
        <v>0</v>
      </c>
      <c r="N8" t="n">
        <v>0</v>
      </c>
      <c r="O8" t="n">
        <v>1</v>
      </c>
      <c r="P8" t="n">
        <v>0</v>
      </c>
      <c r="Q8" t="n">
        <v>2</v>
      </c>
      <c r="R8" s="2" t="inlineStr">
        <is>
          <t>Ullticka
Grön sköldmossa</t>
        </is>
      </c>
      <c r="S8">
        <f>HYPERLINK("https://klasma.github.io/Logging_1863/artfynd/A 44397-2025 artfynd.xlsx", "A 44397-2025")</f>
        <v/>
      </c>
      <c r="T8">
        <f>HYPERLINK("https://klasma.github.io/Logging_1863/kartor/A 44397-2025 karta.png", "A 44397-2025")</f>
        <v/>
      </c>
      <c r="V8">
        <f>HYPERLINK("https://klasma.github.io/Logging_1863/klagomål/A 44397-2025 FSC-klagomål.docx", "A 44397-2025")</f>
        <v/>
      </c>
      <c r="W8">
        <f>HYPERLINK("https://klasma.github.io/Logging_1863/klagomålsmail/A 44397-2025 FSC-klagomål mail.docx", "A 44397-2025")</f>
        <v/>
      </c>
      <c r="X8">
        <f>HYPERLINK("https://klasma.github.io/Logging_1863/tillsyn/A 44397-2025 tillsynsbegäran.docx", "A 44397-2025")</f>
        <v/>
      </c>
      <c r="Y8">
        <f>HYPERLINK("https://klasma.github.io/Logging_1863/tillsynsmail/A 44397-2025 tillsynsbegäran mail.docx", "A 44397-2025")</f>
        <v/>
      </c>
    </row>
    <row r="9" ht="15" customHeight="1">
      <c r="A9" t="inlineStr">
        <is>
          <t>A 44402-2025</t>
        </is>
      </c>
      <c r="B9" s="1" t="n">
        <v>45916.51012731482</v>
      </c>
      <c r="C9" s="1" t="n">
        <v>46189</v>
      </c>
      <c r="D9" t="inlineStr">
        <is>
          <t>ÖREBRO LÄN</t>
        </is>
      </c>
      <c r="E9" t="inlineStr">
        <is>
          <t>HÄLLEFORS</t>
        </is>
      </c>
      <c r="F9" t="inlineStr">
        <is>
          <t>Bergvik skog väst AB</t>
        </is>
      </c>
      <c r="G9" t="n">
        <v>1.8</v>
      </c>
      <c r="H9" t="n">
        <v>0</v>
      </c>
      <c r="I9" t="n">
        <v>1</v>
      </c>
      <c r="J9" t="n">
        <v>1</v>
      </c>
      <c r="K9" t="n">
        <v>0</v>
      </c>
      <c r="L9" t="n">
        <v>0</v>
      </c>
      <c r="M9" t="n">
        <v>0</v>
      </c>
      <c r="N9" t="n">
        <v>0</v>
      </c>
      <c r="O9" t="n">
        <v>1</v>
      </c>
      <c r="P9" t="n">
        <v>0</v>
      </c>
      <c r="Q9" t="n">
        <v>2</v>
      </c>
      <c r="R9" s="2" t="inlineStr">
        <is>
          <t>Garnlav
Vedticka</t>
        </is>
      </c>
      <c r="S9">
        <f>HYPERLINK("https://klasma.github.io/Logging_1863/artfynd/A 44402-2025 artfynd.xlsx", "A 44402-2025")</f>
        <v/>
      </c>
      <c r="T9">
        <f>HYPERLINK("https://klasma.github.io/Logging_1863/kartor/A 44402-2025 karta.png", "A 44402-2025")</f>
        <v/>
      </c>
      <c r="V9">
        <f>HYPERLINK("https://klasma.github.io/Logging_1863/klagomål/A 44402-2025 FSC-klagomål.docx", "A 44402-2025")</f>
        <v/>
      </c>
      <c r="W9">
        <f>HYPERLINK("https://klasma.github.io/Logging_1863/klagomålsmail/A 44402-2025 FSC-klagomål mail.docx", "A 44402-2025")</f>
        <v/>
      </c>
      <c r="X9">
        <f>HYPERLINK("https://klasma.github.io/Logging_1863/tillsyn/A 44402-2025 tillsynsbegäran.docx", "A 44402-2025")</f>
        <v/>
      </c>
      <c r="Y9">
        <f>HYPERLINK("https://klasma.github.io/Logging_1863/tillsynsmail/A 44402-2025 tillsynsbegäran mail.docx", "A 44402-2025")</f>
        <v/>
      </c>
    </row>
    <row r="10" ht="15" customHeight="1">
      <c r="A10" t="inlineStr">
        <is>
          <t>A 5360-2022</t>
        </is>
      </c>
      <c r="B10" s="1" t="n">
        <v>44594</v>
      </c>
      <c r="C10" s="1" t="n">
        <v>46189</v>
      </c>
      <c r="D10" t="inlineStr">
        <is>
          <t>ÖREBRO LÄN</t>
        </is>
      </c>
      <c r="E10" t="inlineStr">
        <is>
          <t>HÄLLEFORS</t>
        </is>
      </c>
      <c r="G10" t="n">
        <v>3.7</v>
      </c>
      <c r="H10" t="n">
        <v>0</v>
      </c>
      <c r="I10" t="n">
        <v>2</v>
      </c>
      <c r="J10" t="n">
        <v>0</v>
      </c>
      <c r="K10" t="n">
        <v>0</v>
      </c>
      <c r="L10" t="n">
        <v>0</v>
      </c>
      <c r="M10" t="n">
        <v>0</v>
      </c>
      <c r="N10" t="n">
        <v>0</v>
      </c>
      <c r="O10" t="n">
        <v>0</v>
      </c>
      <c r="P10" t="n">
        <v>0</v>
      </c>
      <c r="Q10" t="n">
        <v>2</v>
      </c>
      <c r="R10" s="2" t="inlineStr">
        <is>
          <t>Mörk husmossa
Smal svampklubba</t>
        </is>
      </c>
      <c r="S10">
        <f>HYPERLINK("https://klasma.github.io/Logging_1863/artfynd/A 5360-2022 artfynd.xlsx", "A 5360-2022")</f>
        <v/>
      </c>
      <c r="T10">
        <f>HYPERLINK("https://klasma.github.io/Logging_1863/kartor/A 5360-2022 karta.png", "A 5360-2022")</f>
        <v/>
      </c>
      <c r="V10">
        <f>HYPERLINK("https://klasma.github.io/Logging_1863/klagomål/A 5360-2022 FSC-klagomål.docx", "A 5360-2022")</f>
        <v/>
      </c>
      <c r="W10">
        <f>HYPERLINK("https://klasma.github.io/Logging_1863/klagomålsmail/A 5360-2022 FSC-klagomål mail.docx", "A 5360-2022")</f>
        <v/>
      </c>
      <c r="X10">
        <f>HYPERLINK("https://klasma.github.io/Logging_1863/tillsyn/A 5360-2022 tillsynsbegäran.docx", "A 5360-2022")</f>
        <v/>
      </c>
      <c r="Y10">
        <f>HYPERLINK("https://klasma.github.io/Logging_1863/tillsynsmail/A 5360-2022 tillsynsbegäran mail.docx", "A 5360-2022")</f>
        <v/>
      </c>
    </row>
    <row r="11" ht="15" customHeight="1">
      <c r="A11" t="inlineStr">
        <is>
          <t>A 59521-2025</t>
        </is>
      </c>
      <c r="B11" s="1" t="n">
        <v>45989.65802083333</v>
      </c>
      <c r="C11" s="1" t="n">
        <v>46189</v>
      </c>
      <c r="D11" t="inlineStr">
        <is>
          <t>ÖREBRO LÄN</t>
        </is>
      </c>
      <c r="E11" t="inlineStr">
        <is>
          <t>HÄLLEFORS</t>
        </is>
      </c>
      <c r="F11" t="inlineStr">
        <is>
          <t>Sveaskog</t>
        </is>
      </c>
      <c r="G11" t="n">
        <v>8.800000000000001</v>
      </c>
      <c r="H11" t="n">
        <v>2</v>
      </c>
      <c r="I11" t="n">
        <v>0</v>
      </c>
      <c r="J11" t="n">
        <v>0</v>
      </c>
      <c r="K11" t="n">
        <v>0</v>
      </c>
      <c r="L11" t="n">
        <v>0</v>
      </c>
      <c r="M11" t="n">
        <v>0</v>
      </c>
      <c r="N11" t="n">
        <v>0</v>
      </c>
      <c r="O11" t="n">
        <v>0</v>
      </c>
      <c r="P11" t="n">
        <v>0</v>
      </c>
      <c r="Q11" t="n">
        <v>2</v>
      </c>
      <c r="R11" s="2" t="inlineStr">
        <is>
          <t>Gråspett
Blåsippa</t>
        </is>
      </c>
      <c r="S11">
        <f>HYPERLINK("https://klasma.github.io/Logging_1863/artfynd/A 59521-2025 artfynd.xlsx", "A 59521-2025")</f>
        <v/>
      </c>
      <c r="T11">
        <f>HYPERLINK("https://klasma.github.io/Logging_1863/kartor/A 59521-2025 karta.png", "A 59521-2025")</f>
        <v/>
      </c>
      <c r="V11">
        <f>HYPERLINK("https://klasma.github.io/Logging_1863/klagomål/A 59521-2025 FSC-klagomål.docx", "A 59521-2025")</f>
        <v/>
      </c>
      <c r="W11">
        <f>HYPERLINK("https://klasma.github.io/Logging_1863/klagomålsmail/A 59521-2025 FSC-klagomål mail.docx", "A 59521-2025")</f>
        <v/>
      </c>
      <c r="X11">
        <f>HYPERLINK("https://klasma.github.io/Logging_1863/tillsyn/A 59521-2025 tillsynsbegäran.docx", "A 59521-2025")</f>
        <v/>
      </c>
      <c r="Y11">
        <f>HYPERLINK("https://klasma.github.io/Logging_1863/tillsynsmail/A 59521-2025 tillsynsbegäran mail.docx", "A 59521-2025")</f>
        <v/>
      </c>
      <c r="Z11">
        <f>HYPERLINK("https://klasma.github.io/Logging_1863/fåglar/A 59521-2025 prioriterade fågelarter.docx", "A 59521-2025")</f>
        <v/>
      </c>
    </row>
    <row r="12" ht="15" customHeight="1">
      <c r="A12" t="inlineStr">
        <is>
          <t>A 14340-2026</t>
        </is>
      </c>
      <c r="B12" s="1" t="n">
        <v>46100.32818287037</v>
      </c>
      <c r="C12" s="1" t="n">
        <v>46189</v>
      </c>
      <c r="D12" t="inlineStr">
        <is>
          <t>ÖREBRO LÄN</t>
        </is>
      </c>
      <c r="E12" t="inlineStr">
        <is>
          <t>HÄLLEFORS</t>
        </is>
      </c>
      <c r="F12" t="inlineStr">
        <is>
          <t>Sveaskog</t>
        </is>
      </c>
      <c r="G12" t="n">
        <v>1.7</v>
      </c>
      <c r="H12" t="n">
        <v>1</v>
      </c>
      <c r="I12" t="n">
        <v>0</v>
      </c>
      <c r="J12" t="n">
        <v>2</v>
      </c>
      <c r="K12" t="n">
        <v>0</v>
      </c>
      <c r="L12" t="n">
        <v>0</v>
      </c>
      <c r="M12" t="n">
        <v>0</v>
      </c>
      <c r="N12" t="n">
        <v>0</v>
      </c>
      <c r="O12" t="n">
        <v>2</v>
      </c>
      <c r="P12" t="n">
        <v>0</v>
      </c>
      <c r="Q12" t="n">
        <v>2</v>
      </c>
      <c r="R12" s="2" t="inlineStr">
        <is>
          <t>Tretåig hackspett
Vedskivlav</t>
        </is>
      </c>
      <c r="S12">
        <f>HYPERLINK("https://klasma.github.io/Logging_1863/artfynd/A 14340-2026 artfynd.xlsx", "A 14340-2026")</f>
        <v/>
      </c>
      <c r="T12">
        <f>HYPERLINK("https://klasma.github.io/Logging_1863/kartor/A 14340-2026 karta.png", "A 14340-2026")</f>
        <v/>
      </c>
      <c r="V12">
        <f>HYPERLINK("https://klasma.github.io/Logging_1863/klagomål/A 14340-2026 FSC-klagomål.docx", "A 14340-2026")</f>
        <v/>
      </c>
      <c r="W12">
        <f>HYPERLINK("https://klasma.github.io/Logging_1863/klagomålsmail/A 14340-2026 FSC-klagomål mail.docx", "A 14340-2026")</f>
        <v/>
      </c>
      <c r="X12">
        <f>HYPERLINK("https://klasma.github.io/Logging_1863/tillsyn/A 14340-2026 tillsynsbegäran.docx", "A 14340-2026")</f>
        <v/>
      </c>
      <c r="Y12">
        <f>HYPERLINK("https://klasma.github.io/Logging_1863/tillsynsmail/A 14340-2026 tillsynsbegäran mail.docx", "A 14340-2026")</f>
        <v/>
      </c>
      <c r="Z12">
        <f>HYPERLINK("https://klasma.github.io/Logging_1863/fåglar/A 14340-2026 prioriterade fågelarter.docx", "A 14340-2026")</f>
        <v/>
      </c>
    </row>
    <row r="13" ht="15" customHeight="1">
      <c r="A13" t="inlineStr">
        <is>
          <t>A 23421-2026</t>
        </is>
      </c>
      <c r="B13" s="1" t="n">
        <v>46163.31224537037</v>
      </c>
      <c r="C13" s="1" t="n">
        <v>46189</v>
      </c>
      <c r="D13" t="inlineStr">
        <is>
          <t>ÖREBRO LÄN</t>
        </is>
      </c>
      <c r="E13" t="inlineStr">
        <is>
          <t>HÄLLEFORS</t>
        </is>
      </c>
      <c r="F13" t="inlineStr">
        <is>
          <t>Sveaskog</t>
        </is>
      </c>
      <c r="G13" t="n">
        <v>4.6</v>
      </c>
      <c r="H13" t="n">
        <v>1</v>
      </c>
      <c r="I13" t="n">
        <v>1</v>
      </c>
      <c r="J13" t="n">
        <v>0</v>
      </c>
      <c r="K13" t="n">
        <v>0</v>
      </c>
      <c r="L13" t="n">
        <v>0</v>
      </c>
      <c r="M13" t="n">
        <v>0</v>
      </c>
      <c r="N13" t="n">
        <v>0</v>
      </c>
      <c r="O13" t="n">
        <v>0</v>
      </c>
      <c r="P13" t="n">
        <v>0</v>
      </c>
      <c r="Q13" t="n">
        <v>2</v>
      </c>
      <c r="R13" s="2" t="inlineStr">
        <is>
          <t>Bollvitmossa
Mattlummer</t>
        </is>
      </c>
      <c r="S13">
        <f>HYPERLINK("https://klasma.github.io/Logging_1863/artfynd/A 23421-2026 artfynd.xlsx", "A 23421-2026")</f>
        <v/>
      </c>
      <c r="T13">
        <f>HYPERLINK("https://klasma.github.io/Logging_1863/kartor/A 23421-2026 karta.png", "A 23421-2026")</f>
        <v/>
      </c>
      <c r="V13">
        <f>HYPERLINK("https://klasma.github.io/Logging_1863/klagomål/A 23421-2026 FSC-klagomål.docx", "A 23421-2026")</f>
        <v/>
      </c>
      <c r="W13">
        <f>HYPERLINK("https://klasma.github.io/Logging_1863/klagomålsmail/A 23421-2026 FSC-klagomål mail.docx", "A 23421-2026")</f>
        <v/>
      </c>
      <c r="X13">
        <f>HYPERLINK("https://klasma.github.io/Logging_1863/tillsyn/A 23421-2026 tillsynsbegäran.docx", "A 23421-2026")</f>
        <v/>
      </c>
      <c r="Y13">
        <f>HYPERLINK("https://klasma.github.io/Logging_1863/tillsynsmail/A 23421-2026 tillsynsbegäran mail.docx", "A 23421-2026")</f>
        <v/>
      </c>
    </row>
    <row r="14" ht="15" customHeight="1">
      <c r="A14" t="inlineStr">
        <is>
          <t>A 18047-2026</t>
        </is>
      </c>
      <c r="B14" s="1" t="n">
        <v>46125.42555555556</v>
      </c>
      <c r="C14" s="1" t="n">
        <v>46189</v>
      </c>
      <c r="D14" t="inlineStr">
        <is>
          <t>ÖREBRO LÄN</t>
        </is>
      </c>
      <c r="E14" t="inlineStr">
        <is>
          <t>HÄLLEFORS</t>
        </is>
      </c>
      <c r="F14" t="inlineStr">
        <is>
          <t>Sveaskog</t>
        </is>
      </c>
      <c r="G14" t="n">
        <v>3.4</v>
      </c>
      <c r="H14" t="n">
        <v>2</v>
      </c>
      <c r="I14" t="n">
        <v>0</v>
      </c>
      <c r="J14" t="n">
        <v>0</v>
      </c>
      <c r="K14" t="n">
        <v>0</v>
      </c>
      <c r="L14" t="n">
        <v>0</v>
      </c>
      <c r="M14" t="n">
        <v>0</v>
      </c>
      <c r="N14" t="n">
        <v>0</v>
      </c>
      <c r="O14" t="n">
        <v>0</v>
      </c>
      <c r="P14" t="n">
        <v>0</v>
      </c>
      <c r="Q14" t="n">
        <v>2</v>
      </c>
      <c r="R14" s="2" t="inlineStr">
        <is>
          <t>Mattlummer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row>
    <row r="15" ht="15" customHeight="1">
      <c r="A15" t="inlineStr">
        <is>
          <t>A 16932-2025</t>
        </is>
      </c>
      <c r="B15" s="1" t="n">
        <v>45755.40261574074</v>
      </c>
      <c r="C15" s="1" t="n">
        <v>46189</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20696-2026</t>
        </is>
      </c>
      <c r="B16" s="1" t="n">
        <v>46141.46914351852</v>
      </c>
      <c r="C16" s="1" t="n">
        <v>46189</v>
      </c>
      <c r="D16" t="inlineStr">
        <is>
          <t>ÖREBRO LÄN</t>
        </is>
      </c>
      <c r="E16" t="inlineStr">
        <is>
          <t>HÄLLEFORS</t>
        </is>
      </c>
      <c r="F16" t="inlineStr">
        <is>
          <t>Sveaskog</t>
        </is>
      </c>
      <c r="G16" t="n">
        <v>7.5</v>
      </c>
      <c r="H16" t="n">
        <v>1</v>
      </c>
      <c r="I16" t="n">
        <v>0</v>
      </c>
      <c r="J16" t="n">
        <v>1</v>
      </c>
      <c r="K16" t="n">
        <v>0</v>
      </c>
      <c r="L16" t="n">
        <v>0</v>
      </c>
      <c r="M16" t="n">
        <v>0</v>
      </c>
      <c r="N16" t="n">
        <v>0</v>
      </c>
      <c r="O16" t="n">
        <v>1</v>
      </c>
      <c r="P16" t="n">
        <v>0</v>
      </c>
      <c r="Q16" t="n">
        <v>2</v>
      </c>
      <c r="R16" s="2" t="inlineStr">
        <is>
          <t>Kolflarnlav
Revlummer</t>
        </is>
      </c>
      <c r="S16">
        <f>HYPERLINK("https://klasma.github.io/Logging_1863/artfynd/A 20696-2026 artfynd.xlsx", "A 20696-2026")</f>
        <v/>
      </c>
      <c r="T16">
        <f>HYPERLINK("https://klasma.github.io/Logging_1863/kartor/A 20696-2026 karta.png", "A 20696-2026")</f>
        <v/>
      </c>
      <c r="V16">
        <f>HYPERLINK("https://klasma.github.io/Logging_1863/klagomål/A 20696-2026 FSC-klagomål.docx", "A 20696-2026")</f>
        <v/>
      </c>
      <c r="W16">
        <f>HYPERLINK("https://klasma.github.io/Logging_1863/klagomålsmail/A 20696-2026 FSC-klagomål mail.docx", "A 20696-2026")</f>
        <v/>
      </c>
      <c r="X16">
        <f>HYPERLINK("https://klasma.github.io/Logging_1863/tillsyn/A 20696-2026 tillsynsbegäran.docx", "A 20696-2026")</f>
        <v/>
      </c>
      <c r="Y16">
        <f>HYPERLINK("https://klasma.github.io/Logging_1863/tillsynsmail/A 20696-2026 tillsynsbegäran mail.docx", "A 20696-2026")</f>
        <v/>
      </c>
    </row>
    <row r="17" ht="15" customHeight="1">
      <c r="A17" t="inlineStr">
        <is>
          <t>A 34050-2025</t>
        </is>
      </c>
      <c r="B17" s="1" t="n">
        <v>45845.40576388889</v>
      </c>
      <c r="C17" s="1" t="n">
        <v>46189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20695-2026</t>
        </is>
      </c>
      <c r="B18" s="1" t="n">
        <v>46141.46851851852</v>
      </c>
      <c r="C18" s="1" t="n">
        <v>46189</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46189</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46189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46189</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46189</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28598-2024</t>
        </is>
      </c>
      <c r="B23" s="1" t="n">
        <v>45478.42475694444</v>
      </c>
      <c r="C23" s="1" t="n">
        <v>46189</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39105-2024</t>
        </is>
      </c>
      <c r="B24" s="1" t="n">
        <v>45548.57174768519</v>
      </c>
      <c r="C24" s="1" t="n">
        <v>46189</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41834-2023</t>
        </is>
      </c>
      <c r="B25" s="1" t="n">
        <v>45176</v>
      </c>
      <c r="C25" s="1" t="n">
        <v>46189</v>
      </c>
      <c r="D25" t="inlineStr">
        <is>
          <t>ÖREBRO LÄN</t>
        </is>
      </c>
      <c r="E25" t="inlineStr">
        <is>
          <t>HÄLLEFORS</t>
        </is>
      </c>
      <c r="F25" t="inlineStr">
        <is>
          <t>Bergvik skog väst AB</t>
        </is>
      </c>
      <c r="G25" t="n">
        <v>3.4</v>
      </c>
      <c r="H25" t="n">
        <v>1</v>
      </c>
      <c r="I25" t="n">
        <v>1</v>
      </c>
      <c r="J25" t="n">
        <v>0</v>
      </c>
      <c r="K25" t="n">
        <v>0</v>
      </c>
      <c r="L25" t="n">
        <v>0</v>
      </c>
      <c r="M25" t="n">
        <v>0</v>
      </c>
      <c r="N25" t="n">
        <v>0</v>
      </c>
      <c r="O25" t="n">
        <v>0</v>
      </c>
      <c r="P25" t="n">
        <v>0</v>
      </c>
      <c r="Q25" t="n">
        <v>1</v>
      </c>
      <c r="R25" s="2" t="inlineStr">
        <is>
          <t>Plattlummer</t>
        </is>
      </c>
      <c r="S25">
        <f>HYPERLINK("https://klasma.github.io/Logging_1863/artfynd/A 41834-2023 artfynd.xlsx", "A 41834-2023")</f>
        <v/>
      </c>
      <c r="T25">
        <f>HYPERLINK("https://klasma.github.io/Logging_1863/kartor/A 41834-2023 karta.png", "A 41834-2023")</f>
        <v/>
      </c>
      <c r="V25">
        <f>HYPERLINK("https://klasma.github.io/Logging_1863/klagomål/A 41834-2023 FSC-klagomål.docx", "A 41834-2023")</f>
        <v/>
      </c>
      <c r="W25">
        <f>HYPERLINK("https://klasma.github.io/Logging_1863/klagomålsmail/A 41834-2023 FSC-klagomål mail.docx", "A 41834-2023")</f>
        <v/>
      </c>
      <c r="X25">
        <f>HYPERLINK("https://klasma.github.io/Logging_1863/tillsyn/A 41834-2023 tillsynsbegäran.docx", "A 41834-2023")</f>
        <v/>
      </c>
      <c r="Y25">
        <f>HYPERLINK("https://klasma.github.io/Logging_1863/tillsynsmail/A 41834-2023 tillsynsbegäran mail.docx", "A 41834-2023")</f>
        <v/>
      </c>
    </row>
    <row r="26" ht="15" customHeight="1">
      <c r="A26" t="inlineStr">
        <is>
          <t>A 16088-2026</t>
        </is>
      </c>
      <c r="B26" s="1" t="n">
        <v>46108.57201388889</v>
      </c>
      <c r="C26" s="1" t="n">
        <v>46189</v>
      </c>
      <c r="D26" t="inlineStr">
        <is>
          <t>ÖREBRO LÄN</t>
        </is>
      </c>
      <c r="E26" t="inlineStr">
        <is>
          <t>HÄLLEFORS</t>
        </is>
      </c>
      <c r="F26" t="inlineStr">
        <is>
          <t>Sveaskog</t>
        </is>
      </c>
      <c r="G26" t="n">
        <v>4.8</v>
      </c>
      <c r="H26" t="n">
        <v>1</v>
      </c>
      <c r="I26" t="n">
        <v>0</v>
      </c>
      <c r="J26" t="n">
        <v>0</v>
      </c>
      <c r="K26" t="n">
        <v>0</v>
      </c>
      <c r="L26" t="n">
        <v>0</v>
      </c>
      <c r="M26" t="n">
        <v>0</v>
      </c>
      <c r="N26" t="n">
        <v>0</v>
      </c>
      <c r="O26" t="n">
        <v>0</v>
      </c>
      <c r="P26" t="n">
        <v>0</v>
      </c>
      <c r="Q26" t="n">
        <v>1</v>
      </c>
      <c r="R26" s="2" t="inlineStr">
        <is>
          <t>Tjäder</t>
        </is>
      </c>
      <c r="S26">
        <f>HYPERLINK("https://klasma.github.io/Logging_1863/artfynd/A 16088-2026 artfynd.xlsx", "A 16088-2026")</f>
        <v/>
      </c>
      <c r="T26">
        <f>HYPERLINK("https://klasma.github.io/Logging_1863/kartor/A 16088-2026 karta.png", "A 16088-2026")</f>
        <v/>
      </c>
      <c r="V26">
        <f>HYPERLINK("https://klasma.github.io/Logging_1863/klagomål/A 16088-2026 FSC-klagomål.docx", "A 16088-2026")</f>
        <v/>
      </c>
      <c r="W26">
        <f>HYPERLINK("https://klasma.github.io/Logging_1863/klagomålsmail/A 16088-2026 FSC-klagomål mail.docx", "A 16088-2026")</f>
        <v/>
      </c>
      <c r="X26">
        <f>HYPERLINK("https://klasma.github.io/Logging_1863/tillsyn/A 16088-2026 tillsynsbegäran.docx", "A 16088-2026")</f>
        <v/>
      </c>
      <c r="Y26">
        <f>HYPERLINK("https://klasma.github.io/Logging_1863/tillsynsmail/A 16088-2026 tillsynsbegäran mail.docx", "A 16088-2026")</f>
        <v/>
      </c>
      <c r="Z26">
        <f>HYPERLINK("https://klasma.github.io/Logging_1863/fåglar/A 16088-2026 prioriterade fågelarter.docx", "A 16088-2026")</f>
        <v/>
      </c>
    </row>
    <row r="27" ht="15" customHeight="1">
      <c r="A27" t="inlineStr">
        <is>
          <t>A 22246-2026</t>
        </is>
      </c>
      <c r="B27" s="1" t="n">
        <v>46154.33288194444</v>
      </c>
      <c r="C27" s="1" t="n">
        <v>46189</v>
      </c>
      <c r="D27" t="inlineStr">
        <is>
          <t>ÖREBRO LÄN</t>
        </is>
      </c>
      <c r="E27" t="inlineStr">
        <is>
          <t>HÄLLEFORS</t>
        </is>
      </c>
      <c r="F27" t="inlineStr">
        <is>
          <t>Sveaskog</t>
        </is>
      </c>
      <c r="G27" t="n">
        <v>13.1</v>
      </c>
      <c r="H27" t="n">
        <v>1</v>
      </c>
      <c r="I27" t="n">
        <v>0</v>
      </c>
      <c r="J27" t="n">
        <v>0</v>
      </c>
      <c r="K27" t="n">
        <v>0</v>
      </c>
      <c r="L27" t="n">
        <v>0</v>
      </c>
      <c r="M27" t="n">
        <v>0</v>
      </c>
      <c r="N27" t="n">
        <v>0</v>
      </c>
      <c r="O27" t="n">
        <v>0</v>
      </c>
      <c r="P27" t="n">
        <v>0</v>
      </c>
      <c r="Q27" t="n">
        <v>1</v>
      </c>
      <c r="R27" s="2" t="inlineStr">
        <is>
          <t>Revlummer</t>
        </is>
      </c>
      <c r="S27">
        <f>HYPERLINK("https://klasma.github.io/Logging_1863/artfynd/A 22246-2026 artfynd.xlsx", "A 22246-2026")</f>
        <v/>
      </c>
      <c r="T27">
        <f>HYPERLINK("https://klasma.github.io/Logging_1863/kartor/A 22246-2026 karta.png", "A 22246-2026")</f>
        <v/>
      </c>
      <c r="V27">
        <f>HYPERLINK("https://klasma.github.io/Logging_1863/klagomål/A 22246-2026 FSC-klagomål.docx", "A 22246-2026")</f>
        <v/>
      </c>
      <c r="W27">
        <f>HYPERLINK("https://klasma.github.io/Logging_1863/klagomålsmail/A 22246-2026 FSC-klagomål mail.docx", "A 22246-2026")</f>
        <v/>
      </c>
      <c r="X27">
        <f>HYPERLINK("https://klasma.github.io/Logging_1863/tillsyn/A 22246-2026 tillsynsbegäran.docx", "A 22246-2026")</f>
        <v/>
      </c>
      <c r="Y27">
        <f>HYPERLINK("https://klasma.github.io/Logging_1863/tillsynsmail/A 22246-2026 tillsynsbegäran mail.docx", "A 22246-2026")</f>
        <v/>
      </c>
    </row>
    <row r="28" ht="15" customHeight="1">
      <c r="A28" t="inlineStr">
        <is>
          <t>A 22247-2026</t>
        </is>
      </c>
      <c r="B28" s="1" t="n">
        <v>46154.33359953704</v>
      </c>
      <c r="C28" s="1" t="n">
        <v>46189</v>
      </c>
      <c r="D28" t="inlineStr">
        <is>
          <t>ÖREBRO LÄN</t>
        </is>
      </c>
      <c r="E28" t="inlineStr">
        <is>
          <t>HÄLLEFORS</t>
        </is>
      </c>
      <c r="F28" t="inlineStr">
        <is>
          <t>Sveaskog</t>
        </is>
      </c>
      <c r="G28" t="n">
        <v>3.2</v>
      </c>
      <c r="H28" t="n">
        <v>1</v>
      </c>
      <c r="I28" t="n">
        <v>0</v>
      </c>
      <c r="J28" t="n">
        <v>0</v>
      </c>
      <c r="K28" t="n">
        <v>0</v>
      </c>
      <c r="L28" t="n">
        <v>0</v>
      </c>
      <c r="M28" t="n">
        <v>0</v>
      </c>
      <c r="N28" t="n">
        <v>0</v>
      </c>
      <c r="O28" t="n">
        <v>0</v>
      </c>
      <c r="P28" t="n">
        <v>0</v>
      </c>
      <c r="Q28" t="n">
        <v>1</v>
      </c>
      <c r="R28" s="2" t="inlineStr">
        <is>
          <t>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22249-2026</t>
        </is>
      </c>
      <c r="B29" s="1" t="n">
        <v>46154.33486111111</v>
      </c>
      <c r="C29" s="1" t="n">
        <v>46189</v>
      </c>
      <c r="D29" t="inlineStr">
        <is>
          <t>ÖREBRO LÄN</t>
        </is>
      </c>
      <c r="E29" t="inlineStr">
        <is>
          <t>HÄLLEFORS</t>
        </is>
      </c>
      <c r="F29" t="inlineStr">
        <is>
          <t>Sveaskog</t>
        </is>
      </c>
      <c r="G29" t="n">
        <v>7.2</v>
      </c>
      <c r="H29" t="n">
        <v>0</v>
      </c>
      <c r="I29" t="n">
        <v>0</v>
      </c>
      <c r="J29" t="n">
        <v>1</v>
      </c>
      <c r="K29" t="n">
        <v>0</v>
      </c>
      <c r="L29" t="n">
        <v>0</v>
      </c>
      <c r="M29" t="n">
        <v>0</v>
      </c>
      <c r="N29" t="n">
        <v>0</v>
      </c>
      <c r="O29" t="n">
        <v>1</v>
      </c>
      <c r="P29" t="n">
        <v>0</v>
      </c>
      <c r="Q29" t="n">
        <v>1</v>
      </c>
      <c r="R29" s="2" t="inlineStr">
        <is>
          <t>Garnlav</t>
        </is>
      </c>
      <c r="S29">
        <f>HYPERLINK("https://klasma.github.io/Logging_1863/artfynd/A 22249-2026 artfynd.xlsx", "A 22249-2026")</f>
        <v/>
      </c>
      <c r="T29">
        <f>HYPERLINK("https://klasma.github.io/Logging_1863/kartor/A 22249-2026 karta.png", "A 22249-2026")</f>
        <v/>
      </c>
      <c r="V29">
        <f>HYPERLINK("https://klasma.github.io/Logging_1863/klagomål/A 22249-2026 FSC-klagomål.docx", "A 22249-2026")</f>
        <v/>
      </c>
      <c r="W29">
        <f>HYPERLINK("https://klasma.github.io/Logging_1863/klagomålsmail/A 22249-2026 FSC-klagomål mail.docx", "A 22249-2026")</f>
        <v/>
      </c>
      <c r="X29">
        <f>HYPERLINK("https://klasma.github.io/Logging_1863/tillsyn/A 22249-2026 tillsynsbegäran.docx", "A 22249-2026")</f>
        <v/>
      </c>
      <c r="Y29">
        <f>HYPERLINK("https://klasma.github.io/Logging_1863/tillsynsmail/A 22249-2026 tillsynsbegäran mail.docx", "A 22249-2026")</f>
        <v/>
      </c>
    </row>
    <row r="30" ht="15" customHeight="1">
      <c r="A30" t="inlineStr">
        <is>
          <t>A 22248-2026</t>
        </is>
      </c>
      <c r="B30" s="1" t="n">
        <v>46154.33430555555</v>
      </c>
      <c r="C30" s="1" t="n">
        <v>46189</v>
      </c>
      <c r="D30" t="inlineStr">
        <is>
          <t>ÖREBRO LÄN</t>
        </is>
      </c>
      <c r="E30" t="inlineStr">
        <is>
          <t>HÄLLEFORS</t>
        </is>
      </c>
      <c r="F30" t="inlineStr">
        <is>
          <t>Sveaskog</t>
        </is>
      </c>
      <c r="G30" t="n">
        <v>12.5</v>
      </c>
      <c r="H30" t="n">
        <v>1</v>
      </c>
      <c r="I30" t="n">
        <v>0</v>
      </c>
      <c r="J30" t="n">
        <v>0</v>
      </c>
      <c r="K30" t="n">
        <v>0</v>
      </c>
      <c r="L30" t="n">
        <v>0</v>
      </c>
      <c r="M30" t="n">
        <v>0</v>
      </c>
      <c r="N30" t="n">
        <v>0</v>
      </c>
      <c r="O30" t="n">
        <v>0</v>
      </c>
      <c r="P30" t="n">
        <v>0</v>
      </c>
      <c r="Q30" t="n">
        <v>1</v>
      </c>
      <c r="R30" s="2" t="inlineStr">
        <is>
          <t>Revlummer</t>
        </is>
      </c>
      <c r="S30">
        <f>HYPERLINK("https://klasma.github.io/Logging_1863/artfynd/A 22248-2026 artfynd.xlsx", "A 22248-2026")</f>
        <v/>
      </c>
      <c r="T30">
        <f>HYPERLINK("https://klasma.github.io/Logging_1863/kartor/A 22248-2026 karta.png", "A 22248-2026")</f>
        <v/>
      </c>
      <c r="V30">
        <f>HYPERLINK("https://klasma.github.io/Logging_1863/klagomål/A 22248-2026 FSC-klagomål.docx", "A 22248-2026")</f>
        <v/>
      </c>
      <c r="W30">
        <f>HYPERLINK("https://klasma.github.io/Logging_1863/klagomålsmail/A 22248-2026 FSC-klagomål mail.docx", "A 22248-2026")</f>
        <v/>
      </c>
      <c r="X30">
        <f>HYPERLINK("https://klasma.github.io/Logging_1863/tillsyn/A 22248-2026 tillsynsbegäran.docx", "A 22248-2026")</f>
        <v/>
      </c>
      <c r="Y30">
        <f>HYPERLINK("https://klasma.github.io/Logging_1863/tillsynsmail/A 22248-2026 tillsynsbegäran mail.docx", "A 22248-2026")</f>
        <v/>
      </c>
    </row>
    <row r="31" ht="15" customHeight="1">
      <c r="A31" t="inlineStr">
        <is>
          <t>A 60162-2022</t>
        </is>
      </c>
      <c r="B31" s="1" t="n">
        <v>44909</v>
      </c>
      <c r="C31" s="1" t="n">
        <v>46189</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18048-2026</t>
        </is>
      </c>
      <c r="B32" s="1" t="n">
        <v>46125.42628472222</v>
      </c>
      <c r="C32" s="1" t="n">
        <v>46189</v>
      </c>
      <c r="D32" t="inlineStr">
        <is>
          <t>ÖREBRO LÄN</t>
        </is>
      </c>
      <c r="E32" t="inlineStr">
        <is>
          <t>HÄLLEFORS</t>
        </is>
      </c>
      <c r="F32" t="inlineStr">
        <is>
          <t>Sveaskog</t>
        </is>
      </c>
      <c r="G32" t="n">
        <v>1.2</v>
      </c>
      <c r="H32" t="n">
        <v>1</v>
      </c>
      <c r="I32" t="n">
        <v>0</v>
      </c>
      <c r="J32" t="n">
        <v>0</v>
      </c>
      <c r="K32" t="n">
        <v>0</v>
      </c>
      <c r="L32" t="n">
        <v>0</v>
      </c>
      <c r="M32" t="n">
        <v>0</v>
      </c>
      <c r="N32" t="n">
        <v>0</v>
      </c>
      <c r="O32" t="n">
        <v>0</v>
      </c>
      <c r="P32" t="n">
        <v>0</v>
      </c>
      <c r="Q32" t="n">
        <v>1</v>
      </c>
      <c r="R32" s="2" t="inlineStr">
        <is>
          <t>Blåsippa</t>
        </is>
      </c>
      <c r="S32">
        <f>HYPERLINK("https://klasma.github.io/Logging_1863/artfynd/A 18048-2026 artfynd.xlsx", "A 18048-2026")</f>
        <v/>
      </c>
      <c r="T32">
        <f>HYPERLINK("https://klasma.github.io/Logging_1863/kartor/A 18048-2026 karta.png", "A 18048-2026")</f>
        <v/>
      </c>
      <c r="V32">
        <f>HYPERLINK("https://klasma.github.io/Logging_1863/klagomål/A 18048-2026 FSC-klagomål.docx", "A 18048-2026")</f>
        <v/>
      </c>
      <c r="W32">
        <f>HYPERLINK("https://klasma.github.io/Logging_1863/klagomålsmail/A 18048-2026 FSC-klagomål mail.docx", "A 18048-2026")</f>
        <v/>
      </c>
      <c r="X32">
        <f>HYPERLINK("https://klasma.github.io/Logging_1863/tillsyn/A 18048-2026 tillsynsbegäran.docx", "A 18048-2026")</f>
        <v/>
      </c>
      <c r="Y32">
        <f>HYPERLINK("https://klasma.github.io/Logging_1863/tillsynsmail/A 18048-2026 tillsynsbegäran mail.docx", "A 18048-2026")</f>
        <v/>
      </c>
    </row>
    <row r="33" ht="15" customHeight="1">
      <c r="A33" t="inlineStr">
        <is>
          <t>A 18050-2026</t>
        </is>
      </c>
      <c r="B33" s="1" t="n">
        <v>46125.42768518518</v>
      </c>
      <c r="C33" s="1" t="n">
        <v>46189</v>
      </c>
      <c r="D33" t="inlineStr">
        <is>
          <t>ÖREBRO LÄN</t>
        </is>
      </c>
      <c r="E33" t="inlineStr">
        <is>
          <t>HÄLLEFORS</t>
        </is>
      </c>
      <c r="F33" t="inlineStr">
        <is>
          <t>Sveaskog</t>
        </is>
      </c>
      <c r="G33" t="n">
        <v>10.2</v>
      </c>
      <c r="H33" t="n">
        <v>0</v>
      </c>
      <c r="I33" t="n">
        <v>0</v>
      </c>
      <c r="J33" t="n">
        <v>1</v>
      </c>
      <c r="K33" t="n">
        <v>0</v>
      </c>
      <c r="L33" t="n">
        <v>0</v>
      </c>
      <c r="M33" t="n">
        <v>0</v>
      </c>
      <c r="N33" t="n">
        <v>0</v>
      </c>
      <c r="O33" t="n">
        <v>1</v>
      </c>
      <c r="P33" t="n">
        <v>0</v>
      </c>
      <c r="Q33" t="n">
        <v>1</v>
      </c>
      <c r="R33" s="2" t="inlineStr">
        <is>
          <t>Dofttaggsvamp</t>
        </is>
      </c>
      <c r="S33">
        <f>HYPERLINK("https://klasma.github.io/Logging_1863/artfynd/A 18050-2026 artfynd.xlsx", "A 18050-2026")</f>
        <v/>
      </c>
      <c r="T33">
        <f>HYPERLINK("https://klasma.github.io/Logging_1863/kartor/A 18050-2026 karta.png", "A 18050-2026")</f>
        <v/>
      </c>
      <c r="V33">
        <f>HYPERLINK("https://klasma.github.io/Logging_1863/klagomål/A 18050-2026 FSC-klagomål.docx", "A 18050-2026")</f>
        <v/>
      </c>
      <c r="W33">
        <f>HYPERLINK("https://klasma.github.io/Logging_1863/klagomålsmail/A 18050-2026 FSC-klagomål mail.docx", "A 18050-2026")</f>
        <v/>
      </c>
      <c r="X33">
        <f>HYPERLINK("https://klasma.github.io/Logging_1863/tillsyn/A 18050-2026 tillsynsbegäran.docx", "A 18050-2026")</f>
        <v/>
      </c>
      <c r="Y33">
        <f>HYPERLINK("https://klasma.github.io/Logging_1863/tillsynsmail/A 18050-2026 tillsynsbegäran mail.docx", "A 18050-2026")</f>
        <v/>
      </c>
    </row>
    <row r="34" ht="15" customHeight="1">
      <c r="A34" t="inlineStr">
        <is>
          <t>A 421-2025</t>
        </is>
      </c>
      <c r="B34" s="1" t="n">
        <v>45663.949375</v>
      </c>
      <c r="C34" s="1" t="n">
        <v>46189</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14985-2024</t>
        </is>
      </c>
      <c r="B35" s="1" t="n">
        <v>45399.34171296296</v>
      </c>
      <c r="C35" s="1" t="n">
        <v>46189</v>
      </c>
      <c r="D35" t="inlineStr">
        <is>
          <t>ÖREBRO LÄN</t>
        </is>
      </c>
      <c r="E35" t="inlineStr">
        <is>
          <t>HÄLLEFORS</t>
        </is>
      </c>
      <c r="F35" t="inlineStr">
        <is>
          <t>Bergvik skog väst AB</t>
        </is>
      </c>
      <c r="G35" t="n">
        <v>6.8</v>
      </c>
      <c r="H35" t="n">
        <v>1</v>
      </c>
      <c r="I35" t="n">
        <v>0</v>
      </c>
      <c r="J35" t="n">
        <v>0</v>
      </c>
      <c r="K35" t="n">
        <v>0</v>
      </c>
      <c r="L35" t="n">
        <v>0</v>
      </c>
      <c r="M35" t="n">
        <v>0</v>
      </c>
      <c r="N35" t="n">
        <v>0</v>
      </c>
      <c r="O35" t="n">
        <v>0</v>
      </c>
      <c r="P35" t="n">
        <v>0</v>
      </c>
      <c r="Q35" t="n">
        <v>1</v>
      </c>
      <c r="R35" s="2" t="inlineStr">
        <is>
          <t>Mattlummer</t>
        </is>
      </c>
      <c r="S35">
        <f>HYPERLINK("https://klasma.github.io/Logging_1863/artfynd/A 14985-2024 artfynd.xlsx", "A 14985-2024")</f>
        <v/>
      </c>
      <c r="T35">
        <f>HYPERLINK("https://klasma.github.io/Logging_1863/kartor/A 14985-2024 karta.png", "A 14985-2024")</f>
        <v/>
      </c>
      <c r="V35">
        <f>HYPERLINK("https://klasma.github.io/Logging_1863/klagomål/A 14985-2024 FSC-klagomål.docx", "A 14985-2024")</f>
        <v/>
      </c>
      <c r="W35">
        <f>HYPERLINK("https://klasma.github.io/Logging_1863/klagomålsmail/A 14985-2024 FSC-klagomål mail.docx", "A 14985-2024")</f>
        <v/>
      </c>
      <c r="X35">
        <f>HYPERLINK("https://klasma.github.io/Logging_1863/tillsyn/A 14985-2024 tillsynsbegäran.docx", "A 14985-2024")</f>
        <v/>
      </c>
      <c r="Y35">
        <f>HYPERLINK("https://klasma.github.io/Logging_1863/tillsynsmail/A 14985-2024 tillsynsbegäran mail.docx", "A 14985-2024")</f>
        <v/>
      </c>
    </row>
    <row r="36" ht="15" customHeight="1">
      <c r="A36" t="inlineStr">
        <is>
          <t>A 55749-2024</t>
        </is>
      </c>
      <c r="B36" s="1" t="n">
        <v>45623.32523148148</v>
      </c>
      <c r="C36" s="1" t="n">
        <v>46189</v>
      </c>
      <c r="D36" t="inlineStr">
        <is>
          <t>ÖREBRO LÄN</t>
        </is>
      </c>
      <c r="E36" t="inlineStr">
        <is>
          <t>HÄLLEFORS</t>
        </is>
      </c>
      <c r="F36" t="inlineStr">
        <is>
          <t>Bergvik skog väst AB</t>
        </is>
      </c>
      <c r="G36" t="n">
        <v>2.9</v>
      </c>
      <c r="H36" t="n">
        <v>0</v>
      </c>
      <c r="I36" t="n">
        <v>0</v>
      </c>
      <c r="J36" t="n">
        <v>1</v>
      </c>
      <c r="K36" t="n">
        <v>0</v>
      </c>
      <c r="L36" t="n">
        <v>0</v>
      </c>
      <c r="M36" t="n">
        <v>0</v>
      </c>
      <c r="N36" t="n">
        <v>0</v>
      </c>
      <c r="O36" t="n">
        <v>1</v>
      </c>
      <c r="P36" t="n">
        <v>0</v>
      </c>
      <c r="Q36" t="n">
        <v>1</v>
      </c>
      <c r="R36" s="2" t="inlineStr">
        <is>
          <t>Garnlav</t>
        </is>
      </c>
      <c r="S36">
        <f>HYPERLINK("https://klasma.github.io/Logging_1863/artfynd/A 55749-2024 artfynd.xlsx", "A 55749-2024")</f>
        <v/>
      </c>
      <c r="T36">
        <f>HYPERLINK("https://klasma.github.io/Logging_1863/kartor/A 55749-2024 karta.png", "A 55749-2024")</f>
        <v/>
      </c>
      <c r="V36">
        <f>HYPERLINK("https://klasma.github.io/Logging_1863/klagomål/A 55749-2024 FSC-klagomål.docx", "A 55749-2024")</f>
        <v/>
      </c>
      <c r="W36">
        <f>HYPERLINK("https://klasma.github.io/Logging_1863/klagomålsmail/A 55749-2024 FSC-klagomål mail.docx", "A 55749-2024")</f>
        <v/>
      </c>
      <c r="X36">
        <f>HYPERLINK("https://klasma.github.io/Logging_1863/tillsyn/A 55749-2024 tillsynsbegäran.docx", "A 55749-2024")</f>
        <v/>
      </c>
      <c r="Y36">
        <f>HYPERLINK("https://klasma.github.io/Logging_1863/tillsynsmail/A 55749-2024 tillsynsbegäran mail.docx", "A 55749-2024")</f>
        <v/>
      </c>
    </row>
    <row r="37" ht="15" customHeight="1">
      <c r="A37" t="inlineStr">
        <is>
          <t>A 19948-2026</t>
        </is>
      </c>
      <c r="B37" s="1" t="n">
        <v>46136.38807870371</v>
      </c>
      <c r="C37" s="1" t="n">
        <v>46189</v>
      </c>
      <c r="D37" t="inlineStr">
        <is>
          <t>ÖREBRO LÄN</t>
        </is>
      </c>
      <c r="E37" t="inlineStr">
        <is>
          <t>HÄLLEFORS</t>
        </is>
      </c>
      <c r="F37" t="inlineStr">
        <is>
          <t>Bergvik skog väst AB</t>
        </is>
      </c>
      <c r="G37" t="n">
        <v>10.3</v>
      </c>
      <c r="H37" t="n">
        <v>1</v>
      </c>
      <c r="I37" t="n">
        <v>0</v>
      </c>
      <c r="J37" t="n">
        <v>0</v>
      </c>
      <c r="K37" t="n">
        <v>0</v>
      </c>
      <c r="L37" t="n">
        <v>0</v>
      </c>
      <c r="M37" t="n">
        <v>0</v>
      </c>
      <c r="N37" t="n">
        <v>0</v>
      </c>
      <c r="O37" t="n">
        <v>0</v>
      </c>
      <c r="P37" t="n">
        <v>0</v>
      </c>
      <c r="Q37" t="n">
        <v>1</v>
      </c>
      <c r="R37" s="2" t="inlineStr">
        <is>
          <t>Mattlummer</t>
        </is>
      </c>
      <c r="S37">
        <f>HYPERLINK("https://klasma.github.io/Logging_1863/artfynd/A 19948-2026 artfynd.xlsx", "A 19948-2026")</f>
        <v/>
      </c>
      <c r="T37">
        <f>HYPERLINK("https://klasma.github.io/Logging_1863/kartor/A 19948-2026 karta.png", "A 19948-2026")</f>
        <v/>
      </c>
      <c r="V37">
        <f>HYPERLINK("https://klasma.github.io/Logging_1863/klagomål/A 19948-2026 FSC-klagomål.docx", "A 19948-2026")</f>
        <v/>
      </c>
      <c r="W37">
        <f>HYPERLINK("https://klasma.github.io/Logging_1863/klagomålsmail/A 19948-2026 FSC-klagomål mail.docx", "A 19948-2026")</f>
        <v/>
      </c>
      <c r="X37">
        <f>HYPERLINK("https://klasma.github.io/Logging_1863/tillsyn/A 19948-2026 tillsynsbegäran.docx", "A 19948-2026")</f>
        <v/>
      </c>
      <c r="Y37">
        <f>HYPERLINK("https://klasma.github.io/Logging_1863/tillsynsmail/A 19948-2026 tillsynsbegäran mail.docx", "A 19948-2026")</f>
        <v/>
      </c>
    </row>
    <row r="38" ht="15" customHeight="1">
      <c r="A38" t="inlineStr">
        <is>
          <t>A 5244-2025</t>
        </is>
      </c>
      <c r="B38" s="1" t="n">
        <v>45692</v>
      </c>
      <c r="C38" s="1" t="n">
        <v>46189</v>
      </c>
      <c r="D38" t="inlineStr">
        <is>
          <t>ÖREBRO LÄN</t>
        </is>
      </c>
      <c r="E38" t="inlineStr">
        <is>
          <t>HÄLLEFORS</t>
        </is>
      </c>
      <c r="F38" t="inlineStr">
        <is>
          <t>Bergvik skog väst AB</t>
        </is>
      </c>
      <c r="G38" t="n">
        <v>9.199999999999999</v>
      </c>
      <c r="H38" t="n">
        <v>0</v>
      </c>
      <c r="I38" t="n">
        <v>0</v>
      </c>
      <c r="J38" t="n">
        <v>1</v>
      </c>
      <c r="K38" t="n">
        <v>0</v>
      </c>
      <c r="L38" t="n">
        <v>0</v>
      </c>
      <c r="M38" t="n">
        <v>0</v>
      </c>
      <c r="N38" t="n">
        <v>0</v>
      </c>
      <c r="O38" t="n">
        <v>1</v>
      </c>
      <c r="P38" t="n">
        <v>0</v>
      </c>
      <c r="Q38" t="n">
        <v>1</v>
      </c>
      <c r="R38" s="2" t="inlineStr">
        <is>
          <t>Lunglav</t>
        </is>
      </c>
      <c r="S38">
        <f>HYPERLINK("https://klasma.github.io/Logging_1863/artfynd/A 5244-2025 artfynd.xlsx", "A 5244-2025")</f>
        <v/>
      </c>
      <c r="T38">
        <f>HYPERLINK("https://klasma.github.io/Logging_1863/kartor/A 5244-2025 karta.png", "A 5244-2025")</f>
        <v/>
      </c>
      <c r="V38">
        <f>HYPERLINK("https://klasma.github.io/Logging_1863/klagomål/A 5244-2025 FSC-klagomål.docx", "A 5244-2025")</f>
        <v/>
      </c>
      <c r="W38">
        <f>HYPERLINK("https://klasma.github.io/Logging_1863/klagomålsmail/A 5244-2025 FSC-klagomål mail.docx", "A 5244-2025")</f>
        <v/>
      </c>
      <c r="X38">
        <f>HYPERLINK("https://klasma.github.io/Logging_1863/tillsyn/A 5244-2025 tillsynsbegäran.docx", "A 5244-2025")</f>
        <v/>
      </c>
      <c r="Y38">
        <f>HYPERLINK("https://klasma.github.io/Logging_1863/tillsynsmail/A 5244-2025 tillsynsbegäran mail.docx", "A 5244-2025")</f>
        <v/>
      </c>
    </row>
    <row r="39" ht="15" customHeight="1">
      <c r="A39" t="inlineStr">
        <is>
          <t>A 16923-2025</t>
        </is>
      </c>
      <c r="B39" s="1" t="n">
        <v>45755.38237268518</v>
      </c>
      <c r="C39" s="1" t="n">
        <v>46189</v>
      </c>
      <c r="D39" t="inlineStr">
        <is>
          <t>ÖREBRO LÄN</t>
        </is>
      </c>
      <c r="E39" t="inlineStr">
        <is>
          <t>HÄLLEFORS</t>
        </is>
      </c>
      <c r="F39" t="inlineStr">
        <is>
          <t>Bergvik skog väst AB</t>
        </is>
      </c>
      <c r="G39" t="n">
        <v>3.5</v>
      </c>
      <c r="H39" t="n">
        <v>1</v>
      </c>
      <c r="I39" t="n">
        <v>0</v>
      </c>
      <c r="J39" t="n">
        <v>1</v>
      </c>
      <c r="K39" t="n">
        <v>0</v>
      </c>
      <c r="L39" t="n">
        <v>0</v>
      </c>
      <c r="M39" t="n">
        <v>0</v>
      </c>
      <c r="N39" t="n">
        <v>0</v>
      </c>
      <c r="O39" t="n">
        <v>1</v>
      </c>
      <c r="P39" t="n">
        <v>0</v>
      </c>
      <c r="Q39" t="n">
        <v>1</v>
      </c>
      <c r="R39" s="2" t="inlineStr">
        <is>
          <t>Strandlummer</t>
        </is>
      </c>
      <c r="S39">
        <f>HYPERLINK("https://klasma.github.io/Logging_1863/artfynd/A 16923-2025 artfynd.xlsx", "A 16923-2025")</f>
        <v/>
      </c>
      <c r="T39">
        <f>HYPERLINK("https://klasma.github.io/Logging_1863/kartor/A 16923-2025 karta.png", "A 16923-2025")</f>
        <v/>
      </c>
      <c r="V39">
        <f>HYPERLINK("https://klasma.github.io/Logging_1863/klagomål/A 16923-2025 FSC-klagomål.docx", "A 16923-2025")</f>
        <v/>
      </c>
      <c r="W39">
        <f>HYPERLINK("https://klasma.github.io/Logging_1863/klagomålsmail/A 16923-2025 FSC-klagomål mail.docx", "A 16923-2025")</f>
        <v/>
      </c>
      <c r="X39">
        <f>HYPERLINK("https://klasma.github.io/Logging_1863/tillsyn/A 16923-2025 tillsynsbegäran.docx", "A 16923-2025")</f>
        <v/>
      </c>
      <c r="Y39">
        <f>HYPERLINK("https://klasma.github.io/Logging_1863/tillsynsmail/A 16923-2025 tillsynsbegäran mail.docx", "A 16923-2025")</f>
        <v/>
      </c>
    </row>
    <row r="40" ht="15" customHeight="1">
      <c r="A40" t="inlineStr">
        <is>
          <t>A 20354-2022</t>
        </is>
      </c>
      <c r="B40" s="1" t="n">
        <v>44699</v>
      </c>
      <c r="C40" s="1" t="n">
        <v>46189</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46189</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46189</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46189</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46189</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46189</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46189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46189</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46189</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46189</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46189</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46189</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46189</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46189</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46189</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46189</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46189</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46189</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46189</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46189</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55299-2022</t>
        </is>
      </c>
      <c r="B60" s="1" t="n">
        <v>44887</v>
      </c>
      <c r="C60" s="1" t="n">
        <v>46189</v>
      </c>
      <c r="D60" t="inlineStr">
        <is>
          <t>ÖREBRO LÄN</t>
        </is>
      </c>
      <c r="E60" t="inlineStr">
        <is>
          <t>HÄLLEFORS</t>
        </is>
      </c>
      <c r="F60" t="inlineStr">
        <is>
          <t>Bergvik skog väst AB</t>
        </is>
      </c>
      <c r="G60" t="n">
        <v>0.7</v>
      </c>
      <c r="H60" t="n">
        <v>0</v>
      </c>
      <c r="I60" t="n">
        <v>0</v>
      </c>
      <c r="J60" t="n">
        <v>0</v>
      </c>
      <c r="K60" t="n">
        <v>0</v>
      </c>
      <c r="L60" t="n">
        <v>0</v>
      </c>
      <c r="M60" t="n">
        <v>0</v>
      </c>
      <c r="N60" t="n">
        <v>0</v>
      </c>
      <c r="O60" t="n">
        <v>0</v>
      </c>
      <c r="P60" t="n">
        <v>0</v>
      </c>
      <c r="Q60" t="n">
        <v>0</v>
      </c>
      <c r="R60" s="2" t="inlineStr"/>
    </row>
    <row r="61" ht="15" customHeight="1">
      <c r="A61" t="inlineStr">
        <is>
          <t>A 35594-2021</t>
        </is>
      </c>
      <c r="B61" s="1" t="n">
        <v>44386</v>
      </c>
      <c r="C61" s="1" t="n">
        <v>46189</v>
      </c>
      <c r="D61" t="inlineStr">
        <is>
          <t>ÖREBRO LÄN</t>
        </is>
      </c>
      <c r="E61" t="inlineStr">
        <is>
          <t>HÄLLEFORS</t>
        </is>
      </c>
      <c r="F61" t="inlineStr">
        <is>
          <t>Bergvik skog väst AB</t>
        </is>
      </c>
      <c r="G61" t="n">
        <v>0.2</v>
      </c>
      <c r="H61" t="n">
        <v>0</v>
      </c>
      <c r="I61" t="n">
        <v>0</v>
      </c>
      <c r="J61" t="n">
        <v>0</v>
      </c>
      <c r="K61" t="n">
        <v>0</v>
      </c>
      <c r="L61" t="n">
        <v>0</v>
      </c>
      <c r="M61" t="n">
        <v>0</v>
      </c>
      <c r="N61" t="n">
        <v>0</v>
      </c>
      <c r="O61" t="n">
        <v>0</v>
      </c>
      <c r="P61" t="n">
        <v>0</v>
      </c>
      <c r="Q61" t="n">
        <v>0</v>
      </c>
      <c r="R61" s="2" t="inlineStr"/>
    </row>
    <row r="62" ht="15" customHeight="1">
      <c r="A62" t="inlineStr">
        <is>
          <t>A 37783-2022</t>
        </is>
      </c>
      <c r="B62" s="1" t="n">
        <v>44810.66189814815</v>
      </c>
      <c r="C62" s="1" t="n">
        <v>46189</v>
      </c>
      <c r="D62" t="inlineStr">
        <is>
          <t>ÖREBRO LÄN</t>
        </is>
      </c>
      <c r="E62" t="inlineStr">
        <is>
          <t>HÄLLEFORS</t>
        </is>
      </c>
      <c r="G62" t="n">
        <v>14.1</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46189</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46189</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46189</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46189</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46189</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39183-2022</t>
        </is>
      </c>
      <c r="B68" s="1" t="n">
        <v>44817.51229166667</v>
      </c>
      <c r="C68" s="1" t="n">
        <v>46189</v>
      </c>
      <c r="D68" t="inlineStr">
        <is>
          <t>ÖREBRO LÄN</t>
        </is>
      </c>
      <c r="E68" t="inlineStr">
        <is>
          <t>HÄLLEFORS</t>
        </is>
      </c>
      <c r="G68" t="n">
        <v>1.5</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46189</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46189</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46189</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33609-2022</t>
        </is>
      </c>
      <c r="B72" s="1" t="n">
        <v>44782</v>
      </c>
      <c r="C72" s="1" t="n">
        <v>46189</v>
      </c>
      <c r="D72" t="inlineStr">
        <is>
          <t>ÖREBRO LÄN</t>
        </is>
      </c>
      <c r="E72" t="inlineStr">
        <is>
          <t>HÄLLEFORS</t>
        </is>
      </c>
      <c r="G72" t="n">
        <v>5.7</v>
      </c>
      <c r="H72" t="n">
        <v>0</v>
      </c>
      <c r="I72" t="n">
        <v>0</v>
      </c>
      <c r="J72" t="n">
        <v>0</v>
      </c>
      <c r="K72" t="n">
        <v>0</v>
      </c>
      <c r="L72" t="n">
        <v>0</v>
      </c>
      <c r="M72" t="n">
        <v>0</v>
      </c>
      <c r="N72" t="n">
        <v>0</v>
      </c>
      <c r="O72" t="n">
        <v>0</v>
      </c>
      <c r="P72" t="n">
        <v>0</v>
      </c>
      <c r="Q72" t="n">
        <v>0</v>
      </c>
      <c r="R72" s="2" t="inlineStr"/>
    </row>
    <row r="73" ht="15" customHeight="1">
      <c r="A73" t="inlineStr">
        <is>
          <t>A 51212-2023</t>
        </is>
      </c>
      <c r="B73" s="1" t="n">
        <v>45219.44366898148</v>
      </c>
      <c r="C73" s="1" t="n">
        <v>46189</v>
      </c>
      <c r="D73" t="inlineStr">
        <is>
          <t>ÖREBRO LÄN</t>
        </is>
      </c>
      <c r="E73" t="inlineStr">
        <is>
          <t>HÄLLEFORS</t>
        </is>
      </c>
      <c r="F73" t="inlineStr">
        <is>
          <t>Bergvik skog väst AB</t>
        </is>
      </c>
      <c r="G73" t="n">
        <v>2.3</v>
      </c>
      <c r="H73" t="n">
        <v>0</v>
      </c>
      <c r="I73" t="n">
        <v>0</v>
      </c>
      <c r="J73" t="n">
        <v>0</v>
      </c>
      <c r="K73" t="n">
        <v>0</v>
      </c>
      <c r="L73" t="n">
        <v>0</v>
      </c>
      <c r="M73" t="n">
        <v>0</v>
      </c>
      <c r="N73" t="n">
        <v>0</v>
      </c>
      <c r="O73" t="n">
        <v>0</v>
      </c>
      <c r="P73" t="n">
        <v>0</v>
      </c>
      <c r="Q73" t="n">
        <v>0</v>
      </c>
      <c r="R73" s="2" t="inlineStr"/>
    </row>
    <row r="74" ht="15" customHeight="1">
      <c r="A74" t="inlineStr">
        <is>
          <t>A 51159-2023</t>
        </is>
      </c>
      <c r="B74" s="1" t="n">
        <v>45219.37791666666</v>
      </c>
      <c r="C74" s="1" t="n">
        <v>46189</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55477-2023</t>
        </is>
      </c>
      <c r="B75" s="1" t="n">
        <v>45238</v>
      </c>
      <c r="C75" s="1" t="n">
        <v>46189</v>
      </c>
      <c r="D75" t="inlineStr">
        <is>
          <t>ÖREBRO LÄN</t>
        </is>
      </c>
      <c r="E75" t="inlineStr">
        <is>
          <t>HÄLLEFORS</t>
        </is>
      </c>
      <c r="F75" t="inlineStr">
        <is>
          <t>Bergvik skog väst AB</t>
        </is>
      </c>
      <c r="G75" t="n">
        <v>6.6</v>
      </c>
      <c r="H75" t="n">
        <v>0</v>
      </c>
      <c r="I75" t="n">
        <v>0</v>
      </c>
      <c r="J75" t="n">
        <v>0</v>
      </c>
      <c r="K75" t="n">
        <v>0</v>
      </c>
      <c r="L75" t="n">
        <v>0</v>
      </c>
      <c r="M75" t="n">
        <v>0</v>
      </c>
      <c r="N75" t="n">
        <v>0</v>
      </c>
      <c r="O75" t="n">
        <v>0</v>
      </c>
      <c r="P75" t="n">
        <v>0</v>
      </c>
      <c r="Q75" t="n">
        <v>0</v>
      </c>
      <c r="R75" s="2" t="inlineStr"/>
    </row>
    <row r="76" ht="15" customHeight="1">
      <c r="A76" t="inlineStr">
        <is>
          <t>A 36635-2022</t>
        </is>
      </c>
      <c r="B76" s="1" t="n">
        <v>44804.70893518518</v>
      </c>
      <c r="C76" s="1" t="n">
        <v>46189</v>
      </c>
      <c r="D76" t="inlineStr">
        <is>
          <t>ÖREBRO LÄN</t>
        </is>
      </c>
      <c r="E76" t="inlineStr">
        <is>
          <t>HÄLLEFORS</t>
        </is>
      </c>
      <c r="G76" t="n">
        <v>2.5</v>
      </c>
      <c r="H76" t="n">
        <v>0</v>
      </c>
      <c r="I76" t="n">
        <v>0</v>
      </c>
      <c r="J76" t="n">
        <v>0</v>
      </c>
      <c r="K76" t="n">
        <v>0</v>
      </c>
      <c r="L76" t="n">
        <v>0</v>
      </c>
      <c r="M76" t="n">
        <v>0</v>
      </c>
      <c r="N76" t="n">
        <v>0</v>
      </c>
      <c r="O76" t="n">
        <v>0</v>
      </c>
      <c r="P76" t="n">
        <v>0</v>
      </c>
      <c r="Q76" t="n">
        <v>0</v>
      </c>
      <c r="R76" s="2" t="inlineStr"/>
    </row>
    <row r="77" ht="15" customHeight="1">
      <c r="A77" t="inlineStr">
        <is>
          <t>A 42863-2022</t>
        </is>
      </c>
      <c r="B77" s="1" t="n">
        <v>44832.73646990741</v>
      </c>
      <c r="C77" s="1" t="n">
        <v>46189</v>
      </c>
      <c r="D77" t="inlineStr">
        <is>
          <t>ÖREBRO LÄN</t>
        </is>
      </c>
      <c r="E77" t="inlineStr">
        <is>
          <t>HÄLLEFORS</t>
        </is>
      </c>
      <c r="G77" t="n">
        <v>7.2</v>
      </c>
      <c r="H77" t="n">
        <v>0</v>
      </c>
      <c r="I77" t="n">
        <v>0</v>
      </c>
      <c r="J77" t="n">
        <v>0</v>
      </c>
      <c r="K77" t="n">
        <v>0</v>
      </c>
      <c r="L77" t="n">
        <v>0</v>
      </c>
      <c r="M77" t="n">
        <v>0</v>
      </c>
      <c r="N77" t="n">
        <v>0</v>
      </c>
      <c r="O77" t="n">
        <v>0</v>
      </c>
      <c r="P77" t="n">
        <v>0</v>
      </c>
      <c r="Q77" t="n">
        <v>0</v>
      </c>
      <c r="R77" s="2" t="inlineStr"/>
    </row>
    <row r="78" ht="15" customHeight="1">
      <c r="A78" t="inlineStr">
        <is>
          <t>A 17120-2025</t>
        </is>
      </c>
      <c r="B78" s="1" t="n">
        <v>45755.68921296296</v>
      </c>
      <c r="C78" s="1" t="n">
        <v>46189</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40530-2022</t>
        </is>
      </c>
      <c r="B79" s="1" t="n">
        <v>44823</v>
      </c>
      <c r="C79" s="1" t="n">
        <v>46189</v>
      </c>
      <c r="D79" t="inlineStr">
        <is>
          <t>ÖREBRO LÄN</t>
        </is>
      </c>
      <c r="E79" t="inlineStr">
        <is>
          <t>HÄLLEFORS</t>
        </is>
      </c>
      <c r="G79" t="n">
        <v>0.6</v>
      </c>
      <c r="H79" t="n">
        <v>0</v>
      </c>
      <c r="I79" t="n">
        <v>0</v>
      </c>
      <c r="J79" t="n">
        <v>0</v>
      </c>
      <c r="K79" t="n">
        <v>0</v>
      </c>
      <c r="L79" t="n">
        <v>0</v>
      </c>
      <c r="M79" t="n">
        <v>0</v>
      </c>
      <c r="N79" t="n">
        <v>0</v>
      </c>
      <c r="O79" t="n">
        <v>0</v>
      </c>
      <c r="P79" t="n">
        <v>0</v>
      </c>
      <c r="Q79" t="n">
        <v>0</v>
      </c>
      <c r="R79" s="2" t="inlineStr"/>
    </row>
    <row r="80" ht="15" customHeight="1">
      <c r="A80" t="inlineStr">
        <is>
          <t>A 35243-2022</t>
        </is>
      </c>
      <c r="B80" s="1" t="n">
        <v>44798</v>
      </c>
      <c r="C80" s="1" t="n">
        <v>46189</v>
      </c>
      <c r="D80" t="inlineStr">
        <is>
          <t>ÖREBRO LÄN</t>
        </is>
      </c>
      <c r="E80" t="inlineStr">
        <is>
          <t>HÄLLEFORS</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54105-2023</t>
        </is>
      </c>
      <c r="B81" s="1" t="n">
        <v>45232</v>
      </c>
      <c r="C81" s="1" t="n">
        <v>46189</v>
      </c>
      <c r="D81" t="inlineStr">
        <is>
          <t>ÖREBRO LÄN</t>
        </is>
      </c>
      <c r="E81" t="inlineStr">
        <is>
          <t>HÄLLEFORS</t>
        </is>
      </c>
      <c r="F81" t="inlineStr">
        <is>
          <t>Kommuner</t>
        </is>
      </c>
      <c r="G81" t="n">
        <v>0.9</v>
      </c>
      <c r="H81" t="n">
        <v>0</v>
      </c>
      <c r="I81" t="n">
        <v>0</v>
      </c>
      <c r="J81" t="n">
        <v>0</v>
      </c>
      <c r="K81" t="n">
        <v>0</v>
      </c>
      <c r="L81" t="n">
        <v>0</v>
      </c>
      <c r="M81" t="n">
        <v>0</v>
      </c>
      <c r="N81" t="n">
        <v>0</v>
      </c>
      <c r="O81" t="n">
        <v>0</v>
      </c>
      <c r="P81" t="n">
        <v>0</v>
      </c>
      <c r="Q81" t="n">
        <v>0</v>
      </c>
      <c r="R81" s="2" t="inlineStr"/>
    </row>
    <row r="82" ht="15" customHeight="1">
      <c r="A82" t="inlineStr">
        <is>
          <t>A 35862-2024</t>
        </is>
      </c>
      <c r="B82" s="1" t="n">
        <v>45533.33909722222</v>
      </c>
      <c r="C82" s="1" t="n">
        <v>46189</v>
      </c>
      <c r="D82" t="inlineStr">
        <is>
          <t>ÖREBRO LÄN</t>
        </is>
      </c>
      <c r="E82" t="inlineStr">
        <is>
          <t>HÄLLEFORS</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53892-2023</t>
        </is>
      </c>
      <c r="B83" s="1" t="n">
        <v>45231</v>
      </c>
      <c r="C83" s="1" t="n">
        <v>46189</v>
      </c>
      <c r="D83" t="inlineStr">
        <is>
          <t>ÖREBRO LÄN</t>
        </is>
      </c>
      <c r="E83" t="inlineStr">
        <is>
          <t>HÄLLEFORS</t>
        </is>
      </c>
      <c r="G83" t="n">
        <v>2.3</v>
      </c>
      <c r="H83" t="n">
        <v>0</v>
      </c>
      <c r="I83" t="n">
        <v>0</v>
      </c>
      <c r="J83" t="n">
        <v>0</v>
      </c>
      <c r="K83" t="n">
        <v>0</v>
      </c>
      <c r="L83" t="n">
        <v>0</v>
      </c>
      <c r="M83" t="n">
        <v>0</v>
      </c>
      <c r="N83" t="n">
        <v>0</v>
      </c>
      <c r="O83" t="n">
        <v>0</v>
      </c>
      <c r="P83" t="n">
        <v>0</v>
      </c>
      <c r="Q83" t="n">
        <v>0</v>
      </c>
      <c r="R83" s="2" t="inlineStr"/>
    </row>
    <row r="84" ht="15" customHeight="1">
      <c r="A84" t="inlineStr">
        <is>
          <t>A 44107-2024</t>
        </is>
      </c>
      <c r="B84" s="1" t="n">
        <v>45572.63357638889</v>
      </c>
      <c r="C84" s="1" t="n">
        <v>46189</v>
      </c>
      <c r="D84" t="inlineStr">
        <is>
          <t>ÖREBRO LÄN</t>
        </is>
      </c>
      <c r="E84" t="inlineStr">
        <is>
          <t>HÄLLEFORS</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41089-2022</t>
        </is>
      </c>
      <c r="B85" s="1" t="n">
        <v>44825.64613425926</v>
      </c>
      <c r="C85" s="1" t="n">
        <v>46189</v>
      </c>
      <c r="D85" t="inlineStr">
        <is>
          <t>ÖREBRO LÄN</t>
        </is>
      </c>
      <c r="E85" t="inlineStr">
        <is>
          <t>HÄLLEFORS</t>
        </is>
      </c>
      <c r="F85" t="inlineStr">
        <is>
          <t>Sveaskog</t>
        </is>
      </c>
      <c r="G85" t="n">
        <v>3.6</v>
      </c>
      <c r="H85" t="n">
        <v>0</v>
      </c>
      <c r="I85" t="n">
        <v>0</v>
      </c>
      <c r="J85" t="n">
        <v>0</v>
      </c>
      <c r="K85" t="n">
        <v>0</v>
      </c>
      <c r="L85" t="n">
        <v>0</v>
      </c>
      <c r="M85" t="n">
        <v>0</v>
      </c>
      <c r="N85" t="n">
        <v>0</v>
      </c>
      <c r="O85" t="n">
        <v>0</v>
      </c>
      <c r="P85" t="n">
        <v>0</v>
      </c>
      <c r="Q85" t="n">
        <v>0</v>
      </c>
      <c r="R85" s="2" t="inlineStr"/>
    </row>
    <row r="86" ht="15" customHeight="1">
      <c r="A86" t="inlineStr">
        <is>
          <t>A 23036-2024</t>
        </is>
      </c>
      <c r="B86" s="1" t="n">
        <v>45450.39145833333</v>
      </c>
      <c r="C86" s="1" t="n">
        <v>46189</v>
      </c>
      <c r="D86" t="inlineStr">
        <is>
          <t>ÖREBRO LÄN</t>
        </is>
      </c>
      <c r="E86" t="inlineStr">
        <is>
          <t>HÄLLEFORS</t>
        </is>
      </c>
      <c r="G86" t="n">
        <v>1.5</v>
      </c>
      <c r="H86" t="n">
        <v>0</v>
      </c>
      <c r="I86" t="n">
        <v>0</v>
      </c>
      <c r="J86" t="n">
        <v>0</v>
      </c>
      <c r="K86" t="n">
        <v>0</v>
      </c>
      <c r="L86" t="n">
        <v>0</v>
      </c>
      <c r="M86" t="n">
        <v>0</v>
      </c>
      <c r="N86" t="n">
        <v>0</v>
      </c>
      <c r="O86" t="n">
        <v>0</v>
      </c>
      <c r="P86" t="n">
        <v>0</v>
      </c>
      <c r="Q86" t="n">
        <v>0</v>
      </c>
      <c r="R86" s="2" t="inlineStr"/>
    </row>
    <row r="87" ht="15" customHeight="1">
      <c r="A87" t="inlineStr">
        <is>
          <t>A 5657-2024</t>
        </is>
      </c>
      <c r="B87" s="1" t="n">
        <v>45334</v>
      </c>
      <c r="C87" s="1" t="n">
        <v>46189</v>
      </c>
      <c r="D87" t="inlineStr">
        <is>
          <t>ÖREBRO LÄN</t>
        </is>
      </c>
      <c r="E87" t="inlineStr">
        <is>
          <t>HÄLLEFORS</t>
        </is>
      </c>
      <c r="G87" t="n">
        <v>0.3</v>
      </c>
      <c r="H87" t="n">
        <v>0</v>
      </c>
      <c r="I87" t="n">
        <v>0</v>
      </c>
      <c r="J87" t="n">
        <v>0</v>
      </c>
      <c r="K87" t="n">
        <v>0</v>
      </c>
      <c r="L87" t="n">
        <v>0</v>
      </c>
      <c r="M87" t="n">
        <v>0</v>
      </c>
      <c r="N87" t="n">
        <v>0</v>
      </c>
      <c r="O87" t="n">
        <v>0</v>
      </c>
      <c r="P87" t="n">
        <v>0</v>
      </c>
      <c r="Q87" t="n">
        <v>0</v>
      </c>
      <c r="R87" s="2" t="inlineStr"/>
    </row>
    <row r="88" ht="15" customHeight="1">
      <c r="A88" t="inlineStr">
        <is>
          <t>A 62265-2022</t>
        </is>
      </c>
      <c r="B88" s="1" t="n">
        <v>44923</v>
      </c>
      <c r="C88" s="1" t="n">
        <v>46189</v>
      </c>
      <c r="D88" t="inlineStr">
        <is>
          <t>ÖREBRO LÄN</t>
        </is>
      </c>
      <c r="E88" t="inlineStr">
        <is>
          <t>HÄLLEFORS</t>
        </is>
      </c>
      <c r="G88" t="n">
        <v>0.6</v>
      </c>
      <c r="H88" t="n">
        <v>0</v>
      </c>
      <c r="I88" t="n">
        <v>0</v>
      </c>
      <c r="J88" t="n">
        <v>0</v>
      </c>
      <c r="K88" t="n">
        <v>0</v>
      </c>
      <c r="L88" t="n">
        <v>0</v>
      </c>
      <c r="M88" t="n">
        <v>0</v>
      </c>
      <c r="N88" t="n">
        <v>0</v>
      </c>
      <c r="O88" t="n">
        <v>0</v>
      </c>
      <c r="P88" t="n">
        <v>0</v>
      </c>
      <c r="Q88" t="n">
        <v>0</v>
      </c>
      <c r="R88" s="2" t="inlineStr"/>
    </row>
    <row r="89" ht="15" customHeight="1">
      <c r="A89" t="inlineStr">
        <is>
          <t>A 29027-2024</t>
        </is>
      </c>
      <c r="B89" s="1" t="n">
        <v>45481.58833333333</v>
      </c>
      <c r="C89" s="1" t="n">
        <v>46189</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58768-2024</t>
        </is>
      </c>
      <c r="B90" s="1" t="n">
        <v>45635</v>
      </c>
      <c r="C90" s="1" t="n">
        <v>46189</v>
      </c>
      <c r="D90" t="inlineStr">
        <is>
          <t>ÖREBRO LÄN</t>
        </is>
      </c>
      <c r="E90" t="inlineStr">
        <is>
          <t>HÄLLEFORS</t>
        </is>
      </c>
      <c r="G90" t="n">
        <v>0.9</v>
      </c>
      <c r="H90" t="n">
        <v>0</v>
      </c>
      <c r="I90" t="n">
        <v>0</v>
      </c>
      <c r="J90" t="n">
        <v>0</v>
      </c>
      <c r="K90" t="n">
        <v>0</v>
      </c>
      <c r="L90" t="n">
        <v>0</v>
      </c>
      <c r="M90" t="n">
        <v>0</v>
      </c>
      <c r="N90" t="n">
        <v>0</v>
      </c>
      <c r="O90" t="n">
        <v>0</v>
      </c>
      <c r="P90" t="n">
        <v>0</v>
      </c>
      <c r="Q90" t="n">
        <v>0</v>
      </c>
      <c r="R90" s="2" t="inlineStr"/>
    </row>
    <row r="91" ht="15" customHeight="1">
      <c r="A91" t="inlineStr">
        <is>
          <t>A 37027-2022</t>
        </is>
      </c>
      <c r="B91" s="1" t="n">
        <v>44806</v>
      </c>
      <c r="C91" s="1" t="n">
        <v>46189</v>
      </c>
      <c r="D91" t="inlineStr">
        <is>
          <t>ÖREBRO LÄN</t>
        </is>
      </c>
      <c r="E91" t="inlineStr">
        <is>
          <t>HÄLLEFORS</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41810-2023</t>
        </is>
      </c>
      <c r="B92" s="1" t="n">
        <v>45176</v>
      </c>
      <c r="C92" s="1" t="n">
        <v>46189</v>
      </c>
      <c r="D92" t="inlineStr">
        <is>
          <t>ÖREBRO LÄN</t>
        </is>
      </c>
      <c r="E92" t="inlineStr">
        <is>
          <t>HÄLLEFORS</t>
        </is>
      </c>
      <c r="F92" t="inlineStr">
        <is>
          <t>Bergvik skog väst AB</t>
        </is>
      </c>
      <c r="G92" t="n">
        <v>8.199999999999999</v>
      </c>
      <c r="H92" t="n">
        <v>0</v>
      </c>
      <c r="I92" t="n">
        <v>0</v>
      </c>
      <c r="J92" t="n">
        <v>0</v>
      </c>
      <c r="K92" t="n">
        <v>0</v>
      </c>
      <c r="L92" t="n">
        <v>0</v>
      </c>
      <c r="M92" t="n">
        <v>0</v>
      </c>
      <c r="N92" t="n">
        <v>0</v>
      </c>
      <c r="O92" t="n">
        <v>0</v>
      </c>
      <c r="P92" t="n">
        <v>0</v>
      </c>
      <c r="Q92" t="n">
        <v>0</v>
      </c>
      <c r="R92" s="2" t="inlineStr"/>
    </row>
    <row r="93" ht="15" customHeight="1">
      <c r="A93" t="inlineStr">
        <is>
          <t>A 62501-2022</t>
        </is>
      </c>
      <c r="B93" s="1" t="n">
        <v>44924.593125</v>
      </c>
      <c r="C93" s="1" t="n">
        <v>46189</v>
      </c>
      <c r="D93" t="inlineStr">
        <is>
          <t>ÖREBRO LÄN</t>
        </is>
      </c>
      <c r="E93" t="inlineStr">
        <is>
          <t>HÄLLEFORS</t>
        </is>
      </c>
      <c r="G93" t="n">
        <v>3</v>
      </c>
      <c r="H93" t="n">
        <v>0</v>
      </c>
      <c r="I93" t="n">
        <v>0</v>
      </c>
      <c r="J93" t="n">
        <v>0</v>
      </c>
      <c r="K93" t="n">
        <v>0</v>
      </c>
      <c r="L93" t="n">
        <v>0</v>
      </c>
      <c r="M93" t="n">
        <v>0</v>
      </c>
      <c r="N93" t="n">
        <v>0</v>
      </c>
      <c r="O93" t="n">
        <v>0</v>
      </c>
      <c r="P93" t="n">
        <v>0</v>
      </c>
      <c r="Q93" t="n">
        <v>0</v>
      </c>
      <c r="R93" s="2" t="inlineStr"/>
    </row>
    <row r="94" ht="15" customHeight="1">
      <c r="A94" t="inlineStr">
        <is>
          <t>A 3057-2024</t>
        </is>
      </c>
      <c r="B94" s="1" t="n">
        <v>45316</v>
      </c>
      <c r="C94" s="1" t="n">
        <v>46189</v>
      </c>
      <c r="D94" t="inlineStr">
        <is>
          <t>ÖREBRO LÄN</t>
        </is>
      </c>
      <c r="E94" t="inlineStr">
        <is>
          <t>HÄLLEFORS</t>
        </is>
      </c>
      <c r="F94" t="inlineStr">
        <is>
          <t>Bergvik skog väst AB</t>
        </is>
      </c>
      <c r="G94" t="n">
        <v>12.2</v>
      </c>
      <c r="H94" t="n">
        <v>0</v>
      </c>
      <c r="I94" t="n">
        <v>0</v>
      </c>
      <c r="J94" t="n">
        <v>0</v>
      </c>
      <c r="K94" t="n">
        <v>0</v>
      </c>
      <c r="L94" t="n">
        <v>0</v>
      </c>
      <c r="M94" t="n">
        <v>0</v>
      </c>
      <c r="N94" t="n">
        <v>0</v>
      </c>
      <c r="O94" t="n">
        <v>0</v>
      </c>
      <c r="P94" t="n">
        <v>0</v>
      </c>
      <c r="Q94" t="n">
        <v>0</v>
      </c>
      <c r="R94" s="2" t="inlineStr"/>
    </row>
    <row r="95" ht="15" customHeight="1">
      <c r="A95" t="inlineStr">
        <is>
          <t>A 65054-2021</t>
        </is>
      </c>
      <c r="B95" s="1" t="n">
        <v>44515.35802083334</v>
      </c>
      <c r="C95" s="1" t="n">
        <v>46189</v>
      </c>
      <c r="D95" t="inlineStr">
        <is>
          <t>ÖREBRO LÄN</t>
        </is>
      </c>
      <c r="E95" t="inlineStr">
        <is>
          <t>HÄLLEFORS</t>
        </is>
      </c>
      <c r="F95" t="inlineStr">
        <is>
          <t>Bergvik skog väst AB</t>
        </is>
      </c>
      <c r="G95" t="n">
        <v>3.8</v>
      </c>
      <c r="H95" t="n">
        <v>0</v>
      </c>
      <c r="I95" t="n">
        <v>0</v>
      </c>
      <c r="J95" t="n">
        <v>0</v>
      </c>
      <c r="K95" t="n">
        <v>0</v>
      </c>
      <c r="L95" t="n">
        <v>0</v>
      </c>
      <c r="M95" t="n">
        <v>0</v>
      </c>
      <c r="N95" t="n">
        <v>0</v>
      </c>
      <c r="O95" t="n">
        <v>0</v>
      </c>
      <c r="P95" t="n">
        <v>0</v>
      </c>
      <c r="Q95" t="n">
        <v>0</v>
      </c>
      <c r="R95" s="2" t="inlineStr"/>
    </row>
    <row r="96" ht="15" customHeight="1">
      <c r="A96" t="inlineStr">
        <is>
          <t>A 5583-2023</t>
        </is>
      </c>
      <c r="B96" s="1" t="n">
        <v>44960.50733796296</v>
      </c>
      <c r="C96" s="1" t="n">
        <v>46189</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13757-2023</t>
        </is>
      </c>
      <c r="B97" s="1" t="n">
        <v>45007.42442129629</v>
      </c>
      <c r="C97" s="1" t="n">
        <v>46189</v>
      </c>
      <c r="D97" t="inlineStr">
        <is>
          <t>ÖREBRO LÄN</t>
        </is>
      </c>
      <c r="E97" t="inlineStr">
        <is>
          <t>HÄLLEFORS</t>
        </is>
      </c>
      <c r="F97" t="inlineStr">
        <is>
          <t>Bergvik skog väst AB</t>
        </is>
      </c>
      <c r="G97" t="n">
        <v>3.6</v>
      </c>
      <c r="H97" t="n">
        <v>0</v>
      </c>
      <c r="I97" t="n">
        <v>0</v>
      </c>
      <c r="J97" t="n">
        <v>0</v>
      </c>
      <c r="K97" t="n">
        <v>0</v>
      </c>
      <c r="L97" t="n">
        <v>0</v>
      </c>
      <c r="M97" t="n">
        <v>0</v>
      </c>
      <c r="N97" t="n">
        <v>0</v>
      </c>
      <c r="O97" t="n">
        <v>0</v>
      </c>
      <c r="P97" t="n">
        <v>0</v>
      </c>
      <c r="Q97" t="n">
        <v>0</v>
      </c>
      <c r="R97" s="2" t="inlineStr"/>
    </row>
    <row r="98" ht="15" customHeight="1">
      <c r="A98" t="inlineStr">
        <is>
          <t>A 16928-2025</t>
        </is>
      </c>
      <c r="B98" s="1" t="n">
        <v>45755.39711805555</v>
      </c>
      <c r="C98" s="1" t="n">
        <v>46189</v>
      </c>
      <c r="D98" t="inlineStr">
        <is>
          <t>ÖREBRO LÄN</t>
        </is>
      </c>
      <c r="E98" t="inlineStr">
        <is>
          <t>HÄLLEFORS</t>
        </is>
      </c>
      <c r="F98" t="inlineStr">
        <is>
          <t>Bergvik skog väst AB</t>
        </is>
      </c>
      <c r="G98" t="n">
        <v>8.199999999999999</v>
      </c>
      <c r="H98" t="n">
        <v>0</v>
      </c>
      <c r="I98" t="n">
        <v>0</v>
      </c>
      <c r="J98" t="n">
        <v>0</v>
      </c>
      <c r="K98" t="n">
        <v>0</v>
      </c>
      <c r="L98" t="n">
        <v>0</v>
      </c>
      <c r="M98" t="n">
        <v>0</v>
      </c>
      <c r="N98" t="n">
        <v>0</v>
      </c>
      <c r="O98" t="n">
        <v>0</v>
      </c>
      <c r="P98" t="n">
        <v>0</v>
      </c>
      <c r="Q98" t="n">
        <v>0</v>
      </c>
      <c r="R98" s="2" t="inlineStr"/>
    </row>
    <row r="99" ht="15" customHeight="1">
      <c r="A99" t="inlineStr">
        <is>
          <t>A 16053-2023</t>
        </is>
      </c>
      <c r="B99" s="1" t="n">
        <v>45027</v>
      </c>
      <c r="C99" s="1" t="n">
        <v>46189</v>
      </c>
      <c r="D99" t="inlineStr">
        <is>
          <t>ÖREBRO LÄN</t>
        </is>
      </c>
      <c r="E99" t="inlineStr">
        <is>
          <t>HÄLLEFORS</t>
        </is>
      </c>
      <c r="F99" t="inlineStr">
        <is>
          <t>Bergvik skog väst AB</t>
        </is>
      </c>
      <c r="G99" t="n">
        <v>14.7</v>
      </c>
      <c r="H99" t="n">
        <v>0</v>
      </c>
      <c r="I99" t="n">
        <v>0</v>
      </c>
      <c r="J99" t="n">
        <v>0</v>
      </c>
      <c r="K99" t="n">
        <v>0</v>
      </c>
      <c r="L99" t="n">
        <v>0</v>
      </c>
      <c r="M99" t="n">
        <v>0</v>
      </c>
      <c r="N99" t="n">
        <v>0</v>
      </c>
      <c r="O99" t="n">
        <v>0</v>
      </c>
      <c r="P99" t="n">
        <v>0</v>
      </c>
      <c r="Q99" t="n">
        <v>0</v>
      </c>
      <c r="R99" s="2" t="inlineStr"/>
    </row>
    <row r="100" ht="15" customHeight="1">
      <c r="A100" t="inlineStr">
        <is>
          <t>A 43966-2024</t>
        </is>
      </c>
      <c r="B100" s="1" t="n">
        <v>45572.48516203704</v>
      </c>
      <c r="C100" s="1" t="n">
        <v>46189</v>
      </c>
      <c r="D100" t="inlineStr">
        <is>
          <t>ÖREBRO LÄN</t>
        </is>
      </c>
      <c r="E100" t="inlineStr">
        <is>
          <t>HÄLLEFORS</t>
        </is>
      </c>
      <c r="F100" t="inlineStr">
        <is>
          <t>Bergvik skog väst AB</t>
        </is>
      </c>
      <c r="G100" t="n">
        <v>1.2</v>
      </c>
      <c r="H100" t="n">
        <v>0</v>
      </c>
      <c r="I100" t="n">
        <v>0</v>
      </c>
      <c r="J100" t="n">
        <v>0</v>
      </c>
      <c r="K100" t="n">
        <v>0</v>
      </c>
      <c r="L100" t="n">
        <v>0</v>
      </c>
      <c r="M100" t="n">
        <v>0</v>
      </c>
      <c r="N100" t="n">
        <v>0</v>
      </c>
      <c r="O100" t="n">
        <v>0</v>
      </c>
      <c r="P100" t="n">
        <v>0</v>
      </c>
      <c r="Q100" t="n">
        <v>0</v>
      </c>
      <c r="R100" s="2" t="inlineStr"/>
    </row>
    <row r="101" ht="15" customHeight="1">
      <c r="A101" t="inlineStr">
        <is>
          <t>A 52367-2022</t>
        </is>
      </c>
      <c r="B101" s="1" t="n">
        <v>44874</v>
      </c>
      <c r="C101" s="1" t="n">
        <v>46189</v>
      </c>
      <c r="D101" t="inlineStr">
        <is>
          <t>ÖREBRO LÄN</t>
        </is>
      </c>
      <c r="E101" t="inlineStr">
        <is>
          <t>HÄLLEFORS</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35191-2023</t>
        </is>
      </c>
      <c r="B102" s="1" t="n">
        <v>45145.61096064815</v>
      </c>
      <c r="C102" s="1" t="n">
        <v>46189</v>
      </c>
      <c r="D102" t="inlineStr">
        <is>
          <t>ÖREBRO LÄN</t>
        </is>
      </c>
      <c r="E102" t="inlineStr">
        <is>
          <t>HÄLLEFORS</t>
        </is>
      </c>
      <c r="F102" t="inlineStr">
        <is>
          <t>Bergvik skog väst AB</t>
        </is>
      </c>
      <c r="G102" t="n">
        <v>3.8</v>
      </c>
      <c r="H102" t="n">
        <v>0</v>
      </c>
      <c r="I102" t="n">
        <v>0</v>
      </c>
      <c r="J102" t="n">
        <v>0</v>
      </c>
      <c r="K102" t="n">
        <v>0</v>
      </c>
      <c r="L102" t="n">
        <v>0</v>
      </c>
      <c r="M102" t="n">
        <v>0</v>
      </c>
      <c r="N102" t="n">
        <v>0</v>
      </c>
      <c r="O102" t="n">
        <v>0</v>
      </c>
      <c r="P102" t="n">
        <v>0</v>
      </c>
      <c r="Q102" t="n">
        <v>0</v>
      </c>
      <c r="R102" s="2" t="inlineStr"/>
    </row>
    <row r="103" ht="15" customHeight="1">
      <c r="A103" t="inlineStr">
        <is>
          <t>A 39171-2024</t>
        </is>
      </c>
      <c r="B103" s="1" t="n">
        <v>45548</v>
      </c>
      <c r="C103" s="1" t="n">
        <v>46189</v>
      </c>
      <c r="D103" t="inlineStr">
        <is>
          <t>ÖREBRO LÄN</t>
        </is>
      </c>
      <c r="E103" t="inlineStr">
        <is>
          <t>HÄLLEFORS</t>
        </is>
      </c>
      <c r="G103" t="n">
        <v>3.8</v>
      </c>
      <c r="H103" t="n">
        <v>0</v>
      </c>
      <c r="I103" t="n">
        <v>0</v>
      </c>
      <c r="J103" t="n">
        <v>0</v>
      </c>
      <c r="K103" t="n">
        <v>0</v>
      </c>
      <c r="L103" t="n">
        <v>0</v>
      </c>
      <c r="M103" t="n">
        <v>0</v>
      </c>
      <c r="N103" t="n">
        <v>0</v>
      </c>
      <c r="O103" t="n">
        <v>0</v>
      </c>
      <c r="P103" t="n">
        <v>0</v>
      </c>
      <c r="Q103" t="n">
        <v>0</v>
      </c>
      <c r="R103" s="2" t="inlineStr"/>
    </row>
    <row r="104" ht="15" customHeight="1">
      <c r="A104" t="inlineStr">
        <is>
          <t>A 11459-2024</t>
        </is>
      </c>
      <c r="B104" s="1" t="n">
        <v>45372.58425925926</v>
      </c>
      <c r="C104" s="1" t="n">
        <v>46189</v>
      </c>
      <c r="D104" t="inlineStr">
        <is>
          <t>ÖREBRO LÄN</t>
        </is>
      </c>
      <c r="E104" t="inlineStr">
        <is>
          <t>HÄLLEFORS</t>
        </is>
      </c>
      <c r="G104" t="n">
        <v>2.2</v>
      </c>
      <c r="H104" t="n">
        <v>0</v>
      </c>
      <c r="I104" t="n">
        <v>0</v>
      </c>
      <c r="J104" t="n">
        <v>0</v>
      </c>
      <c r="K104" t="n">
        <v>0</v>
      </c>
      <c r="L104" t="n">
        <v>0</v>
      </c>
      <c r="M104" t="n">
        <v>0</v>
      </c>
      <c r="N104" t="n">
        <v>0</v>
      </c>
      <c r="O104" t="n">
        <v>0</v>
      </c>
      <c r="P104" t="n">
        <v>0</v>
      </c>
      <c r="Q104" t="n">
        <v>0</v>
      </c>
      <c r="R104" s="2" t="inlineStr"/>
    </row>
    <row r="105" ht="15" customHeight="1">
      <c r="A105" t="inlineStr">
        <is>
          <t>A 59557-2022</t>
        </is>
      </c>
      <c r="B105" s="1" t="n">
        <v>44907.59805555556</v>
      </c>
      <c r="C105" s="1" t="n">
        <v>46189</v>
      </c>
      <c r="D105" t="inlineStr">
        <is>
          <t>ÖREBRO LÄN</t>
        </is>
      </c>
      <c r="E105" t="inlineStr">
        <is>
          <t>HÄLLEFORS</t>
        </is>
      </c>
      <c r="F105" t="inlineStr">
        <is>
          <t>Bergvik skog väst AB</t>
        </is>
      </c>
      <c r="G105" t="n">
        <v>11.2</v>
      </c>
      <c r="H105" t="n">
        <v>0</v>
      </c>
      <c r="I105" t="n">
        <v>0</v>
      </c>
      <c r="J105" t="n">
        <v>0</v>
      </c>
      <c r="K105" t="n">
        <v>0</v>
      </c>
      <c r="L105" t="n">
        <v>0</v>
      </c>
      <c r="M105" t="n">
        <v>0</v>
      </c>
      <c r="N105" t="n">
        <v>0</v>
      </c>
      <c r="O105" t="n">
        <v>0</v>
      </c>
      <c r="P105" t="n">
        <v>0</v>
      </c>
      <c r="Q105" t="n">
        <v>0</v>
      </c>
      <c r="R105" s="2" t="inlineStr"/>
    </row>
    <row r="106" ht="15" customHeight="1">
      <c r="A106" t="inlineStr">
        <is>
          <t>A 67439-2021</t>
        </is>
      </c>
      <c r="B106" s="1" t="n">
        <v>44523</v>
      </c>
      <c r="C106" s="1" t="n">
        <v>46189</v>
      </c>
      <c r="D106" t="inlineStr">
        <is>
          <t>ÖREBRO LÄN</t>
        </is>
      </c>
      <c r="E106" t="inlineStr">
        <is>
          <t>HÄLLEFORS</t>
        </is>
      </c>
      <c r="G106" t="n">
        <v>1.9</v>
      </c>
      <c r="H106" t="n">
        <v>0</v>
      </c>
      <c r="I106" t="n">
        <v>0</v>
      </c>
      <c r="J106" t="n">
        <v>0</v>
      </c>
      <c r="K106" t="n">
        <v>0</v>
      </c>
      <c r="L106" t="n">
        <v>0</v>
      </c>
      <c r="M106" t="n">
        <v>0</v>
      </c>
      <c r="N106" t="n">
        <v>0</v>
      </c>
      <c r="O106" t="n">
        <v>0</v>
      </c>
      <c r="P106" t="n">
        <v>0</v>
      </c>
      <c r="Q106" t="n">
        <v>0</v>
      </c>
      <c r="R106" s="2" t="inlineStr"/>
    </row>
    <row r="107" ht="15" customHeight="1">
      <c r="A107" t="inlineStr">
        <is>
          <t>A 28004-2022</t>
        </is>
      </c>
      <c r="B107" s="1" t="n">
        <v>44746.34457175926</v>
      </c>
      <c r="C107" s="1" t="n">
        <v>46189</v>
      </c>
      <c r="D107" t="inlineStr">
        <is>
          <t>ÖREBRO LÄN</t>
        </is>
      </c>
      <c r="E107" t="inlineStr">
        <is>
          <t>HÄLLEFORS</t>
        </is>
      </c>
      <c r="G107" t="n">
        <v>2.9</v>
      </c>
      <c r="H107" t="n">
        <v>0</v>
      </c>
      <c r="I107" t="n">
        <v>0</v>
      </c>
      <c r="J107" t="n">
        <v>0</v>
      </c>
      <c r="K107" t="n">
        <v>0</v>
      </c>
      <c r="L107" t="n">
        <v>0</v>
      </c>
      <c r="M107" t="n">
        <v>0</v>
      </c>
      <c r="N107" t="n">
        <v>0</v>
      </c>
      <c r="O107" t="n">
        <v>0</v>
      </c>
      <c r="P107" t="n">
        <v>0</v>
      </c>
      <c r="Q107" t="n">
        <v>0</v>
      </c>
      <c r="R107" s="2" t="inlineStr"/>
    </row>
    <row r="108" ht="15" customHeight="1">
      <c r="A108" t="inlineStr">
        <is>
          <t>A 55453-2023</t>
        </is>
      </c>
      <c r="B108" s="1" t="n">
        <v>45238</v>
      </c>
      <c r="C108" s="1" t="n">
        <v>46189</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18889-2024</t>
        </is>
      </c>
      <c r="B109" s="1" t="n">
        <v>45427.26467592592</v>
      </c>
      <c r="C109" s="1" t="n">
        <v>46189</v>
      </c>
      <c r="D109" t="inlineStr">
        <is>
          <t>ÖREBRO LÄN</t>
        </is>
      </c>
      <c r="E109" t="inlineStr">
        <is>
          <t>HÄLLEFORS</t>
        </is>
      </c>
      <c r="G109" t="n">
        <v>8.5</v>
      </c>
      <c r="H109" t="n">
        <v>0</v>
      </c>
      <c r="I109" t="n">
        <v>0</v>
      </c>
      <c r="J109" t="n">
        <v>0</v>
      </c>
      <c r="K109" t="n">
        <v>0</v>
      </c>
      <c r="L109" t="n">
        <v>0</v>
      </c>
      <c r="M109" t="n">
        <v>0</v>
      </c>
      <c r="N109" t="n">
        <v>0</v>
      </c>
      <c r="O109" t="n">
        <v>0</v>
      </c>
      <c r="P109" t="n">
        <v>0</v>
      </c>
      <c r="Q109" t="n">
        <v>0</v>
      </c>
      <c r="R109" s="2" t="inlineStr"/>
    </row>
    <row r="110" ht="15" customHeight="1">
      <c r="A110" t="inlineStr">
        <is>
          <t>A 12511-2025</t>
        </is>
      </c>
      <c r="B110" s="1" t="n">
        <v>45730.6371412037</v>
      </c>
      <c r="C110" s="1" t="n">
        <v>46189</v>
      </c>
      <c r="D110" t="inlineStr">
        <is>
          <t>ÖREBRO LÄN</t>
        </is>
      </c>
      <c r="E110" t="inlineStr">
        <is>
          <t>HÄLLEFORS</t>
        </is>
      </c>
      <c r="G110" t="n">
        <v>0.7</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46189</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55747-2024</t>
        </is>
      </c>
      <c r="B112" s="1" t="n">
        <v>45623.32141203704</v>
      </c>
      <c r="C112" s="1" t="n">
        <v>46189</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1288-2024</t>
        </is>
      </c>
      <c r="B113" s="1" t="n">
        <v>45303</v>
      </c>
      <c r="C113" s="1" t="n">
        <v>46189</v>
      </c>
      <c r="D113" t="inlineStr">
        <is>
          <t>ÖREBRO LÄN</t>
        </is>
      </c>
      <c r="E113" t="inlineStr">
        <is>
          <t>HÄLLEFORS</t>
        </is>
      </c>
      <c r="G113" t="n">
        <v>1.2</v>
      </c>
      <c r="H113" t="n">
        <v>0</v>
      </c>
      <c r="I113" t="n">
        <v>0</v>
      </c>
      <c r="J113" t="n">
        <v>0</v>
      </c>
      <c r="K113" t="n">
        <v>0</v>
      </c>
      <c r="L113" t="n">
        <v>0</v>
      </c>
      <c r="M113" t="n">
        <v>0</v>
      </c>
      <c r="N113" t="n">
        <v>0</v>
      </c>
      <c r="O113" t="n">
        <v>0</v>
      </c>
      <c r="P113" t="n">
        <v>0</v>
      </c>
      <c r="Q113" t="n">
        <v>0</v>
      </c>
      <c r="R113" s="2" t="inlineStr"/>
    </row>
    <row r="114" ht="15" customHeight="1">
      <c r="A114" t="inlineStr">
        <is>
          <t>A 14120-2023</t>
        </is>
      </c>
      <c r="B114" s="1" t="n">
        <v>45009</v>
      </c>
      <c r="C114" s="1" t="n">
        <v>46189</v>
      </c>
      <c r="D114" t="inlineStr">
        <is>
          <t>ÖREBRO LÄN</t>
        </is>
      </c>
      <c r="E114" t="inlineStr">
        <is>
          <t>HÄLLEFORS</t>
        </is>
      </c>
      <c r="F114" t="inlineStr">
        <is>
          <t>Bergvik skog väst AB</t>
        </is>
      </c>
      <c r="G114" t="n">
        <v>4.2</v>
      </c>
      <c r="H114" t="n">
        <v>0</v>
      </c>
      <c r="I114" t="n">
        <v>0</v>
      </c>
      <c r="J114" t="n">
        <v>0</v>
      </c>
      <c r="K114" t="n">
        <v>0</v>
      </c>
      <c r="L114" t="n">
        <v>0</v>
      </c>
      <c r="M114" t="n">
        <v>0</v>
      </c>
      <c r="N114" t="n">
        <v>0</v>
      </c>
      <c r="O114" t="n">
        <v>0</v>
      </c>
      <c r="P114" t="n">
        <v>0</v>
      </c>
      <c r="Q114" t="n">
        <v>0</v>
      </c>
      <c r="R114" s="2" t="inlineStr"/>
    </row>
    <row r="115" ht="15" customHeight="1">
      <c r="A115" t="inlineStr">
        <is>
          <t>A 56298-2024</t>
        </is>
      </c>
      <c r="B115" s="1" t="n">
        <v>45624.68584490741</v>
      </c>
      <c r="C115" s="1" t="n">
        <v>46189</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50714-2022</t>
        </is>
      </c>
      <c r="B116" s="1" t="n">
        <v>44867.35501157407</v>
      </c>
      <c r="C116" s="1" t="n">
        <v>46189</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59976-2024</t>
        </is>
      </c>
      <c r="B117" s="1" t="n">
        <v>45642.37226851852</v>
      </c>
      <c r="C117" s="1" t="n">
        <v>46189</v>
      </c>
      <c r="D117" t="inlineStr">
        <is>
          <t>ÖREBRO LÄN</t>
        </is>
      </c>
      <c r="E117" t="inlineStr">
        <is>
          <t>HÄLLEFORS</t>
        </is>
      </c>
      <c r="F117" t="inlineStr">
        <is>
          <t>Bergvik skog väst AB</t>
        </is>
      </c>
      <c r="G117" t="n">
        <v>8.9</v>
      </c>
      <c r="H117" t="n">
        <v>0</v>
      </c>
      <c r="I117" t="n">
        <v>0</v>
      </c>
      <c r="J117" t="n">
        <v>0</v>
      </c>
      <c r="K117" t="n">
        <v>0</v>
      </c>
      <c r="L117" t="n">
        <v>0</v>
      </c>
      <c r="M117" t="n">
        <v>0</v>
      </c>
      <c r="N117" t="n">
        <v>0</v>
      </c>
      <c r="O117" t="n">
        <v>0</v>
      </c>
      <c r="P117" t="n">
        <v>0</v>
      </c>
      <c r="Q117" t="n">
        <v>0</v>
      </c>
      <c r="R117" s="2" t="inlineStr"/>
    </row>
    <row r="118" ht="15" customHeight="1">
      <c r="A118" t="inlineStr">
        <is>
          <t>A 15941-2023</t>
        </is>
      </c>
      <c r="B118" s="1" t="n">
        <v>45022</v>
      </c>
      <c r="C118" s="1" t="n">
        <v>46189</v>
      </c>
      <c r="D118" t="inlineStr">
        <is>
          <t>ÖREBRO LÄN</t>
        </is>
      </c>
      <c r="E118" t="inlineStr">
        <is>
          <t>HÄLLEFORS</t>
        </is>
      </c>
      <c r="G118" t="n">
        <v>1.9</v>
      </c>
      <c r="H118" t="n">
        <v>0</v>
      </c>
      <c r="I118" t="n">
        <v>0</v>
      </c>
      <c r="J118" t="n">
        <v>0</v>
      </c>
      <c r="K118" t="n">
        <v>0</v>
      </c>
      <c r="L118" t="n">
        <v>0</v>
      </c>
      <c r="M118" t="n">
        <v>0</v>
      </c>
      <c r="N118" t="n">
        <v>0</v>
      </c>
      <c r="O118" t="n">
        <v>0</v>
      </c>
      <c r="P118" t="n">
        <v>0</v>
      </c>
      <c r="Q118" t="n">
        <v>0</v>
      </c>
      <c r="R118" s="2" t="inlineStr"/>
    </row>
    <row r="119" ht="15" customHeight="1">
      <c r="A119" t="inlineStr">
        <is>
          <t>A 12545-2023</t>
        </is>
      </c>
      <c r="B119" s="1" t="n">
        <v>45000</v>
      </c>
      <c r="C119" s="1" t="n">
        <v>46189</v>
      </c>
      <c r="D119" t="inlineStr">
        <is>
          <t>ÖREBRO LÄN</t>
        </is>
      </c>
      <c r="E119" t="inlineStr">
        <is>
          <t>HÄLLEFORS</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6281-2025</t>
        </is>
      </c>
      <c r="B120" s="1" t="n">
        <v>45698</v>
      </c>
      <c r="C120" s="1" t="n">
        <v>46189</v>
      </c>
      <c r="D120" t="inlineStr">
        <is>
          <t>ÖREBRO LÄN</t>
        </is>
      </c>
      <c r="E120" t="inlineStr">
        <is>
          <t>HÄLLEFORS</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19055-2024</t>
        </is>
      </c>
      <c r="B121" s="1" t="n">
        <v>45427.79534722222</v>
      </c>
      <c r="C121" s="1" t="n">
        <v>46189</v>
      </c>
      <c r="D121" t="inlineStr">
        <is>
          <t>ÖREBRO LÄN</t>
        </is>
      </c>
      <c r="E121" t="inlineStr">
        <is>
          <t>HÄLLEFORS</t>
        </is>
      </c>
      <c r="G121" t="n">
        <v>0.6</v>
      </c>
      <c r="H121" t="n">
        <v>0</v>
      </c>
      <c r="I121" t="n">
        <v>0</v>
      </c>
      <c r="J121" t="n">
        <v>0</v>
      </c>
      <c r="K121" t="n">
        <v>0</v>
      </c>
      <c r="L121" t="n">
        <v>0</v>
      </c>
      <c r="M121" t="n">
        <v>0</v>
      </c>
      <c r="N121" t="n">
        <v>0</v>
      </c>
      <c r="O121" t="n">
        <v>0</v>
      </c>
      <c r="P121" t="n">
        <v>0</v>
      </c>
      <c r="Q121" t="n">
        <v>0</v>
      </c>
      <c r="R121" s="2" t="inlineStr"/>
    </row>
    <row r="122" ht="15" customHeight="1">
      <c r="A122" t="inlineStr">
        <is>
          <t>A 3643-2025</t>
        </is>
      </c>
      <c r="B122" s="1" t="n">
        <v>45681</v>
      </c>
      <c r="C122" s="1" t="n">
        <v>46189</v>
      </c>
      <c r="D122" t="inlineStr">
        <is>
          <t>ÖREBRO LÄN</t>
        </is>
      </c>
      <c r="E122" t="inlineStr">
        <is>
          <t>HÄLLEFORS</t>
        </is>
      </c>
      <c r="G122" t="n">
        <v>20.8</v>
      </c>
      <c r="H122" t="n">
        <v>0</v>
      </c>
      <c r="I122" t="n">
        <v>0</v>
      </c>
      <c r="J122" t="n">
        <v>0</v>
      </c>
      <c r="K122" t="n">
        <v>0</v>
      </c>
      <c r="L122" t="n">
        <v>0</v>
      </c>
      <c r="M122" t="n">
        <v>0</v>
      </c>
      <c r="N122" t="n">
        <v>0</v>
      </c>
      <c r="O122" t="n">
        <v>0</v>
      </c>
      <c r="P122" t="n">
        <v>0</v>
      </c>
      <c r="Q122" t="n">
        <v>0</v>
      </c>
      <c r="R122" s="2" t="inlineStr"/>
    </row>
    <row r="123" ht="15" customHeight="1">
      <c r="A123" t="inlineStr">
        <is>
          <t>A 5684-2025</t>
        </is>
      </c>
      <c r="B123" s="1" t="n">
        <v>45694</v>
      </c>
      <c r="C123" s="1" t="n">
        <v>46189</v>
      </c>
      <c r="D123" t="inlineStr">
        <is>
          <t>ÖREBRO LÄN</t>
        </is>
      </c>
      <c r="E123" t="inlineStr">
        <is>
          <t>HÄLLEFORS</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29884-2022</t>
        </is>
      </c>
      <c r="B124" s="1" t="n">
        <v>44756</v>
      </c>
      <c r="C124" s="1" t="n">
        <v>46189</v>
      </c>
      <c r="D124" t="inlineStr">
        <is>
          <t>ÖREBRO LÄN</t>
        </is>
      </c>
      <c r="E124" t="inlineStr">
        <is>
          <t>HÄLLEFORS</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17041-2025</t>
        </is>
      </c>
      <c r="B125" s="1" t="n">
        <v>45755.58488425926</v>
      </c>
      <c r="C125" s="1" t="n">
        <v>46189</v>
      </c>
      <c r="D125" t="inlineStr">
        <is>
          <t>ÖREBRO LÄN</t>
        </is>
      </c>
      <c r="E125" t="inlineStr">
        <is>
          <t>HÄLLEFORS</t>
        </is>
      </c>
      <c r="F125" t="inlineStr">
        <is>
          <t>Bergvik skog väst AB</t>
        </is>
      </c>
      <c r="G125" t="n">
        <v>3.7</v>
      </c>
      <c r="H125" t="n">
        <v>0</v>
      </c>
      <c r="I125" t="n">
        <v>0</v>
      </c>
      <c r="J125" t="n">
        <v>0</v>
      </c>
      <c r="K125" t="n">
        <v>0</v>
      </c>
      <c r="L125" t="n">
        <v>0</v>
      </c>
      <c r="M125" t="n">
        <v>0</v>
      </c>
      <c r="N125" t="n">
        <v>0</v>
      </c>
      <c r="O125" t="n">
        <v>0</v>
      </c>
      <c r="P125" t="n">
        <v>0</v>
      </c>
      <c r="Q125" t="n">
        <v>0</v>
      </c>
      <c r="R125" s="2" t="inlineStr"/>
    </row>
    <row r="126" ht="15" customHeight="1">
      <c r="A126" t="inlineStr">
        <is>
          <t>A 29340-2024</t>
        </is>
      </c>
      <c r="B126" s="1" t="n">
        <v>45483.46465277778</v>
      </c>
      <c r="C126" s="1" t="n">
        <v>46189</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36276-2024</t>
        </is>
      </c>
      <c r="B127" s="1" t="n">
        <v>45534.58140046296</v>
      </c>
      <c r="C127" s="1" t="n">
        <v>46189</v>
      </c>
      <c r="D127" t="inlineStr">
        <is>
          <t>ÖREBRO LÄN</t>
        </is>
      </c>
      <c r="E127" t="inlineStr">
        <is>
          <t>HÄLLEFORS</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34898-2021</t>
        </is>
      </c>
      <c r="B128" s="1" t="n">
        <v>44383</v>
      </c>
      <c r="C128" s="1" t="n">
        <v>46189</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6761-2025</t>
        </is>
      </c>
      <c r="B129" s="1" t="n">
        <v>45700.62762731482</v>
      </c>
      <c r="C129" s="1" t="n">
        <v>46189</v>
      </c>
      <c r="D129" t="inlineStr">
        <is>
          <t>ÖREBRO LÄN</t>
        </is>
      </c>
      <c r="E129" t="inlineStr">
        <is>
          <t>HÄLLEFORS</t>
        </is>
      </c>
      <c r="G129" t="n">
        <v>2.4</v>
      </c>
      <c r="H129" t="n">
        <v>0</v>
      </c>
      <c r="I129" t="n">
        <v>0</v>
      </c>
      <c r="J129" t="n">
        <v>0</v>
      </c>
      <c r="K129" t="n">
        <v>0</v>
      </c>
      <c r="L129" t="n">
        <v>0</v>
      </c>
      <c r="M129" t="n">
        <v>0</v>
      </c>
      <c r="N129" t="n">
        <v>0</v>
      </c>
      <c r="O129" t="n">
        <v>0</v>
      </c>
      <c r="P129" t="n">
        <v>0</v>
      </c>
      <c r="Q129" t="n">
        <v>0</v>
      </c>
      <c r="R129" s="2" t="inlineStr"/>
    </row>
    <row r="130" ht="15" customHeight="1">
      <c r="A130" t="inlineStr">
        <is>
          <t>A 39327-2022</t>
        </is>
      </c>
      <c r="B130" s="1" t="n">
        <v>44817</v>
      </c>
      <c r="C130" s="1" t="n">
        <v>46189</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41822-2023</t>
        </is>
      </c>
      <c r="B131" s="1" t="n">
        <v>45176.56863425926</v>
      </c>
      <c r="C131" s="1" t="n">
        <v>46189</v>
      </c>
      <c r="D131" t="inlineStr">
        <is>
          <t>ÖREBRO LÄN</t>
        </is>
      </c>
      <c r="E131" t="inlineStr">
        <is>
          <t>HÄLLEFORS</t>
        </is>
      </c>
      <c r="F131" t="inlineStr">
        <is>
          <t>Bergvik skog väst AB</t>
        </is>
      </c>
      <c r="G131" t="n">
        <v>5.6</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46189</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12082-2025</t>
        </is>
      </c>
      <c r="B133" s="1" t="n">
        <v>45728</v>
      </c>
      <c r="C133" s="1" t="n">
        <v>46189</v>
      </c>
      <c r="D133" t="inlineStr">
        <is>
          <t>ÖREBRO LÄN</t>
        </is>
      </c>
      <c r="E133" t="inlineStr">
        <is>
          <t>HÄLLEFORS</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17811-2025</t>
        </is>
      </c>
      <c r="B134" s="1" t="n">
        <v>45758.5594212963</v>
      </c>
      <c r="C134" s="1" t="n">
        <v>46189</v>
      </c>
      <c r="D134" t="inlineStr">
        <is>
          <t>ÖREBRO LÄN</t>
        </is>
      </c>
      <c r="E134" t="inlineStr">
        <is>
          <t>HÄLLEFORS</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23561-2023</t>
        </is>
      </c>
      <c r="B135" s="1" t="n">
        <v>45077.39368055556</v>
      </c>
      <c r="C135" s="1" t="n">
        <v>46189</v>
      </c>
      <c r="D135" t="inlineStr">
        <is>
          <t>ÖREBRO LÄN</t>
        </is>
      </c>
      <c r="E135" t="inlineStr">
        <is>
          <t>HÄLLEFORS</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67953-2021</t>
        </is>
      </c>
      <c r="B136" s="1" t="n">
        <v>44525.63929398148</v>
      </c>
      <c r="C136" s="1" t="n">
        <v>46189</v>
      </c>
      <c r="D136" t="inlineStr">
        <is>
          <t>ÖREBRO LÄN</t>
        </is>
      </c>
      <c r="E136" t="inlineStr">
        <is>
          <t>HÄLLEFORS</t>
        </is>
      </c>
      <c r="G136" t="n">
        <v>2</v>
      </c>
      <c r="H136" t="n">
        <v>0</v>
      </c>
      <c r="I136" t="n">
        <v>0</v>
      </c>
      <c r="J136" t="n">
        <v>0</v>
      </c>
      <c r="K136" t="n">
        <v>0</v>
      </c>
      <c r="L136" t="n">
        <v>0</v>
      </c>
      <c r="M136" t="n">
        <v>0</v>
      </c>
      <c r="N136" t="n">
        <v>0</v>
      </c>
      <c r="O136" t="n">
        <v>0</v>
      </c>
      <c r="P136" t="n">
        <v>0</v>
      </c>
      <c r="Q136" t="n">
        <v>0</v>
      </c>
      <c r="R136" s="2" t="inlineStr"/>
    </row>
    <row r="137" ht="15" customHeight="1">
      <c r="A137" t="inlineStr">
        <is>
          <t>A 9536-2025</t>
        </is>
      </c>
      <c r="B137" s="1" t="n">
        <v>45715.57746527778</v>
      </c>
      <c r="C137" s="1" t="n">
        <v>46189</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9539-2025</t>
        </is>
      </c>
      <c r="B138" s="1" t="n">
        <v>45715.57984953704</v>
      </c>
      <c r="C138" s="1" t="n">
        <v>46189</v>
      </c>
      <c r="D138" t="inlineStr">
        <is>
          <t>ÖREBRO LÄN</t>
        </is>
      </c>
      <c r="E138" t="inlineStr">
        <is>
          <t>HÄLLEFORS</t>
        </is>
      </c>
      <c r="G138" t="n">
        <v>1.4</v>
      </c>
      <c r="H138" t="n">
        <v>0</v>
      </c>
      <c r="I138" t="n">
        <v>0</v>
      </c>
      <c r="J138" t="n">
        <v>0</v>
      </c>
      <c r="K138" t="n">
        <v>0</v>
      </c>
      <c r="L138" t="n">
        <v>0</v>
      </c>
      <c r="M138" t="n">
        <v>0</v>
      </c>
      <c r="N138" t="n">
        <v>0</v>
      </c>
      <c r="O138" t="n">
        <v>0</v>
      </c>
      <c r="P138" t="n">
        <v>0</v>
      </c>
      <c r="Q138" t="n">
        <v>0</v>
      </c>
      <c r="R138" s="2" t="inlineStr"/>
    </row>
    <row r="139" ht="15" customHeight="1">
      <c r="A139" t="inlineStr">
        <is>
          <t>A 18582-2025</t>
        </is>
      </c>
      <c r="B139" s="1" t="n">
        <v>45763</v>
      </c>
      <c r="C139" s="1" t="n">
        <v>46189</v>
      </c>
      <c r="D139" t="inlineStr">
        <is>
          <t>ÖREBRO LÄN</t>
        </is>
      </c>
      <c r="E139" t="inlineStr">
        <is>
          <t>HÄLLEFORS</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5045-2025</t>
        </is>
      </c>
      <c r="B140" s="1" t="n">
        <v>45691.44689814815</v>
      </c>
      <c r="C140" s="1" t="n">
        <v>46189</v>
      </c>
      <c r="D140" t="inlineStr">
        <is>
          <t>ÖREBRO LÄN</t>
        </is>
      </c>
      <c r="E140" t="inlineStr">
        <is>
          <t>HÄLLEFORS</t>
        </is>
      </c>
      <c r="F140" t="inlineStr">
        <is>
          <t>Bergvik skog väst AB</t>
        </is>
      </c>
      <c r="G140" t="n">
        <v>6.4</v>
      </c>
      <c r="H140" t="n">
        <v>0</v>
      </c>
      <c r="I140" t="n">
        <v>0</v>
      </c>
      <c r="J140" t="n">
        <v>0</v>
      </c>
      <c r="K140" t="n">
        <v>0</v>
      </c>
      <c r="L140" t="n">
        <v>0</v>
      </c>
      <c r="M140" t="n">
        <v>0</v>
      </c>
      <c r="N140" t="n">
        <v>0</v>
      </c>
      <c r="O140" t="n">
        <v>0</v>
      </c>
      <c r="P140" t="n">
        <v>0</v>
      </c>
      <c r="Q140" t="n">
        <v>0</v>
      </c>
      <c r="R140" s="2" t="inlineStr"/>
    </row>
    <row r="141" ht="15" customHeight="1">
      <c r="A141" t="inlineStr">
        <is>
          <t>A 17098-2025</t>
        </is>
      </c>
      <c r="B141" s="1" t="n">
        <v>45755.65709490741</v>
      </c>
      <c r="C141" s="1" t="n">
        <v>46189</v>
      </c>
      <c r="D141" t="inlineStr">
        <is>
          <t>ÖREBRO LÄN</t>
        </is>
      </c>
      <c r="E141" t="inlineStr">
        <is>
          <t>HÄLLEFORS</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24359-2023</t>
        </is>
      </c>
      <c r="B142" s="1" t="n">
        <v>45082</v>
      </c>
      <c r="C142" s="1" t="n">
        <v>46189</v>
      </c>
      <c r="D142" t="inlineStr">
        <is>
          <t>ÖREBRO LÄN</t>
        </is>
      </c>
      <c r="E142" t="inlineStr">
        <is>
          <t>HÄLLEFORS</t>
        </is>
      </c>
      <c r="F142" t="inlineStr">
        <is>
          <t>Sveaskog</t>
        </is>
      </c>
      <c r="G142" t="n">
        <v>2</v>
      </c>
      <c r="H142" t="n">
        <v>0</v>
      </c>
      <c r="I142" t="n">
        <v>0</v>
      </c>
      <c r="J142" t="n">
        <v>0</v>
      </c>
      <c r="K142" t="n">
        <v>0</v>
      </c>
      <c r="L142" t="n">
        <v>0</v>
      </c>
      <c r="M142" t="n">
        <v>0</v>
      </c>
      <c r="N142" t="n">
        <v>0</v>
      </c>
      <c r="O142" t="n">
        <v>0</v>
      </c>
      <c r="P142" t="n">
        <v>0</v>
      </c>
      <c r="Q142" t="n">
        <v>0</v>
      </c>
      <c r="R142" s="2" t="inlineStr"/>
    </row>
    <row r="143" ht="15" customHeight="1">
      <c r="A143" t="inlineStr">
        <is>
          <t>A 34478-2022</t>
        </is>
      </c>
      <c r="B143" s="1" t="n">
        <v>44792.64494212963</v>
      </c>
      <c r="C143" s="1" t="n">
        <v>46189</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38908-2021</t>
        </is>
      </c>
      <c r="B144" s="1" t="n">
        <v>44411</v>
      </c>
      <c r="C144" s="1" t="n">
        <v>46189</v>
      </c>
      <c r="D144" t="inlineStr">
        <is>
          <t>ÖREBRO LÄN</t>
        </is>
      </c>
      <c r="E144" t="inlineStr">
        <is>
          <t>HÄLLEFORS</t>
        </is>
      </c>
      <c r="G144" t="n">
        <v>3.9</v>
      </c>
      <c r="H144" t="n">
        <v>0</v>
      </c>
      <c r="I144" t="n">
        <v>0</v>
      </c>
      <c r="J144" t="n">
        <v>0</v>
      </c>
      <c r="K144" t="n">
        <v>0</v>
      </c>
      <c r="L144" t="n">
        <v>0</v>
      </c>
      <c r="M144" t="n">
        <v>0</v>
      </c>
      <c r="N144" t="n">
        <v>0</v>
      </c>
      <c r="O144" t="n">
        <v>0</v>
      </c>
      <c r="P144" t="n">
        <v>0</v>
      </c>
      <c r="Q144" t="n">
        <v>0</v>
      </c>
      <c r="R144" s="2" t="inlineStr"/>
    </row>
    <row r="145" ht="15" customHeight="1">
      <c r="A145" t="inlineStr">
        <is>
          <t>A 46980-2023</t>
        </is>
      </c>
      <c r="B145" s="1" t="n">
        <v>45201</v>
      </c>
      <c r="C145" s="1" t="n">
        <v>46189</v>
      </c>
      <c r="D145" t="inlineStr">
        <is>
          <t>ÖREBRO LÄN</t>
        </is>
      </c>
      <c r="E145" t="inlineStr">
        <is>
          <t>HÄLLEFORS</t>
        </is>
      </c>
      <c r="F145" t="inlineStr">
        <is>
          <t>Bergvik skog väst AB</t>
        </is>
      </c>
      <c r="G145" t="n">
        <v>7.5</v>
      </c>
      <c r="H145" t="n">
        <v>0</v>
      </c>
      <c r="I145" t="n">
        <v>0</v>
      </c>
      <c r="J145" t="n">
        <v>0</v>
      </c>
      <c r="K145" t="n">
        <v>0</v>
      </c>
      <c r="L145" t="n">
        <v>0</v>
      </c>
      <c r="M145" t="n">
        <v>0</v>
      </c>
      <c r="N145" t="n">
        <v>0</v>
      </c>
      <c r="O145" t="n">
        <v>0</v>
      </c>
      <c r="P145" t="n">
        <v>0</v>
      </c>
      <c r="Q145" t="n">
        <v>0</v>
      </c>
      <c r="R145" s="2" t="inlineStr"/>
    </row>
    <row r="146" ht="15" customHeight="1">
      <c r="A146" t="inlineStr">
        <is>
          <t>A 51088-2022</t>
        </is>
      </c>
      <c r="B146" s="1" t="n">
        <v>44868.3935300926</v>
      </c>
      <c r="C146" s="1" t="n">
        <v>46189</v>
      </c>
      <c r="D146" t="inlineStr">
        <is>
          <t>ÖREBRO LÄN</t>
        </is>
      </c>
      <c r="E146" t="inlineStr">
        <is>
          <t>HÄLLEFORS</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9906-2024</t>
        </is>
      </c>
      <c r="B147" s="1" t="n">
        <v>45363.53322916666</v>
      </c>
      <c r="C147" s="1" t="n">
        <v>46189</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623-2023</t>
        </is>
      </c>
      <c r="B148" s="1" t="n">
        <v>44930</v>
      </c>
      <c r="C148" s="1" t="n">
        <v>46189</v>
      </c>
      <c r="D148" t="inlineStr">
        <is>
          <t>ÖREBRO LÄN</t>
        </is>
      </c>
      <c r="E148" t="inlineStr">
        <is>
          <t>HÄLLEFORS</t>
        </is>
      </c>
      <c r="G148" t="n">
        <v>1.4</v>
      </c>
      <c r="H148" t="n">
        <v>0</v>
      </c>
      <c r="I148" t="n">
        <v>0</v>
      </c>
      <c r="J148" t="n">
        <v>0</v>
      </c>
      <c r="K148" t="n">
        <v>0</v>
      </c>
      <c r="L148" t="n">
        <v>0</v>
      </c>
      <c r="M148" t="n">
        <v>0</v>
      </c>
      <c r="N148" t="n">
        <v>0</v>
      </c>
      <c r="O148" t="n">
        <v>0</v>
      </c>
      <c r="P148" t="n">
        <v>0</v>
      </c>
      <c r="Q148" t="n">
        <v>0</v>
      </c>
      <c r="R148" s="2" t="inlineStr"/>
    </row>
    <row r="149" ht="15" customHeight="1">
      <c r="A149" t="inlineStr">
        <is>
          <t>A 17764-2023</t>
        </is>
      </c>
      <c r="B149" s="1" t="n">
        <v>45037.50085648148</v>
      </c>
      <c r="C149" s="1" t="n">
        <v>46189</v>
      </c>
      <c r="D149" t="inlineStr">
        <is>
          <t>ÖREBRO LÄN</t>
        </is>
      </c>
      <c r="E149" t="inlineStr">
        <is>
          <t>HÄLLEFORS</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17333-2025</t>
        </is>
      </c>
      <c r="B150" s="1" t="n">
        <v>45756</v>
      </c>
      <c r="C150" s="1" t="n">
        <v>46189</v>
      </c>
      <c r="D150" t="inlineStr">
        <is>
          <t>ÖREBRO LÄN</t>
        </is>
      </c>
      <c r="E150" t="inlineStr">
        <is>
          <t>HÄLLEFORS</t>
        </is>
      </c>
      <c r="G150" t="n">
        <v>1</v>
      </c>
      <c r="H150" t="n">
        <v>0</v>
      </c>
      <c r="I150" t="n">
        <v>0</v>
      </c>
      <c r="J150" t="n">
        <v>0</v>
      </c>
      <c r="K150" t="n">
        <v>0</v>
      </c>
      <c r="L150" t="n">
        <v>0</v>
      </c>
      <c r="M150" t="n">
        <v>0</v>
      </c>
      <c r="N150" t="n">
        <v>0</v>
      </c>
      <c r="O150" t="n">
        <v>0</v>
      </c>
      <c r="P150" t="n">
        <v>0</v>
      </c>
      <c r="Q150" t="n">
        <v>0</v>
      </c>
      <c r="R150" s="2" t="inlineStr"/>
    </row>
    <row r="151" ht="15" customHeight="1">
      <c r="A151" t="inlineStr">
        <is>
          <t>A 17661-2025</t>
        </is>
      </c>
      <c r="B151" s="1" t="n">
        <v>45758.35846064815</v>
      </c>
      <c r="C151" s="1" t="n">
        <v>46189</v>
      </c>
      <c r="D151" t="inlineStr">
        <is>
          <t>ÖREBRO LÄN</t>
        </is>
      </c>
      <c r="E151" t="inlineStr">
        <is>
          <t>HÄLLEFORS</t>
        </is>
      </c>
      <c r="G151" t="n">
        <v>2.1</v>
      </c>
      <c r="H151" t="n">
        <v>0</v>
      </c>
      <c r="I151" t="n">
        <v>0</v>
      </c>
      <c r="J151" t="n">
        <v>0</v>
      </c>
      <c r="K151" t="n">
        <v>0</v>
      </c>
      <c r="L151" t="n">
        <v>0</v>
      </c>
      <c r="M151" t="n">
        <v>0</v>
      </c>
      <c r="N151" t="n">
        <v>0</v>
      </c>
      <c r="O151" t="n">
        <v>0</v>
      </c>
      <c r="P151" t="n">
        <v>0</v>
      </c>
      <c r="Q151" t="n">
        <v>0</v>
      </c>
      <c r="R151" s="2" t="inlineStr"/>
    </row>
    <row r="152" ht="15" customHeight="1">
      <c r="A152" t="inlineStr">
        <is>
          <t>A 71766-2021</t>
        </is>
      </c>
      <c r="B152" s="1" t="n">
        <v>44543</v>
      </c>
      <c r="C152" s="1" t="n">
        <v>46189</v>
      </c>
      <c r="D152" t="inlineStr">
        <is>
          <t>ÖREBRO LÄN</t>
        </is>
      </c>
      <c r="E152" t="inlineStr">
        <is>
          <t>HÄLLEFORS</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23037-2024</t>
        </is>
      </c>
      <c r="B153" s="1" t="n">
        <v>45450.3955787037</v>
      </c>
      <c r="C153" s="1" t="n">
        <v>46189</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44400-2025</t>
        </is>
      </c>
      <c r="B154" s="1" t="n">
        <v>45916.5037037037</v>
      </c>
      <c r="C154" s="1" t="n">
        <v>46189</v>
      </c>
      <c r="D154" t="inlineStr">
        <is>
          <t>ÖREBRO LÄN</t>
        </is>
      </c>
      <c r="E154" t="inlineStr">
        <is>
          <t>HÄLLEFORS</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59485-2022</t>
        </is>
      </c>
      <c r="B155" s="1" t="n">
        <v>44907</v>
      </c>
      <c r="C155" s="1" t="n">
        <v>46189</v>
      </c>
      <c r="D155" t="inlineStr">
        <is>
          <t>ÖREBRO LÄN</t>
        </is>
      </c>
      <c r="E155" t="inlineStr">
        <is>
          <t>HÄLLEFORS</t>
        </is>
      </c>
      <c r="F155" t="inlineStr">
        <is>
          <t>Bergvik skog väst AB</t>
        </is>
      </c>
      <c r="G155" t="n">
        <v>1.3</v>
      </c>
      <c r="H155" t="n">
        <v>0</v>
      </c>
      <c r="I155" t="n">
        <v>0</v>
      </c>
      <c r="J155" t="n">
        <v>0</v>
      </c>
      <c r="K155" t="n">
        <v>0</v>
      </c>
      <c r="L155" t="n">
        <v>0</v>
      </c>
      <c r="M155" t="n">
        <v>0</v>
      </c>
      <c r="N155" t="n">
        <v>0</v>
      </c>
      <c r="O155" t="n">
        <v>0</v>
      </c>
      <c r="P155" t="n">
        <v>0</v>
      </c>
      <c r="Q155" t="n">
        <v>0</v>
      </c>
      <c r="R155" s="2" t="inlineStr"/>
    </row>
    <row r="156" ht="15" customHeight="1">
      <c r="A156" t="inlineStr">
        <is>
          <t>A 55300-2023</t>
        </is>
      </c>
      <c r="B156" s="1" t="n">
        <v>45237.83621527778</v>
      </c>
      <c r="C156" s="1" t="n">
        <v>46189</v>
      </c>
      <c r="D156" t="inlineStr">
        <is>
          <t>ÖREBRO LÄN</t>
        </is>
      </c>
      <c r="E156" t="inlineStr">
        <is>
          <t>HÄLLEFORS</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15073-2022</t>
        </is>
      </c>
      <c r="B157" s="1" t="n">
        <v>44657</v>
      </c>
      <c r="C157" s="1" t="n">
        <v>46189</v>
      </c>
      <c r="D157" t="inlineStr">
        <is>
          <t>ÖREBRO LÄN</t>
        </is>
      </c>
      <c r="E157" t="inlineStr">
        <is>
          <t>HÄLLEFORS</t>
        </is>
      </c>
      <c r="G157" t="n">
        <v>2.3</v>
      </c>
      <c r="H157" t="n">
        <v>0</v>
      </c>
      <c r="I157" t="n">
        <v>0</v>
      </c>
      <c r="J157" t="n">
        <v>0</v>
      </c>
      <c r="K157" t="n">
        <v>0</v>
      </c>
      <c r="L157" t="n">
        <v>0</v>
      </c>
      <c r="M157" t="n">
        <v>0</v>
      </c>
      <c r="N157" t="n">
        <v>0</v>
      </c>
      <c r="O157" t="n">
        <v>0</v>
      </c>
      <c r="P157" t="n">
        <v>0</v>
      </c>
      <c r="Q157" t="n">
        <v>0</v>
      </c>
      <c r="R157" s="2" t="inlineStr"/>
    </row>
    <row r="158" ht="15" customHeight="1">
      <c r="A158" t="inlineStr">
        <is>
          <t>A 30282-2023</t>
        </is>
      </c>
      <c r="B158" s="1" t="n">
        <v>45110.90550925926</v>
      </c>
      <c r="C158" s="1" t="n">
        <v>46189</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47854-2025</t>
        </is>
      </c>
      <c r="B159" s="1" t="n">
        <v>45932.39532407407</v>
      </c>
      <c r="C159" s="1" t="n">
        <v>46189</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48961-2025</t>
        </is>
      </c>
      <c r="B160" s="1" t="n">
        <v>45936</v>
      </c>
      <c r="C160" s="1" t="n">
        <v>46189</v>
      </c>
      <c r="D160" t="inlineStr">
        <is>
          <t>ÖREBRO LÄN</t>
        </is>
      </c>
      <c r="E160" t="inlineStr">
        <is>
          <t>HÄLLEFORS</t>
        </is>
      </c>
      <c r="G160" t="n">
        <v>3.7</v>
      </c>
      <c r="H160" t="n">
        <v>0</v>
      </c>
      <c r="I160" t="n">
        <v>0</v>
      </c>
      <c r="J160" t="n">
        <v>0</v>
      </c>
      <c r="K160" t="n">
        <v>0</v>
      </c>
      <c r="L160" t="n">
        <v>0</v>
      </c>
      <c r="M160" t="n">
        <v>0</v>
      </c>
      <c r="N160" t="n">
        <v>0</v>
      </c>
      <c r="O160" t="n">
        <v>0</v>
      </c>
      <c r="P160" t="n">
        <v>0</v>
      </c>
      <c r="Q160" t="n">
        <v>0</v>
      </c>
      <c r="R160" s="2" t="inlineStr"/>
    </row>
    <row r="161" ht="15" customHeight="1">
      <c r="A161" t="inlineStr">
        <is>
          <t>A 38010-2024</t>
        </is>
      </c>
      <c r="B161" s="1" t="n">
        <v>45544.62276620371</v>
      </c>
      <c r="C161" s="1" t="n">
        <v>46189</v>
      </c>
      <c r="D161" t="inlineStr">
        <is>
          <t>ÖREBRO LÄN</t>
        </is>
      </c>
      <c r="E161" t="inlineStr">
        <is>
          <t>HÄLLEFORS</t>
        </is>
      </c>
      <c r="G161" t="n">
        <v>22.7</v>
      </c>
      <c r="H161" t="n">
        <v>0</v>
      </c>
      <c r="I161" t="n">
        <v>0</v>
      </c>
      <c r="J161" t="n">
        <v>0</v>
      </c>
      <c r="K161" t="n">
        <v>0</v>
      </c>
      <c r="L161" t="n">
        <v>0</v>
      </c>
      <c r="M161" t="n">
        <v>0</v>
      </c>
      <c r="N161" t="n">
        <v>0</v>
      </c>
      <c r="O161" t="n">
        <v>0</v>
      </c>
      <c r="P161" t="n">
        <v>0</v>
      </c>
      <c r="Q161" t="n">
        <v>0</v>
      </c>
      <c r="R161" s="2" t="inlineStr"/>
    </row>
    <row r="162" ht="15" customHeight="1">
      <c r="A162" t="inlineStr">
        <is>
          <t>A 30592-2024</t>
        </is>
      </c>
      <c r="B162" s="1" t="n">
        <v>45493.31666666667</v>
      </c>
      <c r="C162" s="1" t="n">
        <v>46189</v>
      </c>
      <c r="D162" t="inlineStr">
        <is>
          <t>ÖREBRO LÄN</t>
        </is>
      </c>
      <c r="E162" t="inlineStr">
        <is>
          <t>HÄLLEFORS</t>
        </is>
      </c>
      <c r="G162" t="n">
        <v>7.1</v>
      </c>
      <c r="H162" t="n">
        <v>0</v>
      </c>
      <c r="I162" t="n">
        <v>0</v>
      </c>
      <c r="J162" t="n">
        <v>0</v>
      </c>
      <c r="K162" t="n">
        <v>0</v>
      </c>
      <c r="L162" t="n">
        <v>0</v>
      </c>
      <c r="M162" t="n">
        <v>0</v>
      </c>
      <c r="N162" t="n">
        <v>0</v>
      </c>
      <c r="O162" t="n">
        <v>0</v>
      </c>
      <c r="P162" t="n">
        <v>0</v>
      </c>
      <c r="Q162" t="n">
        <v>0</v>
      </c>
      <c r="R162" s="2" t="inlineStr"/>
    </row>
    <row r="163" ht="15" customHeight="1">
      <c r="A163" t="inlineStr">
        <is>
          <t>A 7774-2022</t>
        </is>
      </c>
      <c r="B163" s="1" t="n">
        <v>44608.45725694444</v>
      </c>
      <c r="C163" s="1" t="n">
        <v>46189</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39513-2024</t>
        </is>
      </c>
      <c r="B164" s="1" t="n">
        <v>45551</v>
      </c>
      <c r="C164" s="1" t="n">
        <v>46189</v>
      </c>
      <c r="D164" t="inlineStr">
        <is>
          <t>ÖREBRO LÄN</t>
        </is>
      </c>
      <c r="E164" t="inlineStr">
        <is>
          <t>HÄLLEFORS</t>
        </is>
      </c>
      <c r="G164" t="n">
        <v>0.7</v>
      </c>
      <c r="H164" t="n">
        <v>0</v>
      </c>
      <c r="I164" t="n">
        <v>0</v>
      </c>
      <c r="J164" t="n">
        <v>0</v>
      </c>
      <c r="K164" t="n">
        <v>0</v>
      </c>
      <c r="L164" t="n">
        <v>0</v>
      </c>
      <c r="M164" t="n">
        <v>0</v>
      </c>
      <c r="N164" t="n">
        <v>0</v>
      </c>
      <c r="O164" t="n">
        <v>0</v>
      </c>
      <c r="P164" t="n">
        <v>0</v>
      </c>
      <c r="Q164" t="n">
        <v>0</v>
      </c>
      <c r="R164" s="2" t="inlineStr"/>
    </row>
    <row r="165" ht="15" customHeight="1">
      <c r="A165" t="inlineStr">
        <is>
          <t>A 48765-2025</t>
        </is>
      </c>
      <c r="B165" s="1" t="n">
        <v>45936.85859953704</v>
      </c>
      <c r="C165" s="1" t="n">
        <v>46189</v>
      </c>
      <c r="D165" t="inlineStr">
        <is>
          <t>ÖREBRO LÄN</t>
        </is>
      </c>
      <c r="E165" t="inlineStr">
        <is>
          <t>HÄLLEFORS</t>
        </is>
      </c>
      <c r="F165" t="inlineStr">
        <is>
          <t>Bergvik skog väst AB</t>
        </is>
      </c>
      <c r="G165" t="n">
        <v>17.6</v>
      </c>
      <c r="H165" t="n">
        <v>0</v>
      </c>
      <c r="I165" t="n">
        <v>0</v>
      </c>
      <c r="J165" t="n">
        <v>0</v>
      </c>
      <c r="K165" t="n">
        <v>0</v>
      </c>
      <c r="L165" t="n">
        <v>0</v>
      </c>
      <c r="M165" t="n">
        <v>0</v>
      </c>
      <c r="N165" t="n">
        <v>0</v>
      </c>
      <c r="O165" t="n">
        <v>0</v>
      </c>
      <c r="P165" t="n">
        <v>0</v>
      </c>
      <c r="Q165" t="n">
        <v>0</v>
      </c>
      <c r="R165" s="2" t="inlineStr"/>
    </row>
    <row r="166" ht="15" customHeight="1">
      <c r="A166" t="inlineStr">
        <is>
          <t>A 27935-2023</t>
        </is>
      </c>
      <c r="B166" s="1" t="n">
        <v>45098.65641203704</v>
      </c>
      <c r="C166" s="1" t="n">
        <v>46189</v>
      </c>
      <c r="D166" t="inlineStr">
        <is>
          <t>ÖREBRO LÄN</t>
        </is>
      </c>
      <c r="E166" t="inlineStr">
        <is>
          <t>HÄLLEFORS</t>
        </is>
      </c>
      <c r="G166" t="n">
        <v>1.1</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46189</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50881-2025</t>
        </is>
      </c>
      <c r="B168" s="1" t="n">
        <v>45946.62914351852</v>
      </c>
      <c r="C168" s="1" t="n">
        <v>46189</v>
      </c>
      <c r="D168" t="inlineStr">
        <is>
          <t>ÖREBRO LÄN</t>
        </is>
      </c>
      <c r="E168" t="inlineStr">
        <is>
          <t>HÄLLEFORS</t>
        </is>
      </c>
      <c r="F168" t="inlineStr">
        <is>
          <t>Bergvik skog väst AB</t>
        </is>
      </c>
      <c r="G168" t="n">
        <v>2.6</v>
      </c>
      <c r="H168" t="n">
        <v>0</v>
      </c>
      <c r="I168" t="n">
        <v>0</v>
      </c>
      <c r="J168" t="n">
        <v>0</v>
      </c>
      <c r="K168" t="n">
        <v>0</v>
      </c>
      <c r="L168" t="n">
        <v>0</v>
      </c>
      <c r="M168" t="n">
        <v>0</v>
      </c>
      <c r="N168" t="n">
        <v>0</v>
      </c>
      <c r="O168" t="n">
        <v>0</v>
      </c>
      <c r="P168" t="n">
        <v>0</v>
      </c>
      <c r="Q168" t="n">
        <v>0</v>
      </c>
      <c r="R168" s="2" t="inlineStr"/>
    </row>
    <row r="169" ht="15" customHeight="1">
      <c r="A169" t="inlineStr">
        <is>
          <t>A 50798-2025</t>
        </is>
      </c>
      <c r="B169" s="1" t="n">
        <v>45946.48537037037</v>
      </c>
      <c r="C169" s="1" t="n">
        <v>46189</v>
      </c>
      <c r="D169" t="inlineStr">
        <is>
          <t>ÖREBRO LÄN</t>
        </is>
      </c>
      <c r="E169" t="inlineStr">
        <is>
          <t>HÄLLEFORS</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50794-2025</t>
        </is>
      </c>
      <c r="B170" s="1" t="n">
        <v>45946.47722222222</v>
      </c>
      <c r="C170" s="1" t="n">
        <v>46189</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8513-2022</t>
        </is>
      </c>
      <c r="B171" s="1" t="n">
        <v>44613</v>
      </c>
      <c r="C171" s="1" t="n">
        <v>46189</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52453-2025</t>
        </is>
      </c>
      <c r="B172" s="1" t="n">
        <v>45954.42596064815</v>
      </c>
      <c r="C172" s="1" t="n">
        <v>46189</v>
      </c>
      <c r="D172" t="inlineStr">
        <is>
          <t>ÖREBRO LÄN</t>
        </is>
      </c>
      <c r="E172" t="inlineStr">
        <is>
          <t>HÄLLEFORS</t>
        </is>
      </c>
      <c r="F172" t="inlineStr">
        <is>
          <t>Bergvik skog väst AB</t>
        </is>
      </c>
      <c r="G172" t="n">
        <v>2.7</v>
      </c>
      <c r="H172" t="n">
        <v>0</v>
      </c>
      <c r="I172" t="n">
        <v>0</v>
      </c>
      <c r="J172" t="n">
        <v>0</v>
      </c>
      <c r="K172" t="n">
        <v>0</v>
      </c>
      <c r="L172" t="n">
        <v>0</v>
      </c>
      <c r="M172" t="n">
        <v>0</v>
      </c>
      <c r="N172" t="n">
        <v>0</v>
      </c>
      <c r="O172" t="n">
        <v>0</v>
      </c>
      <c r="P172" t="n">
        <v>0</v>
      </c>
      <c r="Q172" t="n">
        <v>0</v>
      </c>
      <c r="R172" s="2" t="inlineStr"/>
    </row>
    <row r="173" ht="15" customHeight="1">
      <c r="A173" t="inlineStr">
        <is>
          <t>A 52449-2025</t>
        </is>
      </c>
      <c r="B173" s="1" t="n">
        <v>45954.41862268518</v>
      </c>
      <c r="C173" s="1" t="n">
        <v>46189</v>
      </c>
      <c r="D173" t="inlineStr">
        <is>
          <t>ÖREBRO LÄN</t>
        </is>
      </c>
      <c r="E173" t="inlineStr">
        <is>
          <t>HÄLLEFORS</t>
        </is>
      </c>
      <c r="F173" t="inlineStr">
        <is>
          <t>Bergvik skog väst AB</t>
        </is>
      </c>
      <c r="G173" t="n">
        <v>3.1</v>
      </c>
      <c r="H173" t="n">
        <v>0</v>
      </c>
      <c r="I173" t="n">
        <v>0</v>
      </c>
      <c r="J173" t="n">
        <v>0</v>
      </c>
      <c r="K173" t="n">
        <v>0</v>
      </c>
      <c r="L173" t="n">
        <v>0</v>
      </c>
      <c r="M173" t="n">
        <v>0</v>
      </c>
      <c r="N173" t="n">
        <v>0</v>
      </c>
      <c r="O173" t="n">
        <v>0</v>
      </c>
      <c r="P173" t="n">
        <v>0</v>
      </c>
      <c r="Q173" t="n">
        <v>0</v>
      </c>
      <c r="R173" s="2" t="inlineStr"/>
    </row>
    <row r="174" ht="15" customHeight="1">
      <c r="A174" t="inlineStr">
        <is>
          <t>A 21315-2024</t>
        </is>
      </c>
      <c r="B174" s="1" t="n">
        <v>45440</v>
      </c>
      <c r="C174" s="1" t="n">
        <v>46189</v>
      </c>
      <c r="D174" t="inlineStr">
        <is>
          <t>ÖREBRO LÄN</t>
        </is>
      </c>
      <c r="E174" t="inlineStr">
        <is>
          <t>HÄLLEFORS</t>
        </is>
      </c>
      <c r="G174" t="n">
        <v>3.1</v>
      </c>
      <c r="H174" t="n">
        <v>0</v>
      </c>
      <c r="I174" t="n">
        <v>0</v>
      </c>
      <c r="J174" t="n">
        <v>0</v>
      </c>
      <c r="K174" t="n">
        <v>0</v>
      </c>
      <c r="L174" t="n">
        <v>0</v>
      </c>
      <c r="M174" t="n">
        <v>0</v>
      </c>
      <c r="N174" t="n">
        <v>0</v>
      </c>
      <c r="O174" t="n">
        <v>0</v>
      </c>
      <c r="P174" t="n">
        <v>0</v>
      </c>
      <c r="Q174" t="n">
        <v>0</v>
      </c>
      <c r="R174" s="2" t="inlineStr"/>
    </row>
    <row r="175" ht="15" customHeight="1">
      <c r="A175" t="inlineStr">
        <is>
          <t>A 60312-2024</t>
        </is>
      </c>
      <c r="B175" s="1" t="n">
        <v>45643</v>
      </c>
      <c r="C175" s="1" t="n">
        <v>46189</v>
      </c>
      <c r="D175" t="inlineStr">
        <is>
          <t>ÖREBRO LÄN</t>
        </is>
      </c>
      <c r="E175" t="inlineStr">
        <is>
          <t>HÄLLEFORS</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53337-2025</t>
        </is>
      </c>
      <c r="B176" s="1" t="n">
        <v>45959.40310185185</v>
      </c>
      <c r="C176" s="1" t="n">
        <v>46189</v>
      </c>
      <c r="D176" t="inlineStr">
        <is>
          <t>ÖREBRO LÄN</t>
        </is>
      </c>
      <c r="E176" t="inlineStr">
        <is>
          <t>HÄLLEFORS</t>
        </is>
      </c>
      <c r="G176" t="n">
        <v>4.8</v>
      </c>
      <c r="H176" t="n">
        <v>0</v>
      </c>
      <c r="I176" t="n">
        <v>0</v>
      </c>
      <c r="J176" t="n">
        <v>0</v>
      </c>
      <c r="K176" t="n">
        <v>0</v>
      </c>
      <c r="L176" t="n">
        <v>0</v>
      </c>
      <c r="M176" t="n">
        <v>0</v>
      </c>
      <c r="N176" t="n">
        <v>0</v>
      </c>
      <c r="O176" t="n">
        <v>0</v>
      </c>
      <c r="P176" t="n">
        <v>0</v>
      </c>
      <c r="Q176" t="n">
        <v>0</v>
      </c>
      <c r="R176" s="2" t="inlineStr"/>
    </row>
    <row r="177" ht="15" customHeight="1">
      <c r="A177" t="inlineStr">
        <is>
          <t>A 53341-2025</t>
        </is>
      </c>
      <c r="B177" s="1" t="n">
        <v>45959.41048611111</v>
      </c>
      <c r="C177" s="1" t="n">
        <v>46189</v>
      </c>
      <c r="D177" t="inlineStr">
        <is>
          <t>ÖREBRO LÄN</t>
        </is>
      </c>
      <c r="E177" t="inlineStr">
        <is>
          <t>HÄLLEFORS</t>
        </is>
      </c>
      <c r="G177" t="n">
        <v>1</v>
      </c>
      <c r="H177" t="n">
        <v>0</v>
      </c>
      <c r="I177" t="n">
        <v>0</v>
      </c>
      <c r="J177" t="n">
        <v>0</v>
      </c>
      <c r="K177" t="n">
        <v>0</v>
      </c>
      <c r="L177" t="n">
        <v>0</v>
      </c>
      <c r="M177" t="n">
        <v>0</v>
      </c>
      <c r="N177" t="n">
        <v>0</v>
      </c>
      <c r="O177" t="n">
        <v>0</v>
      </c>
      <c r="P177" t="n">
        <v>0</v>
      </c>
      <c r="Q177" t="n">
        <v>0</v>
      </c>
      <c r="R177" s="2" t="inlineStr"/>
    </row>
    <row r="178" ht="15" customHeight="1">
      <c r="A178" t="inlineStr">
        <is>
          <t>A 53335-2025</t>
        </is>
      </c>
      <c r="B178" s="1" t="n">
        <v>45959.38943287037</v>
      </c>
      <c r="C178" s="1" t="n">
        <v>46189</v>
      </c>
      <c r="D178" t="inlineStr">
        <is>
          <t>ÖREBRO LÄN</t>
        </is>
      </c>
      <c r="E178" t="inlineStr">
        <is>
          <t>HÄLLEFORS</t>
        </is>
      </c>
      <c r="G178" t="n">
        <v>2</v>
      </c>
      <c r="H178" t="n">
        <v>0</v>
      </c>
      <c r="I178" t="n">
        <v>0</v>
      </c>
      <c r="J178" t="n">
        <v>0</v>
      </c>
      <c r="K178" t="n">
        <v>0</v>
      </c>
      <c r="L178" t="n">
        <v>0</v>
      </c>
      <c r="M178" t="n">
        <v>0</v>
      </c>
      <c r="N178" t="n">
        <v>0</v>
      </c>
      <c r="O178" t="n">
        <v>0</v>
      </c>
      <c r="P178" t="n">
        <v>0</v>
      </c>
      <c r="Q178" t="n">
        <v>0</v>
      </c>
      <c r="R178" s="2" t="inlineStr"/>
    </row>
    <row r="179" ht="15" customHeight="1">
      <c r="A179" t="inlineStr">
        <is>
          <t>A 53331-2025</t>
        </is>
      </c>
      <c r="B179" s="1" t="n">
        <v>45959.37532407408</v>
      </c>
      <c r="C179" s="1" t="n">
        <v>46189</v>
      </c>
      <c r="D179" t="inlineStr">
        <is>
          <t>ÖREBRO LÄN</t>
        </is>
      </c>
      <c r="E179" t="inlineStr">
        <is>
          <t>HÄLLEFORS</t>
        </is>
      </c>
      <c r="G179" t="n">
        <v>3.2</v>
      </c>
      <c r="H179" t="n">
        <v>0</v>
      </c>
      <c r="I179" t="n">
        <v>0</v>
      </c>
      <c r="J179" t="n">
        <v>0</v>
      </c>
      <c r="K179" t="n">
        <v>0</v>
      </c>
      <c r="L179" t="n">
        <v>0</v>
      </c>
      <c r="M179" t="n">
        <v>0</v>
      </c>
      <c r="N179" t="n">
        <v>0</v>
      </c>
      <c r="O179" t="n">
        <v>0</v>
      </c>
      <c r="P179" t="n">
        <v>0</v>
      </c>
      <c r="Q179" t="n">
        <v>0</v>
      </c>
      <c r="R179" s="2" t="inlineStr"/>
    </row>
    <row r="180" ht="15" customHeight="1">
      <c r="A180" t="inlineStr">
        <is>
          <t>A 38402-2023</t>
        </is>
      </c>
      <c r="B180" s="1" t="n">
        <v>45162</v>
      </c>
      <c r="C180" s="1" t="n">
        <v>46189</v>
      </c>
      <c r="D180" t="inlineStr">
        <is>
          <t>ÖREBRO LÄN</t>
        </is>
      </c>
      <c r="E180" t="inlineStr">
        <is>
          <t>HÄLLEFORS</t>
        </is>
      </c>
      <c r="F180" t="inlineStr">
        <is>
          <t>Bergvik skog väst AB</t>
        </is>
      </c>
      <c r="G180" t="n">
        <v>8.5</v>
      </c>
      <c r="H180" t="n">
        <v>0</v>
      </c>
      <c r="I180" t="n">
        <v>0</v>
      </c>
      <c r="J180" t="n">
        <v>0</v>
      </c>
      <c r="K180" t="n">
        <v>0</v>
      </c>
      <c r="L180" t="n">
        <v>0</v>
      </c>
      <c r="M180" t="n">
        <v>0</v>
      </c>
      <c r="N180" t="n">
        <v>0</v>
      </c>
      <c r="O180" t="n">
        <v>0</v>
      </c>
      <c r="P180" t="n">
        <v>0</v>
      </c>
      <c r="Q180" t="n">
        <v>0</v>
      </c>
      <c r="R180" s="2" t="inlineStr"/>
    </row>
    <row r="181" ht="15" customHeight="1">
      <c r="A181" t="inlineStr">
        <is>
          <t>A 53952-2025</t>
        </is>
      </c>
      <c r="B181" s="1" t="n">
        <v>45961.5049537037</v>
      </c>
      <c r="C181" s="1" t="n">
        <v>46189</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8615-2025</t>
        </is>
      </c>
      <c r="B182" s="1" t="n">
        <v>45710.81305555555</v>
      </c>
      <c r="C182" s="1" t="n">
        <v>46189</v>
      </c>
      <c r="D182" t="inlineStr">
        <is>
          <t>ÖREBRO LÄN</t>
        </is>
      </c>
      <c r="E182" t="inlineStr">
        <is>
          <t>HÄLLEFORS</t>
        </is>
      </c>
      <c r="G182" t="n">
        <v>6.2</v>
      </c>
      <c r="H182" t="n">
        <v>0</v>
      </c>
      <c r="I182" t="n">
        <v>0</v>
      </c>
      <c r="J182" t="n">
        <v>0</v>
      </c>
      <c r="K182" t="n">
        <v>0</v>
      </c>
      <c r="L182" t="n">
        <v>0</v>
      </c>
      <c r="M182" t="n">
        <v>0</v>
      </c>
      <c r="N182" t="n">
        <v>0</v>
      </c>
      <c r="O182" t="n">
        <v>0</v>
      </c>
      <c r="P182" t="n">
        <v>0</v>
      </c>
      <c r="Q182" t="n">
        <v>0</v>
      </c>
      <c r="R182" s="2" t="inlineStr"/>
    </row>
    <row r="183" ht="15" customHeight="1">
      <c r="A183" t="inlineStr">
        <is>
          <t>A 59957-2024</t>
        </is>
      </c>
      <c r="B183" s="1" t="n">
        <v>45642.35061342592</v>
      </c>
      <c r="C183" s="1" t="n">
        <v>46189</v>
      </c>
      <c r="D183" t="inlineStr">
        <is>
          <t>ÖREBRO LÄN</t>
        </is>
      </c>
      <c r="E183" t="inlineStr">
        <is>
          <t>HÄLLEFORS</t>
        </is>
      </c>
      <c r="F183" t="inlineStr">
        <is>
          <t>Bergvik skog väst AB</t>
        </is>
      </c>
      <c r="G183" t="n">
        <v>4.3</v>
      </c>
      <c r="H183" t="n">
        <v>0</v>
      </c>
      <c r="I183" t="n">
        <v>0</v>
      </c>
      <c r="J183" t="n">
        <v>0</v>
      </c>
      <c r="K183" t="n">
        <v>0</v>
      </c>
      <c r="L183" t="n">
        <v>0</v>
      </c>
      <c r="M183" t="n">
        <v>0</v>
      </c>
      <c r="N183" t="n">
        <v>0</v>
      </c>
      <c r="O183" t="n">
        <v>0</v>
      </c>
      <c r="P183" t="n">
        <v>0</v>
      </c>
      <c r="Q183" t="n">
        <v>0</v>
      </c>
      <c r="R183" s="2" t="inlineStr"/>
    </row>
    <row r="184" ht="15" customHeight="1">
      <c r="A184" t="inlineStr">
        <is>
          <t>A 59959-2024</t>
        </is>
      </c>
      <c r="B184" s="1" t="n">
        <v>45642.35097222222</v>
      </c>
      <c r="C184" s="1" t="n">
        <v>46189</v>
      </c>
      <c r="D184" t="inlineStr">
        <is>
          <t>ÖREBRO LÄN</t>
        </is>
      </c>
      <c r="E184" t="inlineStr">
        <is>
          <t>HÄLLEFORS</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8503-2022</t>
        </is>
      </c>
      <c r="B185" s="1" t="n">
        <v>44613</v>
      </c>
      <c r="C185" s="1" t="n">
        <v>46189</v>
      </c>
      <c r="D185" t="inlineStr">
        <is>
          <t>ÖREBRO LÄN</t>
        </is>
      </c>
      <c r="E185" t="inlineStr">
        <is>
          <t>HÄLLEFORS</t>
        </is>
      </c>
      <c r="F185" t="inlineStr">
        <is>
          <t>Bergvik skog väst AB</t>
        </is>
      </c>
      <c r="G185" t="n">
        <v>3.4</v>
      </c>
      <c r="H185" t="n">
        <v>0</v>
      </c>
      <c r="I185" t="n">
        <v>0</v>
      </c>
      <c r="J185" t="n">
        <v>0</v>
      </c>
      <c r="K185" t="n">
        <v>0</v>
      </c>
      <c r="L185" t="n">
        <v>0</v>
      </c>
      <c r="M185" t="n">
        <v>0</v>
      </c>
      <c r="N185" t="n">
        <v>0</v>
      </c>
      <c r="O185" t="n">
        <v>0</v>
      </c>
      <c r="P185" t="n">
        <v>0</v>
      </c>
      <c r="Q185" t="n">
        <v>0</v>
      </c>
      <c r="R185" s="2" t="inlineStr"/>
    </row>
    <row r="186" ht="15" customHeight="1">
      <c r="A186" t="inlineStr">
        <is>
          <t>A 55745-2024</t>
        </is>
      </c>
      <c r="B186" s="1" t="n">
        <v>45623.3168287037</v>
      </c>
      <c r="C186" s="1" t="n">
        <v>46189</v>
      </c>
      <c r="D186" t="inlineStr">
        <is>
          <t>ÖREBRO LÄN</t>
        </is>
      </c>
      <c r="E186" t="inlineStr">
        <is>
          <t>HÄLLEFORS</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33617-2022</t>
        </is>
      </c>
      <c r="B187" s="1" t="n">
        <v>44782</v>
      </c>
      <c r="C187" s="1" t="n">
        <v>46189</v>
      </c>
      <c r="D187" t="inlineStr">
        <is>
          <t>ÖREBRO LÄN</t>
        </is>
      </c>
      <c r="E187" t="inlineStr">
        <is>
          <t>HÄLLEFORS</t>
        </is>
      </c>
      <c r="G187" t="n">
        <v>8.6</v>
      </c>
      <c r="H187" t="n">
        <v>0</v>
      </c>
      <c r="I187" t="n">
        <v>0</v>
      </c>
      <c r="J187" t="n">
        <v>0</v>
      </c>
      <c r="K187" t="n">
        <v>0</v>
      </c>
      <c r="L187" t="n">
        <v>0</v>
      </c>
      <c r="M187" t="n">
        <v>0</v>
      </c>
      <c r="N187" t="n">
        <v>0</v>
      </c>
      <c r="O187" t="n">
        <v>0</v>
      </c>
      <c r="P187" t="n">
        <v>0</v>
      </c>
      <c r="Q187" t="n">
        <v>0</v>
      </c>
      <c r="R187" s="2" t="inlineStr"/>
    </row>
    <row r="188" ht="15" customHeight="1">
      <c r="A188" t="inlineStr">
        <is>
          <t>A 57421-2025</t>
        </is>
      </c>
      <c r="B188" s="1" t="n">
        <v>45980.45798611111</v>
      </c>
      <c r="C188" s="1" t="n">
        <v>46189</v>
      </c>
      <c r="D188" t="inlineStr">
        <is>
          <t>ÖREBRO LÄN</t>
        </is>
      </c>
      <c r="E188" t="inlineStr">
        <is>
          <t>HÄLLEFORS</t>
        </is>
      </c>
      <c r="G188" t="n">
        <v>2.5</v>
      </c>
      <c r="H188" t="n">
        <v>0</v>
      </c>
      <c r="I188" t="n">
        <v>0</v>
      </c>
      <c r="J188" t="n">
        <v>0</v>
      </c>
      <c r="K188" t="n">
        <v>0</v>
      </c>
      <c r="L188" t="n">
        <v>0</v>
      </c>
      <c r="M188" t="n">
        <v>0</v>
      </c>
      <c r="N188" t="n">
        <v>0</v>
      </c>
      <c r="O188" t="n">
        <v>0</v>
      </c>
      <c r="P188" t="n">
        <v>0</v>
      </c>
      <c r="Q188" t="n">
        <v>0</v>
      </c>
      <c r="R188" s="2" t="inlineStr"/>
    </row>
    <row r="189" ht="15" customHeight="1">
      <c r="A189" t="inlineStr">
        <is>
          <t>A 1019-2025</t>
        </is>
      </c>
      <c r="B189" s="1" t="n">
        <v>45666.49216435185</v>
      </c>
      <c r="C189" s="1" t="n">
        <v>46189</v>
      </c>
      <c r="D189" t="inlineStr">
        <is>
          <t>ÖREBRO LÄN</t>
        </is>
      </c>
      <c r="E189" t="inlineStr">
        <is>
          <t>HÄLLEFORS</t>
        </is>
      </c>
      <c r="G189" t="n">
        <v>0.4</v>
      </c>
      <c r="H189" t="n">
        <v>0</v>
      </c>
      <c r="I189" t="n">
        <v>0</v>
      </c>
      <c r="J189" t="n">
        <v>0</v>
      </c>
      <c r="K189" t="n">
        <v>0</v>
      </c>
      <c r="L189" t="n">
        <v>0</v>
      </c>
      <c r="M189" t="n">
        <v>0</v>
      </c>
      <c r="N189" t="n">
        <v>0</v>
      </c>
      <c r="O189" t="n">
        <v>0</v>
      </c>
      <c r="P189" t="n">
        <v>0</v>
      </c>
      <c r="Q189" t="n">
        <v>0</v>
      </c>
      <c r="R189" s="2" t="inlineStr"/>
    </row>
    <row r="190" ht="15" customHeight="1">
      <c r="A190" t="inlineStr">
        <is>
          <t>A 57494-2025</t>
        </is>
      </c>
      <c r="B190" s="1" t="n">
        <v>45980.5859375</v>
      </c>
      <c r="C190" s="1" t="n">
        <v>46189</v>
      </c>
      <c r="D190" t="inlineStr">
        <is>
          <t>ÖREBRO LÄN</t>
        </is>
      </c>
      <c r="E190" t="inlineStr">
        <is>
          <t>HÄLLEFORS</t>
        </is>
      </c>
      <c r="G190" t="n">
        <v>2.3</v>
      </c>
      <c r="H190" t="n">
        <v>0</v>
      </c>
      <c r="I190" t="n">
        <v>0</v>
      </c>
      <c r="J190" t="n">
        <v>0</v>
      </c>
      <c r="K190" t="n">
        <v>0</v>
      </c>
      <c r="L190" t="n">
        <v>0</v>
      </c>
      <c r="M190" t="n">
        <v>0</v>
      </c>
      <c r="N190" t="n">
        <v>0</v>
      </c>
      <c r="O190" t="n">
        <v>0</v>
      </c>
      <c r="P190" t="n">
        <v>0</v>
      </c>
      <c r="Q190" t="n">
        <v>0</v>
      </c>
      <c r="R190" s="2" t="inlineStr"/>
    </row>
    <row r="191" ht="15" customHeight="1">
      <c r="A191" t="inlineStr">
        <is>
          <t>A 20128-2024</t>
        </is>
      </c>
      <c r="B191" s="1" t="n">
        <v>45434.5571412037</v>
      </c>
      <c r="C191" s="1" t="n">
        <v>46189</v>
      </c>
      <c r="D191" t="inlineStr">
        <is>
          <t>ÖREBRO LÄN</t>
        </is>
      </c>
      <c r="E191" t="inlineStr">
        <is>
          <t>HÄLLEFORS</t>
        </is>
      </c>
      <c r="G191" t="n">
        <v>2.4</v>
      </c>
      <c r="H191" t="n">
        <v>0</v>
      </c>
      <c r="I191" t="n">
        <v>0</v>
      </c>
      <c r="J191" t="n">
        <v>0</v>
      </c>
      <c r="K191" t="n">
        <v>0</v>
      </c>
      <c r="L191" t="n">
        <v>0</v>
      </c>
      <c r="M191" t="n">
        <v>0</v>
      </c>
      <c r="N191" t="n">
        <v>0</v>
      </c>
      <c r="O191" t="n">
        <v>0</v>
      </c>
      <c r="P191" t="n">
        <v>0</v>
      </c>
      <c r="Q191" t="n">
        <v>0</v>
      </c>
      <c r="R191" s="2" t="inlineStr"/>
    </row>
    <row r="192" ht="15" customHeight="1">
      <c r="A192" t="inlineStr">
        <is>
          <t>A 45710-2023</t>
        </is>
      </c>
      <c r="B192" s="1" t="n">
        <v>45195.35254629629</v>
      </c>
      <c r="C192" s="1" t="n">
        <v>46189</v>
      </c>
      <c r="D192" t="inlineStr">
        <is>
          <t>ÖREBRO LÄN</t>
        </is>
      </c>
      <c r="E192" t="inlineStr">
        <is>
          <t>HÄLLEFORS</t>
        </is>
      </c>
      <c r="G192" t="n">
        <v>5.4</v>
      </c>
      <c r="H192" t="n">
        <v>0</v>
      </c>
      <c r="I192" t="n">
        <v>0</v>
      </c>
      <c r="J192" t="n">
        <v>0</v>
      </c>
      <c r="K192" t="n">
        <v>0</v>
      </c>
      <c r="L192" t="n">
        <v>0</v>
      </c>
      <c r="M192" t="n">
        <v>0</v>
      </c>
      <c r="N192" t="n">
        <v>0</v>
      </c>
      <c r="O192" t="n">
        <v>0</v>
      </c>
      <c r="P192" t="n">
        <v>0</v>
      </c>
      <c r="Q192" t="n">
        <v>0</v>
      </c>
      <c r="R192" s="2" t="inlineStr"/>
    </row>
    <row r="193" ht="15" customHeight="1">
      <c r="A193" t="inlineStr">
        <is>
          <t>A 59955-2024</t>
        </is>
      </c>
      <c r="B193" s="1" t="n">
        <v>45642.34987268518</v>
      </c>
      <c r="C193" s="1" t="n">
        <v>46189</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58942-2025</t>
        </is>
      </c>
      <c r="B194" s="1" t="n">
        <v>45987.57672453704</v>
      </c>
      <c r="C194" s="1" t="n">
        <v>46189</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58947-2025</t>
        </is>
      </c>
      <c r="B195" s="1" t="n">
        <v>45987.58177083333</v>
      </c>
      <c r="C195" s="1" t="n">
        <v>46189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44088-2024</t>
        </is>
      </c>
      <c r="B196" s="1" t="n">
        <v>45572.61984953703</v>
      </c>
      <c r="C196" s="1" t="n">
        <v>46189</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28788-2022</t>
        </is>
      </c>
      <c r="B197" s="1" t="n">
        <v>44749.39806712963</v>
      </c>
      <c r="C197" s="1" t="n">
        <v>46189</v>
      </c>
      <c r="D197" t="inlineStr">
        <is>
          <t>ÖREBRO LÄN</t>
        </is>
      </c>
      <c r="E197" t="inlineStr">
        <is>
          <t>HÄLLEFORS</t>
        </is>
      </c>
      <c r="G197" t="n">
        <v>1.1</v>
      </c>
      <c r="H197" t="n">
        <v>0</v>
      </c>
      <c r="I197" t="n">
        <v>0</v>
      </c>
      <c r="J197" t="n">
        <v>0</v>
      </c>
      <c r="K197" t="n">
        <v>0</v>
      </c>
      <c r="L197" t="n">
        <v>0</v>
      </c>
      <c r="M197" t="n">
        <v>0</v>
      </c>
      <c r="N197" t="n">
        <v>0</v>
      </c>
      <c r="O197" t="n">
        <v>0</v>
      </c>
      <c r="P197" t="n">
        <v>0</v>
      </c>
      <c r="Q197" t="n">
        <v>0</v>
      </c>
      <c r="R197" s="2" t="inlineStr"/>
    </row>
    <row r="198" ht="15" customHeight="1">
      <c r="A198" t="inlineStr">
        <is>
          <t>A 60303-2024</t>
        </is>
      </c>
      <c r="B198" s="1" t="n">
        <v>45643</v>
      </c>
      <c r="C198" s="1" t="n">
        <v>46189</v>
      </c>
      <c r="D198" t="inlineStr">
        <is>
          <t>ÖREBRO LÄN</t>
        </is>
      </c>
      <c r="E198" t="inlineStr">
        <is>
          <t>HÄLLEFORS</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55756-2023</t>
        </is>
      </c>
      <c r="B199" s="1" t="n">
        <v>45239</v>
      </c>
      <c r="C199" s="1" t="n">
        <v>46189</v>
      </c>
      <c r="D199" t="inlineStr">
        <is>
          <t>ÖREBRO LÄN</t>
        </is>
      </c>
      <c r="E199" t="inlineStr">
        <is>
          <t>HÄLLEFORS</t>
        </is>
      </c>
      <c r="G199" t="n">
        <v>1.6</v>
      </c>
      <c r="H199" t="n">
        <v>0</v>
      </c>
      <c r="I199" t="n">
        <v>0</v>
      </c>
      <c r="J199" t="n">
        <v>0</v>
      </c>
      <c r="K199" t="n">
        <v>0</v>
      </c>
      <c r="L199" t="n">
        <v>0</v>
      </c>
      <c r="M199" t="n">
        <v>0</v>
      </c>
      <c r="N199" t="n">
        <v>0</v>
      </c>
      <c r="O199" t="n">
        <v>0</v>
      </c>
      <c r="P199" t="n">
        <v>0</v>
      </c>
      <c r="Q199" t="n">
        <v>0</v>
      </c>
      <c r="R199" s="2" t="inlineStr"/>
    </row>
    <row r="200" ht="15" customHeight="1">
      <c r="A200" t="inlineStr">
        <is>
          <t>A 18945-2025</t>
        </is>
      </c>
      <c r="B200" s="1" t="n">
        <v>45764.50498842593</v>
      </c>
      <c r="C200" s="1" t="n">
        <v>46189</v>
      </c>
      <c r="D200" t="inlineStr">
        <is>
          <t>ÖREBRO LÄN</t>
        </is>
      </c>
      <c r="E200" t="inlineStr">
        <is>
          <t>HÄLLEFORS</t>
        </is>
      </c>
      <c r="F200" t="inlineStr">
        <is>
          <t>Bergvik skog väst AB</t>
        </is>
      </c>
      <c r="G200" t="n">
        <v>5.1</v>
      </c>
      <c r="H200" t="n">
        <v>0</v>
      </c>
      <c r="I200" t="n">
        <v>0</v>
      </c>
      <c r="J200" t="n">
        <v>0</v>
      </c>
      <c r="K200" t="n">
        <v>0</v>
      </c>
      <c r="L200" t="n">
        <v>0</v>
      </c>
      <c r="M200" t="n">
        <v>0</v>
      </c>
      <c r="N200" t="n">
        <v>0</v>
      </c>
      <c r="O200" t="n">
        <v>0</v>
      </c>
      <c r="P200" t="n">
        <v>0</v>
      </c>
      <c r="Q200" t="n">
        <v>0</v>
      </c>
      <c r="R200" s="2" t="inlineStr"/>
    </row>
    <row r="201" ht="15" customHeight="1">
      <c r="A201" t="inlineStr">
        <is>
          <t>A 61084-2025</t>
        </is>
      </c>
      <c r="B201" s="1" t="n">
        <v>46000.41092592593</v>
      </c>
      <c r="C201" s="1" t="n">
        <v>46189</v>
      </c>
      <c r="D201" t="inlineStr">
        <is>
          <t>ÖREBRO LÄN</t>
        </is>
      </c>
      <c r="E201" t="inlineStr">
        <is>
          <t>HÄLLEFORS</t>
        </is>
      </c>
      <c r="F201" t="inlineStr">
        <is>
          <t>Bergvik skog väst AB</t>
        </is>
      </c>
      <c r="G201" t="n">
        <v>7.7</v>
      </c>
      <c r="H201" t="n">
        <v>0</v>
      </c>
      <c r="I201" t="n">
        <v>0</v>
      </c>
      <c r="J201" t="n">
        <v>0</v>
      </c>
      <c r="K201" t="n">
        <v>0</v>
      </c>
      <c r="L201" t="n">
        <v>0</v>
      </c>
      <c r="M201" t="n">
        <v>0</v>
      </c>
      <c r="N201" t="n">
        <v>0</v>
      </c>
      <c r="O201" t="n">
        <v>0</v>
      </c>
      <c r="P201" t="n">
        <v>0</v>
      </c>
      <c r="Q201" t="n">
        <v>0</v>
      </c>
      <c r="R201" s="2" t="inlineStr"/>
    </row>
    <row r="202" ht="15" customHeight="1">
      <c r="A202" t="inlineStr">
        <is>
          <t>A 61164-2025</t>
        </is>
      </c>
      <c r="B202" s="1" t="n">
        <v>46000.56178240741</v>
      </c>
      <c r="C202" s="1" t="n">
        <v>46189</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49215-2022</t>
        </is>
      </c>
      <c r="B203" s="1" t="n">
        <v>44861</v>
      </c>
      <c r="C203" s="1" t="n">
        <v>46189</v>
      </c>
      <c r="D203" t="inlineStr">
        <is>
          <t>ÖREBRO LÄN</t>
        </is>
      </c>
      <c r="E203" t="inlineStr">
        <is>
          <t>HÄLLEFORS</t>
        </is>
      </c>
      <c r="F203" t="inlineStr">
        <is>
          <t>Bergvik skog väst AB</t>
        </is>
      </c>
      <c r="G203" t="n">
        <v>9</v>
      </c>
      <c r="H203" t="n">
        <v>0</v>
      </c>
      <c r="I203" t="n">
        <v>0</v>
      </c>
      <c r="J203" t="n">
        <v>0</v>
      </c>
      <c r="K203" t="n">
        <v>0</v>
      </c>
      <c r="L203" t="n">
        <v>0</v>
      </c>
      <c r="M203" t="n">
        <v>0</v>
      </c>
      <c r="N203" t="n">
        <v>0</v>
      </c>
      <c r="O203" t="n">
        <v>0</v>
      </c>
      <c r="P203" t="n">
        <v>0</v>
      </c>
      <c r="Q203" t="n">
        <v>0</v>
      </c>
      <c r="R203" s="2" t="inlineStr"/>
    </row>
    <row r="204" ht="15" customHeight="1">
      <c r="A204" t="inlineStr">
        <is>
          <t>A 60852-2025</t>
        </is>
      </c>
      <c r="B204" s="1" t="n">
        <v>45999.50795138889</v>
      </c>
      <c r="C204" s="1" t="n">
        <v>46189</v>
      </c>
      <c r="D204" t="inlineStr">
        <is>
          <t>ÖREBRO LÄN</t>
        </is>
      </c>
      <c r="E204" t="inlineStr">
        <is>
          <t>HÄLLEFORS</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54843-2023</t>
        </is>
      </c>
      <c r="B205" s="1" t="n">
        <v>45236.58434027778</v>
      </c>
      <c r="C205" s="1" t="n">
        <v>46189</v>
      </c>
      <c r="D205" t="inlineStr">
        <is>
          <t>ÖREBRO LÄN</t>
        </is>
      </c>
      <c r="E205" t="inlineStr">
        <is>
          <t>HÄLLEFORS</t>
        </is>
      </c>
      <c r="G205" t="n">
        <v>1.6</v>
      </c>
      <c r="H205" t="n">
        <v>0</v>
      </c>
      <c r="I205" t="n">
        <v>0</v>
      </c>
      <c r="J205" t="n">
        <v>0</v>
      </c>
      <c r="K205" t="n">
        <v>0</v>
      </c>
      <c r="L205" t="n">
        <v>0</v>
      </c>
      <c r="M205" t="n">
        <v>0</v>
      </c>
      <c r="N205" t="n">
        <v>0</v>
      </c>
      <c r="O205" t="n">
        <v>0</v>
      </c>
      <c r="P205" t="n">
        <v>0</v>
      </c>
      <c r="Q205" t="n">
        <v>0</v>
      </c>
      <c r="R205" s="2" t="inlineStr"/>
    </row>
    <row r="206" ht="15" customHeight="1">
      <c r="A206" t="inlineStr">
        <is>
          <t>A 61366-2025</t>
        </is>
      </c>
      <c r="B206" s="1" t="n">
        <v>46001.42888888889</v>
      </c>
      <c r="C206" s="1" t="n">
        <v>46189</v>
      </c>
      <c r="D206" t="inlineStr">
        <is>
          <t>ÖREBRO LÄN</t>
        </is>
      </c>
      <c r="E206" t="inlineStr">
        <is>
          <t>HÄLLEFORS</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62262-2025</t>
        </is>
      </c>
      <c r="B207" s="1" t="n">
        <v>46006.61628472222</v>
      </c>
      <c r="C207" s="1" t="n">
        <v>46189</v>
      </c>
      <c r="D207" t="inlineStr">
        <is>
          <t>ÖREBRO LÄN</t>
        </is>
      </c>
      <c r="E207" t="inlineStr">
        <is>
          <t>HÄLLEFORS</t>
        </is>
      </c>
      <c r="G207" t="n">
        <v>13.4</v>
      </c>
      <c r="H207" t="n">
        <v>0</v>
      </c>
      <c r="I207" t="n">
        <v>0</v>
      </c>
      <c r="J207" t="n">
        <v>0</v>
      </c>
      <c r="K207" t="n">
        <v>0</v>
      </c>
      <c r="L207" t="n">
        <v>0</v>
      </c>
      <c r="M207" t="n">
        <v>0</v>
      </c>
      <c r="N207" t="n">
        <v>0</v>
      </c>
      <c r="O207" t="n">
        <v>0</v>
      </c>
      <c r="P207" t="n">
        <v>0</v>
      </c>
      <c r="Q207" t="n">
        <v>0</v>
      </c>
      <c r="R207" s="2" t="inlineStr"/>
    </row>
    <row r="208" ht="15" customHeight="1">
      <c r="A208" t="inlineStr">
        <is>
          <t>A 29662-2022</t>
        </is>
      </c>
      <c r="B208" s="1" t="n">
        <v>44754</v>
      </c>
      <c r="C208" s="1" t="n">
        <v>46189</v>
      </c>
      <c r="D208" t="inlineStr">
        <is>
          <t>ÖREBRO LÄN</t>
        </is>
      </c>
      <c r="E208" t="inlineStr">
        <is>
          <t>HÄLLEFORS</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18979-2025</t>
        </is>
      </c>
      <c r="B209" s="1" t="n">
        <v>45764.55017361111</v>
      </c>
      <c r="C209" s="1" t="n">
        <v>46189</v>
      </c>
      <c r="D209" t="inlineStr">
        <is>
          <t>ÖREBRO LÄN</t>
        </is>
      </c>
      <c r="E209" t="inlineStr">
        <is>
          <t>HÄLLEFORS</t>
        </is>
      </c>
      <c r="G209" t="n">
        <v>0.9</v>
      </c>
      <c r="H209" t="n">
        <v>0</v>
      </c>
      <c r="I209" t="n">
        <v>0</v>
      </c>
      <c r="J209" t="n">
        <v>0</v>
      </c>
      <c r="K209" t="n">
        <v>0</v>
      </c>
      <c r="L209" t="n">
        <v>0</v>
      </c>
      <c r="M209" t="n">
        <v>0</v>
      </c>
      <c r="N209" t="n">
        <v>0</v>
      </c>
      <c r="O209" t="n">
        <v>0</v>
      </c>
      <c r="P209" t="n">
        <v>0</v>
      </c>
      <c r="Q209" t="n">
        <v>0</v>
      </c>
      <c r="R209" s="2" t="inlineStr"/>
    </row>
    <row r="210" ht="15" customHeight="1">
      <c r="A210" t="inlineStr">
        <is>
          <t>A 62841-2025</t>
        </is>
      </c>
      <c r="B210" s="1" t="n">
        <v>46008.69076388889</v>
      </c>
      <c r="C210" s="1" t="n">
        <v>46189</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62848-2025</t>
        </is>
      </c>
      <c r="B211" s="1" t="n">
        <v>46008.6987037037</v>
      </c>
      <c r="C211" s="1" t="n">
        <v>46189</v>
      </c>
      <c r="D211" t="inlineStr">
        <is>
          <t>ÖREBRO LÄN</t>
        </is>
      </c>
      <c r="E211" t="inlineStr">
        <is>
          <t>HÄLLEFORS</t>
        </is>
      </c>
      <c r="G211" t="n">
        <v>0.2</v>
      </c>
      <c r="H211" t="n">
        <v>0</v>
      </c>
      <c r="I211" t="n">
        <v>0</v>
      </c>
      <c r="J211" t="n">
        <v>0</v>
      </c>
      <c r="K211" t="n">
        <v>0</v>
      </c>
      <c r="L211" t="n">
        <v>0</v>
      </c>
      <c r="M211" t="n">
        <v>0</v>
      </c>
      <c r="N211" t="n">
        <v>0</v>
      </c>
      <c r="O211" t="n">
        <v>0</v>
      </c>
      <c r="P211" t="n">
        <v>0</v>
      </c>
      <c r="Q211" t="n">
        <v>0</v>
      </c>
      <c r="R211" s="2" t="inlineStr"/>
    </row>
    <row r="212" ht="15" customHeight="1">
      <c r="A212" t="inlineStr">
        <is>
          <t>A 62846-2025</t>
        </is>
      </c>
      <c r="B212" s="1" t="n">
        <v>46008.69574074074</v>
      </c>
      <c r="C212" s="1" t="n">
        <v>46189</v>
      </c>
      <c r="D212" t="inlineStr">
        <is>
          <t>ÖREBRO LÄN</t>
        </is>
      </c>
      <c r="E212" t="inlineStr">
        <is>
          <t>HÄLLEFORS</t>
        </is>
      </c>
      <c r="G212" t="n">
        <v>0.2</v>
      </c>
      <c r="H212" t="n">
        <v>0</v>
      </c>
      <c r="I212" t="n">
        <v>0</v>
      </c>
      <c r="J212" t="n">
        <v>0</v>
      </c>
      <c r="K212" t="n">
        <v>0</v>
      </c>
      <c r="L212" t="n">
        <v>0</v>
      </c>
      <c r="M212" t="n">
        <v>0</v>
      </c>
      <c r="N212" t="n">
        <v>0</v>
      </c>
      <c r="O212" t="n">
        <v>0</v>
      </c>
      <c r="P212" t="n">
        <v>0</v>
      </c>
      <c r="Q212" t="n">
        <v>0</v>
      </c>
      <c r="R212" s="2" t="inlineStr"/>
    </row>
    <row r="213" ht="15" customHeight="1">
      <c r="A213" t="inlineStr">
        <is>
          <t>A 50754-2023</t>
        </is>
      </c>
      <c r="B213" s="1" t="n">
        <v>45217</v>
      </c>
      <c r="C213" s="1" t="n">
        <v>46189</v>
      </c>
      <c r="D213" t="inlineStr">
        <is>
          <t>ÖREBRO LÄN</t>
        </is>
      </c>
      <c r="E213" t="inlineStr">
        <is>
          <t>HÄLLEFORS</t>
        </is>
      </c>
      <c r="F213" t="inlineStr">
        <is>
          <t>Bergvik skog väst AB</t>
        </is>
      </c>
      <c r="G213" t="n">
        <v>5.8</v>
      </c>
      <c r="H213" t="n">
        <v>0</v>
      </c>
      <c r="I213" t="n">
        <v>0</v>
      </c>
      <c r="J213" t="n">
        <v>0</v>
      </c>
      <c r="K213" t="n">
        <v>0</v>
      </c>
      <c r="L213" t="n">
        <v>0</v>
      </c>
      <c r="M213" t="n">
        <v>0</v>
      </c>
      <c r="N213" t="n">
        <v>0</v>
      </c>
      <c r="O213" t="n">
        <v>0</v>
      </c>
      <c r="P213" t="n">
        <v>0</v>
      </c>
      <c r="Q213" t="n">
        <v>0</v>
      </c>
      <c r="R213" s="2" t="inlineStr"/>
    </row>
    <row r="214" ht="15" customHeight="1">
      <c r="A214" t="inlineStr">
        <is>
          <t>A 63614-2025</t>
        </is>
      </c>
      <c r="B214" s="1" t="n">
        <v>46014.34587962963</v>
      </c>
      <c r="C214" s="1" t="n">
        <v>46189</v>
      </c>
      <c r="D214" t="inlineStr">
        <is>
          <t>ÖREBRO LÄN</t>
        </is>
      </c>
      <c r="E214" t="inlineStr">
        <is>
          <t>HÄLLEFORS</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67843-2021</t>
        </is>
      </c>
      <c r="B215" s="1" t="n">
        <v>44525.47178240741</v>
      </c>
      <c r="C215" s="1" t="n">
        <v>46189</v>
      </c>
      <c r="D215" t="inlineStr">
        <is>
          <t>ÖREBRO LÄN</t>
        </is>
      </c>
      <c r="E215" t="inlineStr">
        <is>
          <t>HÄLLEFORS</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18555-2025</t>
        </is>
      </c>
      <c r="B216" s="1" t="n">
        <v>45763</v>
      </c>
      <c r="C216" s="1" t="n">
        <v>46189</v>
      </c>
      <c r="D216" t="inlineStr">
        <is>
          <t>ÖREBRO LÄN</t>
        </is>
      </c>
      <c r="E216" t="inlineStr">
        <is>
          <t>HÄLLEFORS</t>
        </is>
      </c>
      <c r="F216" t="inlineStr">
        <is>
          <t>Bergvik skog väst AB</t>
        </is>
      </c>
      <c r="G216" t="n">
        <v>4.5</v>
      </c>
      <c r="H216" t="n">
        <v>0</v>
      </c>
      <c r="I216" t="n">
        <v>0</v>
      </c>
      <c r="J216" t="n">
        <v>0</v>
      </c>
      <c r="K216" t="n">
        <v>0</v>
      </c>
      <c r="L216" t="n">
        <v>0</v>
      </c>
      <c r="M216" t="n">
        <v>0</v>
      </c>
      <c r="N216" t="n">
        <v>0</v>
      </c>
      <c r="O216" t="n">
        <v>0</v>
      </c>
      <c r="P216" t="n">
        <v>0</v>
      </c>
      <c r="Q216" t="n">
        <v>0</v>
      </c>
      <c r="R216" s="2" t="inlineStr"/>
    </row>
    <row r="217" ht="15" customHeight="1">
      <c r="A217" t="inlineStr">
        <is>
          <t>A 2079-2024</t>
        </is>
      </c>
      <c r="B217" s="1" t="n">
        <v>45309</v>
      </c>
      <c r="C217" s="1" t="n">
        <v>46189</v>
      </c>
      <c r="D217" t="inlineStr">
        <is>
          <t>ÖREBRO LÄN</t>
        </is>
      </c>
      <c r="E217" t="inlineStr">
        <is>
          <t>HÄLLEFORS</t>
        </is>
      </c>
      <c r="G217" t="n">
        <v>0.4</v>
      </c>
      <c r="H217" t="n">
        <v>0</v>
      </c>
      <c r="I217" t="n">
        <v>0</v>
      </c>
      <c r="J217" t="n">
        <v>0</v>
      </c>
      <c r="K217" t="n">
        <v>0</v>
      </c>
      <c r="L217" t="n">
        <v>0</v>
      </c>
      <c r="M217" t="n">
        <v>0</v>
      </c>
      <c r="N217" t="n">
        <v>0</v>
      </c>
      <c r="O217" t="n">
        <v>0</v>
      </c>
      <c r="P217" t="n">
        <v>0</v>
      </c>
      <c r="Q217" t="n">
        <v>0</v>
      </c>
      <c r="R217" s="2" t="inlineStr"/>
    </row>
    <row r="218" ht="15" customHeight="1">
      <c r="A218" t="inlineStr">
        <is>
          <t>A 74464-2021</t>
        </is>
      </c>
      <c r="B218" s="1" t="n">
        <v>44560.52915509259</v>
      </c>
      <c r="C218" s="1" t="n">
        <v>46189</v>
      </c>
      <c r="D218" t="inlineStr">
        <is>
          <t>ÖREBRO LÄN</t>
        </is>
      </c>
      <c r="E218" t="inlineStr">
        <is>
          <t>HÄLLEFORS</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46987-2023</t>
        </is>
      </c>
      <c r="B219" s="1" t="n">
        <v>45201</v>
      </c>
      <c r="C219" s="1" t="n">
        <v>46189</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13758-2023</t>
        </is>
      </c>
      <c r="B220" s="1" t="n">
        <v>45007.42528935185</v>
      </c>
      <c r="C220" s="1" t="n">
        <v>46189</v>
      </c>
      <c r="D220" t="inlineStr">
        <is>
          <t>ÖREBRO LÄN</t>
        </is>
      </c>
      <c r="E220" t="inlineStr">
        <is>
          <t>HÄLLEFORS</t>
        </is>
      </c>
      <c r="F220" t="inlineStr">
        <is>
          <t>Bergvik skog väst AB</t>
        </is>
      </c>
      <c r="G220" t="n">
        <v>3.6</v>
      </c>
      <c r="H220" t="n">
        <v>0</v>
      </c>
      <c r="I220" t="n">
        <v>0</v>
      </c>
      <c r="J220" t="n">
        <v>0</v>
      </c>
      <c r="K220" t="n">
        <v>0</v>
      </c>
      <c r="L220" t="n">
        <v>0</v>
      </c>
      <c r="M220" t="n">
        <v>0</v>
      </c>
      <c r="N220" t="n">
        <v>0</v>
      </c>
      <c r="O220" t="n">
        <v>0</v>
      </c>
      <c r="P220" t="n">
        <v>0</v>
      </c>
      <c r="Q220" t="n">
        <v>0</v>
      </c>
      <c r="R220" s="2" t="inlineStr"/>
    </row>
    <row r="221" ht="15" customHeight="1">
      <c r="A221" t="inlineStr">
        <is>
          <t>A 3365-2026</t>
        </is>
      </c>
      <c r="B221" s="1" t="n">
        <v>46042.33357638889</v>
      </c>
      <c r="C221" s="1" t="n">
        <v>46189</v>
      </c>
      <c r="D221" t="inlineStr">
        <is>
          <t>ÖREBRO LÄN</t>
        </is>
      </c>
      <c r="E221" t="inlineStr">
        <is>
          <t>HÄLLEFORS</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4125-2026</t>
        </is>
      </c>
      <c r="B222" s="1" t="n">
        <v>46044.61620370371</v>
      </c>
      <c r="C222" s="1" t="n">
        <v>46189</v>
      </c>
      <c r="D222" t="inlineStr">
        <is>
          <t>ÖREBRO LÄN</t>
        </is>
      </c>
      <c r="E222" t="inlineStr">
        <is>
          <t>HÄLLEFORS</t>
        </is>
      </c>
      <c r="G222" t="n">
        <v>3.5</v>
      </c>
      <c r="H222" t="n">
        <v>0</v>
      </c>
      <c r="I222" t="n">
        <v>0</v>
      </c>
      <c r="J222" t="n">
        <v>0</v>
      </c>
      <c r="K222" t="n">
        <v>0</v>
      </c>
      <c r="L222" t="n">
        <v>0</v>
      </c>
      <c r="M222" t="n">
        <v>0</v>
      </c>
      <c r="N222" t="n">
        <v>0</v>
      </c>
      <c r="O222" t="n">
        <v>0</v>
      </c>
      <c r="P222" t="n">
        <v>0</v>
      </c>
      <c r="Q222" t="n">
        <v>0</v>
      </c>
      <c r="R222" s="2" t="inlineStr"/>
    </row>
    <row r="223" ht="15" customHeight="1">
      <c r="A223" t="inlineStr">
        <is>
          <t>A 3837-2026</t>
        </is>
      </c>
      <c r="B223" s="1" t="n">
        <v>46043.59318287037</v>
      </c>
      <c r="C223" s="1" t="n">
        <v>46189</v>
      </c>
      <c r="D223" t="inlineStr">
        <is>
          <t>ÖREBRO LÄN</t>
        </is>
      </c>
      <c r="E223" t="inlineStr">
        <is>
          <t>HÄLLEFORS</t>
        </is>
      </c>
      <c r="G223" t="n">
        <v>3.5</v>
      </c>
      <c r="H223" t="n">
        <v>0</v>
      </c>
      <c r="I223" t="n">
        <v>0</v>
      </c>
      <c r="J223" t="n">
        <v>0</v>
      </c>
      <c r="K223" t="n">
        <v>0</v>
      </c>
      <c r="L223" t="n">
        <v>0</v>
      </c>
      <c r="M223" t="n">
        <v>0</v>
      </c>
      <c r="N223" t="n">
        <v>0</v>
      </c>
      <c r="O223" t="n">
        <v>0</v>
      </c>
      <c r="P223" t="n">
        <v>0</v>
      </c>
      <c r="Q223" t="n">
        <v>0</v>
      </c>
      <c r="R223" s="2" t="inlineStr"/>
    </row>
    <row r="224" ht="15" customHeight="1">
      <c r="A224" t="inlineStr">
        <is>
          <t>A 4353-2023</t>
        </is>
      </c>
      <c r="B224" s="1" t="n">
        <v>44954.27407407408</v>
      </c>
      <c r="C224" s="1" t="n">
        <v>46189</v>
      </c>
      <c r="D224" t="inlineStr">
        <is>
          <t>ÖREBRO LÄN</t>
        </is>
      </c>
      <c r="E224" t="inlineStr">
        <is>
          <t>HÄLLEFORS</t>
        </is>
      </c>
      <c r="G224" t="n">
        <v>0.5</v>
      </c>
      <c r="H224" t="n">
        <v>0</v>
      </c>
      <c r="I224" t="n">
        <v>0</v>
      </c>
      <c r="J224" t="n">
        <v>0</v>
      </c>
      <c r="K224" t="n">
        <v>0</v>
      </c>
      <c r="L224" t="n">
        <v>0</v>
      </c>
      <c r="M224" t="n">
        <v>0</v>
      </c>
      <c r="N224" t="n">
        <v>0</v>
      </c>
      <c r="O224" t="n">
        <v>0</v>
      </c>
      <c r="P224" t="n">
        <v>0</v>
      </c>
      <c r="Q224" t="n">
        <v>0</v>
      </c>
      <c r="R224" s="2" t="inlineStr"/>
    </row>
    <row r="225" ht="15" customHeight="1">
      <c r="A225" t="inlineStr">
        <is>
          <t>A 51488-2021</t>
        </is>
      </c>
      <c r="B225" s="1" t="n">
        <v>44460</v>
      </c>
      <c r="C225" s="1" t="n">
        <v>46189</v>
      </c>
      <c r="D225" t="inlineStr">
        <is>
          <t>ÖREBRO LÄN</t>
        </is>
      </c>
      <c r="E225" t="inlineStr">
        <is>
          <t>HÄLLEFORS</t>
        </is>
      </c>
      <c r="G225" t="n">
        <v>2.8</v>
      </c>
      <c r="H225" t="n">
        <v>0</v>
      </c>
      <c r="I225" t="n">
        <v>0</v>
      </c>
      <c r="J225" t="n">
        <v>0</v>
      </c>
      <c r="K225" t="n">
        <v>0</v>
      </c>
      <c r="L225" t="n">
        <v>0</v>
      </c>
      <c r="M225" t="n">
        <v>0</v>
      </c>
      <c r="N225" t="n">
        <v>0</v>
      </c>
      <c r="O225" t="n">
        <v>0</v>
      </c>
      <c r="P225" t="n">
        <v>0</v>
      </c>
      <c r="Q225" t="n">
        <v>0</v>
      </c>
      <c r="R225" s="2" t="inlineStr"/>
    </row>
    <row r="226" ht="15" customHeight="1">
      <c r="A226" t="inlineStr">
        <is>
          <t>A 6126-2026</t>
        </is>
      </c>
      <c r="B226" s="1" t="n">
        <v>46053.93969907407</v>
      </c>
      <c r="C226" s="1" t="n">
        <v>46189</v>
      </c>
      <c r="D226" t="inlineStr">
        <is>
          <t>ÖREBRO LÄN</t>
        </is>
      </c>
      <c r="E226" t="inlineStr">
        <is>
          <t>HÄLLEFORS</t>
        </is>
      </c>
      <c r="G226" t="n">
        <v>2</v>
      </c>
      <c r="H226" t="n">
        <v>0</v>
      </c>
      <c r="I226" t="n">
        <v>0</v>
      </c>
      <c r="J226" t="n">
        <v>0</v>
      </c>
      <c r="K226" t="n">
        <v>0</v>
      </c>
      <c r="L226" t="n">
        <v>0</v>
      </c>
      <c r="M226" t="n">
        <v>0</v>
      </c>
      <c r="N226" t="n">
        <v>0</v>
      </c>
      <c r="O226" t="n">
        <v>0</v>
      </c>
      <c r="P226" t="n">
        <v>0</v>
      </c>
      <c r="Q226" t="n">
        <v>0</v>
      </c>
      <c r="R226" s="2" t="inlineStr"/>
    </row>
    <row r="227" ht="15" customHeight="1">
      <c r="A227" t="inlineStr">
        <is>
          <t>A 42920-2024</t>
        </is>
      </c>
      <c r="B227" s="1" t="n">
        <v>45567.29131944444</v>
      </c>
      <c r="C227" s="1" t="n">
        <v>46189</v>
      </c>
      <c r="D227" t="inlineStr">
        <is>
          <t>ÖREBRO LÄN</t>
        </is>
      </c>
      <c r="E227" t="inlineStr">
        <is>
          <t>HÄLLEFORS</t>
        </is>
      </c>
      <c r="F227" t="inlineStr">
        <is>
          <t>Bergvik skog väst AB</t>
        </is>
      </c>
      <c r="G227" t="n">
        <v>5.5</v>
      </c>
      <c r="H227" t="n">
        <v>0</v>
      </c>
      <c r="I227" t="n">
        <v>0</v>
      </c>
      <c r="J227" t="n">
        <v>0</v>
      </c>
      <c r="K227" t="n">
        <v>0</v>
      </c>
      <c r="L227" t="n">
        <v>0</v>
      </c>
      <c r="M227" t="n">
        <v>0</v>
      </c>
      <c r="N227" t="n">
        <v>0</v>
      </c>
      <c r="O227" t="n">
        <v>0</v>
      </c>
      <c r="P227" t="n">
        <v>0</v>
      </c>
      <c r="Q227" t="n">
        <v>0</v>
      </c>
      <c r="R227" s="2" t="inlineStr"/>
    </row>
    <row r="228" ht="15" customHeight="1">
      <c r="A228" t="inlineStr">
        <is>
          <t>A 67027-2021</t>
        </is>
      </c>
      <c r="B228" s="1" t="n">
        <v>44522.66836805556</v>
      </c>
      <c r="C228" s="1" t="n">
        <v>46189</v>
      </c>
      <c r="D228" t="inlineStr">
        <is>
          <t>ÖREBRO LÄN</t>
        </is>
      </c>
      <c r="E228" t="inlineStr">
        <is>
          <t>HÄLLEFORS</t>
        </is>
      </c>
      <c r="G228" t="n">
        <v>1.7</v>
      </c>
      <c r="H228" t="n">
        <v>0</v>
      </c>
      <c r="I228" t="n">
        <v>0</v>
      </c>
      <c r="J228" t="n">
        <v>0</v>
      </c>
      <c r="K228" t="n">
        <v>0</v>
      </c>
      <c r="L228" t="n">
        <v>0</v>
      </c>
      <c r="M228" t="n">
        <v>0</v>
      </c>
      <c r="N228" t="n">
        <v>0</v>
      </c>
      <c r="O228" t="n">
        <v>0</v>
      </c>
      <c r="P228" t="n">
        <v>0</v>
      </c>
      <c r="Q228" t="n">
        <v>0</v>
      </c>
      <c r="R228" s="2" t="inlineStr"/>
    </row>
    <row r="229" ht="15" customHeight="1">
      <c r="A229" t="inlineStr">
        <is>
          <t>A 9009-2023</t>
        </is>
      </c>
      <c r="B229" s="1" t="n">
        <v>44979</v>
      </c>
      <c r="C229" s="1" t="n">
        <v>46189</v>
      </c>
      <c r="D229" t="inlineStr">
        <is>
          <t>ÖREBRO LÄN</t>
        </is>
      </c>
      <c r="E229" t="inlineStr">
        <is>
          <t>HÄLLEFORS</t>
        </is>
      </c>
      <c r="G229" t="n">
        <v>0.6</v>
      </c>
      <c r="H229" t="n">
        <v>0</v>
      </c>
      <c r="I229" t="n">
        <v>0</v>
      </c>
      <c r="J229" t="n">
        <v>0</v>
      </c>
      <c r="K229" t="n">
        <v>0</v>
      </c>
      <c r="L229" t="n">
        <v>0</v>
      </c>
      <c r="M229" t="n">
        <v>0</v>
      </c>
      <c r="N229" t="n">
        <v>0</v>
      </c>
      <c r="O229" t="n">
        <v>0</v>
      </c>
      <c r="P229" t="n">
        <v>0</v>
      </c>
      <c r="Q229" t="n">
        <v>0</v>
      </c>
      <c r="R229" s="2" t="inlineStr"/>
    </row>
    <row r="230" ht="15" customHeight="1">
      <c r="A230" t="inlineStr">
        <is>
          <t>A 60518-2021</t>
        </is>
      </c>
      <c r="B230" s="1" t="n">
        <v>44496.5028125</v>
      </c>
      <c r="C230" s="1" t="n">
        <v>46189</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6774-2026</t>
        </is>
      </c>
      <c r="B231" s="1" t="n">
        <v>46057.29586805555</v>
      </c>
      <c r="C231" s="1" t="n">
        <v>46189</v>
      </c>
      <c r="D231" t="inlineStr">
        <is>
          <t>ÖREBRO LÄN</t>
        </is>
      </c>
      <c r="E231" t="inlineStr">
        <is>
          <t>HÄLLEFORS</t>
        </is>
      </c>
      <c r="F231" t="inlineStr">
        <is>
          <t>Bergvik skog väst AB</t>
        </is>
      </c>
      <c r="G231" t="n">
        <v>7.2</v>
      </c>
      <c r="H231" t="n">
        <v>0</v>
      </c>
      <c r="I231" t="n">
        <v>0</v>
      </c>
      <c r="J231" t="n">
        <v>0</v>
      </c>
      <c r="K231" t="n">
        <v>0</v>
      </c>
      <c r="L231" t="n">
        <v>0</v>
      </c>
      <c r="M231" t="n">
        <v>0</v>
      </c>
      <c r="N231" t="n">
        <v>0</v>
      </c>
      <c r="O231" t="n">
        <v>0</v>
      </c>
      <c r="P231" t="n">
        <v>0</v>
      </c>
      <c r="Q231" t="n">
        <v>0</v>
      </c>
      <c r="R231" s="2" t="inlineStr"/>
    </row>
    <row r="232" ht="15" customHeight="1">
      <c r="A232" t="inlineStr">
        <is>
          <t>A 8064-2026</t>
        </is>
      </c>
      <c r="B232" s="1" t="n">
        <v>46063.6312962963</v>
      </c>
      <c r="C232" s="1" t="n">
        <v>46189</v>
      </c>
      <c r="D232" t="inlineStr">
        <is>
          <t>ÖREBRO LÄN</t>
        </is>
      </c>
      <c r="E232" t="inlineStr">
        <is>
          <t>HÄLLEFORS</t>
        </is>
      </c>
      <c r="G232" t="n">
        <v>6</v>
      </c>
      <c r="H232" t="n">
        <v>0</v>
      </c>
      <c r="I232" t="n">
        <v>0</v>
      </c>
      <c r="J232" t="n">
        <v>0</v>
      </c>
      <c r="K232" t="n">
        <v>0</v>
      </c>
      <c r="L232" t="n">
        <v>0</v>
      </c>
      <c r="M232" t="n">
        <v>0</v>
      </c>
      <c r="N232" t="n">
        <v>0</v>
      </c>
      <c r="O232" t="n">
        <v>0</v>
      </c>
      <c r="P232" t="n">
        <v>0</v>
      </c>
      <c r="Q232" t="n">
        <v>0</v>
      </c>
      <c r="R232" s="2" t="inlineStr"/>
    </row>
    <row r="233" ht="15" customHeight="1">
      <c r="A233" t="inlineStr">
        <is>
          <t>A 8095-2026</t>
        </is>
      </c>
      <c r="B233" s="1" t="n">
        <v>46063.71302083333</v>
      </c>
      <c r="C233" s="1" t="n">
        <v>46189</v>
      </c>
      <c r="D233" t="inlineStr">
        <is>
          <t>ÖREBRO LÄN</t>
        </is>
      </c>
      <c r="E233" t="inlineStr">
        <is>
          <t>HÄLLEFORS</t>
        </is>
      </c>
      <c r="G233" t="n">
        <v>2.7</v>
      </c>
      <c r="H233" t="n">
        <v>0</v>
      </c>
      <c r="I233" t="n">
        <v>0</v>
      </c>
      <c r="J233" t="n">
        <v>0</v>
      </c>
      <c r="K233" t="n">
        <v>0</v>
      </c>
      <c r="L233" t="n">
        <v>0</v>
      </c>
      <c r="M233" t="n">
        <v>0</v>
      </c>
      <c r="N233" t="n">
        <v>0</v>
      </c>
      <c r="O233" t="n">
        <v>0</v>
      </c>
      <c r="P233" t="n">
        <v>0</v>
      </c>
      <c r="Q233" t="n">
        <v>0</v>
      </c>
      <c r="R233" s="2" t="inlineStr"/>
    </row>
    <row r="234" ht="15" customHeight="1">
      <c r="A234" t="inlineStr">
        <is>
          <t>A 8099-2026</t>
        </is>
      </c>
      <c r="B234" s="1" t="n">
        <v>46063.7159837963</v>
      </c>
      <c r="C234" s="1" t="n">
        <v>46189</v>
      </c>
      <c r="D234" t="inlineStr">
        <is>
          <t>ÖREBRO LÄN</t>
        </is>
      </c>
      <c r="E234" t="inlineStr">
        <is>
          <t>HÄLLEFORS</t>
        </is>
      </c>
      <c r="G234" t="n">
        <v>1.6</v>
      </c>
      <c r="H234" t="n">
        <v>0</v>
      </c>
      <c r="I234" t="n">
        <v>0</v>
      </c>
      <c r="J234" t="n">
        <v>0</v>
      </c>
      <c r="K234" t="n">
        <v>0</v>
      </c>
      <c r="L234" t="n">
        <v>0</v>
      </c>
      <c r="M234" t="n">
        <v>0</v>
      </c>
      <c r="N234" t="n">
        <v>0</v>
      </c>
      <c r="O234" t="n">
        <v>0</v>
      </c>
      <c r="P234" t="n">
        <v>0</v>
      </c>
      <c r="Q234" t="n">
        <v>0</v>
      </c>
      <c r="R234" s="2" t="inlineStr"/>
    </row>
    <row r="235" ht="15" customHeight="1">
      <c r="A235" t="inlineStr">
        <is>
          <t>A 43886-2024</t>
        </is>
      </c>
      <c r="B235" s="1" t="n">
        <v>45572.40844907407</v>
      </c>
      <c r="C235" s="1" t="n">
        <v>46189</v>
      </c>
      <c r="D235" t="inlineStr">
        <is>
          <t>ÖREBRO LÄN</t>
        </is>
      </c>
      <c r="E235" t="inlineStr">
        <is>
          <t>HÄLLEFORS</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30591-2024</t>
        </is>
      </c>
      <c r="B236" s="1" t="n">
        <v>45493.3153125</v>
      </c>
      <c r="C236" s="1" t="n">
        <v>46189</v>
      </c>
      <c r="D236" t="inlineStr">
        <is>
          <t>ÖREBRO LÄN</t>
        </is>
      </c>
      <c r="E236" t="inlineStr">
        <is>
          <t>HÄLLEFORS</t>
        </is>
      </c>
      <c r="G236" t="n">
        <v>12.5</v>
      </c>
      <c r="H236" t="n">
        <v>0</v>
      </c>
      <c r="I236" t="n">
        <v>0</v>
      </c>
      <c r="J236" t="n">
        <v>0</v>
      </c>
      <c r="K236" t="n">
        <v>0</v>
      </c>
      <c r="L236" t="n">
        <v>0</v>
      </c>
      <c r="M236" t="n">
        <v>0</v>
      </c>
      <c r="N236" t="n">
        <v>0</v>
      </c>
      <c r="O236" t="n">
        <v>0</v>
      </c>
      <c r="P236" t="n">
        <v>0</v>
      </c>
      <c r="Q236" t="n">
        <v>0</v>
      </c>
      <c r="R236" s="2" t="inlineStr"/>
    </row>
    <row r="237" ht="15" customHeight="1">
      <c r="A237" t="inlineStr">
        <is>
          <t>A 11467-2024</t>
        </is>
      </c>
      <c r="B237" s="1" t="n">
        <v>45372.59753472222</v>
      </c>
      <c r="C237" s="1" t="n">
        <v>46189</v>
      </c>
      <c r="D237" t="inlineStr">
        <is>
          <t>ÖREBRO LÄN</t>
        </is>
      </c>
      <c r="E237" t="inlineStr">
        <is>
          <t>HÄLLEFORS</t>
        </is>
      </c>
      <c r="G237" t="n">
        <v>1</v>
      </c>
      <c r="H237" t="n">
        <v>0</v>
      </c>
      <c r="I237" t="n">
        <v>0</v>
      </c>
      <c r="J237" t="n">
        <v>0</v>
      </c>
      <c r="K237" t="n">
        <v>0</v>
      </c>
      <c r="L237" t="n">
        <v>0</v>
      </c>
      <c r="M237" t="n">
        <v>0</v>
      </c>
      <c r="N237" t="n">
        <v>0</v>
      </c>
      <c r="O237" t="n">
        <v>0</v>
      </c>
      <c r="P237" t="n">
        <v>0</v>
      </c>
      <c r="Q237" t="n">
        <v>0</v>
      </c>
      <c r="R237" s="2" t="inlineStr"/>
    </row>
    <row r="238" ht="15" customHeight="1">
      <c r="A238" t="inlineStr">
        <is>
          <t>A 11178-2026</t>
        </is>
      </c>
      <c r="B238" s="1" t="n">
        <v>46080.39054398148</v>
      </c>
      <c r="C238" s="1" t="n">
        <v>46189</v>
      </c>
      <c r="D238" t="inlineStr">
        <is>
          <t>ÖREBRO LÄN</t>
        </is>
      </c>
      <c r="E238" t="inlineStr">
        <is>
          <t>HÄLLEFORS</t>
        </is>
      </c>
      <c r="F238" t="inlineStr">
        <is>
          <t>Bergvik skog väst AB</t>
        </is>
      </c>
      <c r="G238" t="n">
        <v>3.5</v>
      </c>
      <c r="H238" t="n">
        <v>0</v>
      </c>
      <c r="I238" t="n">
        <v>0</v>
      </c>
      <c r="J238" t="n">
        <v>0</v>
      </c>
      <c r="K238" t="n">
        <v>0</v>
      </c>
      <c r="L238" t="n">
        <v>0</v>
      </c>
      <c r="M238" t="n">
        <v>0</v>
      </c>
      <c r="N238" t="n">
        <v>0</v>
      </c>
      <c r="O238" t="n">
        <v>0</v>
      </c>
      <c r="P238" t="n">
        <v>0</v>
      </c>
      <c r="Q238" t="n">
        <v>0</v>
      </c>
      <c r="R238" s="2" t="inlineStr"/>
    </row>
    <row r="239" ht="15" customHeight="1">
      <c r="A239" t="inlineStr">
        <is>
          <t>A 44091-2024</t>
        </is>
      </c>
      <c r="B239" s="1" t="n">
        <v>45572.6216087963</v>
      </c>
      <c r="C239" s="1" t="n">
        <v>46189</v>
      </c>
      <c r="D239" t="inlineStr">
        <is>
          <t>ÖREBRO LÄN</t>
        </is>
      </c>
      <c r="E239" t="inlineStr">
        <is>
          <t>HÄLLEFORS</t>
        </is>
      </c>
      <c r="G239" t="n">
        <v>1</v>
      </c>
      <c r="H239" t="n">
        <v>0</v>
      </c>
      <c r="I239" t="n">
        <v>0</v>
      </c>
      <c r="J239" t="n">
        <v>0</v>
      </c>
      <c r="K239" t="n">
        <v>0</v>
      </c>
      <c r="L239" t="n">
        <v>0</v>
      </c>
      <c r="M239" t="n">
        <v>0</v>
      </c>
      <c r="N239" t="n">
        <v>0</v>
      </c>
      <c r="O239" t="n">
        <v>0</v>
      </c>
      <c r="P239" t="n">
        <v>0</v>
      </c>
      <c r="Q239" t="n">
        <v>0</v>
      </c>
      <c r="R239" s="2" t="inlineStr"/>
    </row>
    <row r="240" ht="15" customHeight="1">
      <c r="A240" t="inlineStr">
        <is>
          <t>A 44052-2024</t>
        </is>
      </c>
      <c r="B240" s="1" t="n">
        <v>45572.59605324074</v>
      </c>
      <c r="C240" s="1" t="n">
        <v>46189</v>
      </c>
      <c r="D240" t="inlineStr">
        <is>
          <t>ÖREBRO LÄN</t>
        </is>
      </c>
      <c r="E240" t="inlineStr">
        <is>
          <t>HÄLLEFORS</t>
        </is>
      </c>
      <c r="G240" t="n">
        <v>2.2</v>
      </c>
      <c r="H240" t="n">
        <v>0</v>
      </c>
      <c r="I240" t="n">
        <v>0</v>
      </c>
      <c r="J240" t="n">
        <v>0</v>
      </c>
      <c r="K240" t="n">
        <v>0</v>
      </c>
      <c r="L240" t="n">
        <v>0</v>
      </c>
      <c r="M240" t="n">
        <v>0</v>
      </c>
      <c r="N240" t="n">
        <v>0</v>
      </c>
      <c r="O240" t="n">
        <v>0</v>
      </c>
      <c r="P240" t="n">
        <v>0</v>
      </c>
      <c r="Q240" t="n">
        <v>0</v>
      </c>
      <c r="R240" s="2" t="inlineStr"/>
    </row>
    <row r="241" ht="15" customHeight="1">
      <c r="A241" t="inlineStr">
        <is>
          <t>A 46912-2023</t>
        </is>
      </c>
      <c r="B241" s="1" t="n">
        <v>45201</v>
      </c>
      <c r="C241" s="1" t="n">
        <v>46189</v>
      </c>
      <c r="D241" t="inlineStr">
        <is>
          <t>ÖREBRO LÄN</t>
        </is>
      </c>
      <c r="E241" t="inlineStr">
        <is>
          <t>HÄLLEFORS</t>
        </is>
      </c>
      <c r="G241" t="n">
        <v>1</v>
      </c>
      <c r="H241" t="n">
        <v>0</v>
      </c>
      <c r="I241" t="n">
        <v>0</v>
      </c>
      <c r="J241" t="n">
        <v>0</v>
      </c>
      <c r="K241" t="n">
        <v>0</v>
      </c>
      <c r="L241" t="n">
        <v>0</v>
      </c>
      <c r="M241" t="n">
        <v>0</v>
      </c>
      <c r="N241" t="n">
        <v>0</v>
      </c>
      <c r="O241" t="n">
        <v>0</v>
      </c>
      <c r="P241" t="n">
        <v>0</v>
      </c>
      <c r="Q241" t="n">
        <v>0</v>
      </c>
      <c r="R241" s="2" t="inlineStr"/>
    </row>
    <row r="242" ht="15" customHeight="1">
      <c r="A242" t="inlineStr">
        <is>
          <t>A 2283-2023</t>
        </is>
      </c>
      <c r="B242" s="1" t="n">
        <v>44942</v>
      </c>
      <c r="C242" s="1" t="n">
        <v>46189</v>
      </c>
      <c r="D242" t="inlineStr">
        <is>
          <t>ÖREBRO LÄN</t>
        </is>
      </c>
      <c r="E242" t="inlineStr">
        <is>
          <t>HÄLLEFORS</t>
        </is>
      </c>
      <c r="G242" t="n">
        <v>3.2</v>
      </c>
      <c r="H242" t="n">
        <v>0</v>
      </c>
      <c r="I242" t="n">
        <v>0</v>
      </c>
      <c r="J242" t="n">
        <v>0</v>
      </c>
      <c r="K242" t="n">
        <v>0</v>
      </c>
      <c r="L242" t="n">
        <v>0</v>
      </c>
      <c r="M242" t="n">
        <v>0</v>
      </c>
      <c r="N242" t="n">
        <v>0</v>
      </c>
      <c r="O242" t="n">
        <v>0</v>
      </c>
      <c r="P242" t="n">
        <v>0</v>
      </c>
      <c r="Q242" t="n">
        <v>0</v>
      </c>
      <c r="R242" s="2" t="inlineStr"/>
    </row>
    <row r="243" ht="15" customHeight="1">
      <c r="A243" t="inlineStr">
        <is>
          <t>A 47190-2022</t>
        </is>
      </c>
      <c r="B243" s="1" t="n">
        <v>44852</v>
      </c>
      <c r="C243" s="1" t="n">
        <v>46189</v>
      </c>
      <c r="D243" t="inlineStr">
        <is>
          <t>ÖREBRO LÄN</t>
        </is>
      </c>
      <c r="E243" t="inlineStr">
        <is>
          <t>HÄLLEFORS</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14343-2026</t>
        </is>
      </c>
      <c r="B244" s="1" t="n">
        <v>46100.33061342593</v>
      </c>
      <c r="C244" s="1" t="n">
        <v>46189</v>
      </c>
      <c r="D244" t="inlineStr">
        <is>
          <t>ÖREBRO LÄN</t>
        </is>
      </c>
      <c r="E244" t="inlineStr">
        <is>
          <t>HÄLLEFORS</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58499-2022</t>
        </is>
      </c>
      <c r="B245" s="1" t="n">
        <v>44902.3759375</v>
      </c>
      <c r="C245" s="1" t="n">
        <v>46189</v>
      </c>
      <c r="D245" t="inlineStr">
        <is>
          <t>ÖREBRO LÄN</t>
        </is>
      </c>
      <c r="E245" t="inlineStr">
        <is>
          <t>HÄLLEFORS</t>
        </is>
      </c>
      <c r="F245" t="inlineStr">
        <is>
          <t>Bergvik skog väst AB</t>
        </is>
      </c>
      <c r="G245" t="n">
        <v>4.2</v>
      </c>
      <c r="H245" t="n">
        <v>0</v>
      </c>
      <c r="I245" t="n">
        <v>0</v>
      </c>
      <c r="J245" t="n">
        <v>0</v>
      </c>
      <c r="K245" t="n">
        <v>0</v>
      </c>
      <c r="L245" t="n">
        <v>0</v>
      </c>
      <c r="M245" t="n">
        <v>0</v>
      </c>
      <c r="N245" t="n">
        <v>0</v>
      </c>
      <c r="O245" t="n">
        <v>0</v>
      </c>
      <c r="P245" t="n">
        <v>0</v>
      </c>
      <c r="Q245" t="n">
        <v>0</v>
      </c>
      <c r="R245" s="2" t="inlineStr"/>
    </row>
    <row r="246" ht="15" customHeight="1">
      <c r="A246" t="inlineStr">
        <is>
          <t>A 46980-2023</t>
        </is>
      </c>
      <c r="B246" s="1" t="n">
        <v>45201</v>
      </c>
      <c r="C246" s="1" t="n">
        <v>46189</v>
      </c>
      <c r="D246" t="inlineStr">
        <is>
          <t>ÖREBRO LÄN</t>
        </is>
      </c>
      <c r="E246" t="inlineStr">
        <is>
          <t>HÄLLEFORS</t>
        </is>
      </c>
      <c r="F246" t="inlineStr">
        <is>
          <t>Bergvik skog väst AB</t>
        </is>
      </c>
      <c r="G246" t="n">
        <v>7.5</v>
      </c>
      <c r="H246" t="n">
        <v>0</v>
      </c>
      <c r="I246" t="n">
        <v>0</v>
      </c>
      <c r="J246" t="n">
        <v>0</v>
      </c>
      <c r="K246" t="n">
        <v>0</v>
      </c>
      <c r="L246" t="n">
        <v>0</v>
      </c>
      <c r="M246" t="n">
        <v>0</v>
      </c>
      <c r="N246" t="n">
        <v>0</v>
      </c>
      <c r="O246" t="n">
        <v>0</v>
      </c>
      <c r="P246" t="n">
        <v>0</v>
      </c>
      <c r="Q246" t="n">
        <v>0</v>
      </c>
      <c r="R246" s="2" t="inlineStr"/>
    </row>
    <row r="247" ht="15" customHeight="1">
      <c r="A247" t="inlineStr">
        <is>
          <t>A 15771-2022</t>
        </is>
      </c>
      <c r="B247" s="1" t="n">
        <v>44663.63033564815</v>
      </c>
      <c r="C247" s="1" t="n">
        <v>46189</v>
      </c>
      <c r="D247" t="inlineStr">
        <is>
          <t>ÖREBRO LÄN</t>
        </is>
      </c>
      <c r="E247" t="inlineStr">
        <is>
          <t>HÄLLEFORS</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21760-2026</t>
        </is>
      </c>
      <c r="B248" s="1" t="n">
        <v>46149.72012731482</v>
      </c>
      <c r="C248" s="1" t="n">
        <v>46189</v>
      </c>
      <c r="D248" t="inlineStr">
        <is>
          <t>ÖREBRO LÄN</t>
        </is>
      </c>
      <c r="E248" t="inlineStr">
        <is>
          <t>HÄLLEFORS</t>
        </is>
      </c>
      <c r="G248" t="n">
        <v>0.8</v>
      </c>
      <c r="H248" t="n">
        <v>0</v>
      </c>
      <c r="I248" t="n">
        <v>0</v>
      </c>
      <c r="J248" t="n">
        <v>0</v>
      </c>
      <c r="K248" t="n">
        <v>0</v>
      </c>
      <c r="L248" t="n">
        <v>0</v>
      </c>
      <c r="M248" t="n">
        <v>0</v>
      </c>
      <c r="N248" t="n">
        <v>0</v>
      </c>
      <c r="O248" t="n">
        <v>0</v>
      </c>
      <c r="P248" t="n">
        <v>0</v>
      </c>
      <c r="Q248" t="n">
        <v>0</v>
      </c>
      <c r="R248" s="2" t="inlineStr"/>
    </row>
    <row r="249" ht="15" customHeight="1">
      <c r="A249" t="inlineStr">
        <is>
          <t>A 60523-2024</t>
        </is>
      </c>
      <c r="B249" s="1" t="n">
        <v>45643.69060185185</v>
      </c>
      <c r="C249" s="1" t="n">
        <v>46189</v>
      </c>
      <c r="D249" t="inlineStr">
        <is>
          <t>ÖREBRO LÄN</t>
        </is>
      </c>
      <c r="E249" t="inlineStr">
        <is>
          <t>HÄLLEFORS</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21726-2026</t>
        </is>
      </c>
      <c r="B250" s="1" t="n">
        <v>46149.62165509259</v>
      </c>
      <c r="C250" s="1" t="n">
        <v>46189</v>
      </c>
      <c r="D250" t="inlineStr">
        <is>
          <t>ÖREBRO LÄN</t>
        </is>
      </c>
      <c r="E250" t="inlineStr">
        <is>
          <t>HÄLLEFORS</t>
        </is>
      </c>
      <c r="G250" t="n">
        <v>2</v>
      </c>
      <c r="H250" t="n">
        <v>0</v>
      </c>
      <c r="I250" t="n">
        <v>0</v>
      </c>
      <c r="J250" t="n">
        <v>0</v>
      </c>
      <c r="K250" t="n">
        <v>0</v>
      </c>
      <c r="L250" t="n">
        <v>0</v>
      </c>
      <c r="M250" t="n">
        <v>0</v>
      </c>
      <c r="N250" t="n">
        <v>0</v>
      </c>
      <c r="O250" t="n">
        <v>0</v>
      </c>
      <c r="P250" t="n">
        <v>0</v>
      </c>
      <c r="Q250" t="n">
        <v>0</v>
      </c>
      <c r="R250" s="2" t="inlineStr"/>
    </row>
    <row r="251" ht="15" customHeight="1">
      <c r="A251" t="inlineStr">
        <is>
          <t>A 21901-2023</t>
        </is>
      </c>
      <c r="B251" s="1" t="n">
        <v>45068.53265046296</v>
      </c>
      <c r="C251" s="1" t="n">
        <v>46189</v>
      </c>
      <c r="D251" t="inlineStr">
        <is>
          <t>ÖREBRO LÄN</t>
        </is>
      </c>
      <c r="E251" t="inlineStr">
        <is>
          <t>HÄLLEFORS</t>
        </is>
      </c>
      <c r="G251" t="n">
        <v>1.3</v>
      </c>
      <c r="H251" t="n">
        <v>0</v>
      </c>
      <c r="I251" t="n">
        <v>0</v>
      </c>
      <c r="J251" t="n">
        <v>0</v>
      </c>
      <c r="K251" t="n">
        <v>0</v>
      </c>
      <c r="L251" t="n">
        <v>0</v>
      </c>
      <c r="M251" t="n">
        <v>0</v>
      </c>
      <c r="N251" t="n">
        <v>0</v>
      </c>
      <c r="O251" t="n">
        <v>0</v>
      </c>
      <c r="P251" t="n">
        <v>0</v>
      </c>
      <c r="Q251" t="n">
        <v>0</v>
      </c>
      <c r="R251" s="2" t="inlineStr"/>
    </row>
    <row r="252" ht="15" customHeight="1">
      <c r="A252" t="inlineStr">
        <is>
          <t>A 55397-2023</t>
        </is>
      </c>
      <c r="B252" s="1" t="n">
        <v>45238</v>
      </c>
      <c r="C252" s="1" t="n">
        <v>46189</v>
      </c>
      <c r="D252" t="inlineStr">
        <is>
          <t>ÖREBRO LÄN</t>
        </is>
      </c>
      <c r="E252" t="inlineStr">
        <is>
          <t>HÄLLEFORS</t>
        </is>
      </c>
      <c r="G252" t="n">
        <v>1.3</v>
      </c>
      <c r="H252" t="n">
        <v>0</v>
      </c>
      <c r="I252" t="n">
        <v>0</v>
      </c>
      <c r="J252" t="n">
        <v>0</v>
      </c>
      <c r="K252" t="n">
        <v>0</v>
      </c>
      <c r="L252" t="n">
        <v>0</v>
      </c>
      <c r="M252" t="n">
        <v>0</v>
      </c>
      <c r="N252" t="n">
        <v>0</v>
      </c>
      <c r="O252" t="n">
        <v>0</v>
      </c>
      <c r="P252" t="n">
        <v>0</v>
      </c>
      <c r="Q252" t="n">
        <v>0</v>
      </c>
      <c r="R252" s="2" t="inlineStr"/>
    </row>
    <row r="253" ht="15" customHeight="1">
      <c r="A253" t="inlineStr">
        <is>
          <t>A 4716-2022</t>
        </is>
      </c>
      <c r="B253" s="1" t="n">
        <v>44592</v>
      </c>
      <c r="C253" s="1" t="n">
        <v>46189</v>
      </c>
      <c r="D253" t="inlineStr">
        <is>
          <t>ÖREBRO LÄN</t>
        </is>
      </c>
      <c r="E253" t="inlineStr">
        <is>
          <t>HÄLLEFORS</t>
        </is>
      </c>
      <c r="G253" t="n">
        <v>1.5</v>
      </c>
      <c r="H253" t="n">
        <v>0</v>
      </c>
      <c r="I253" t="n">
        <v>0</v>
      </c>
      <c r="J253" t="n">
        <v>0</v>
      </c>
      <c r="K253" t="n">
        <v>0</v>
      </c>
      <c r="L253" t="n">
        <v>0</v>
      </c>
      <c r="M253" t="n">
        <v>0</v>
      </c>
      <c r="N253" t="n">
        <v>0</v>
      </c>
      <c r="O253" t="n">
        <v>0</v>
      </c>
      <c r="P253" t="n">
        <v>0</v>
      </c>
      <c r="Q253" t="n">
        <v>0</v>
      </c>
      <c r="R253" s="2" t="inlineStr"/>
    </row>
    <row r="254" ht="15" customHeight="1">
      <c r="A254" t="inlineStr">
        <is>
          <t>A 22004-2026</t>
        </is>
      </c>
      <c r="B254" s="1" t="n">
        <v>46153.37283564815</v>
      </c>
      <c r="C254" s="1" t="n">
        <v>46189</v>
      </c>
      <c r="D254" t="inlineStr">
        <is>
          <t>ÖREBRO LÄN</t>
        </is>
      </c>
      <c r="E254" t="inlineStr">
        <is>
          <t>HÄLLEFORS</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43941-2023</t>
        </is>
      </c>
      <c r="B255" s="1" t="n">
        <v>45187</v>
      </c>
      <c r="C255" s="1" t="n">
        <v>46189</v>
      </c>
      <c r="D255" t="inlineStr">
        <is>
          <t>ÖREBRO LÄN</t>
        </is>
      </c>
      <c r="E255" t="inlineStr">
        <is>
          <t>HÄLLEFORS</t>
        </is>
      </c>
      <c r="G255" t="n">
        <v>1.5</v>
      </c>
      <c r="H255" t="n">
        <v>0</v>
      </c>
      <c r="I255" t="n">
        <v>0</v>
      </c>
      <c r="J255" t="n">
        <v>0</v>
      </c>
      <c r="K255" t="n">
        <v>0</v>
      </c>
      <c r="L255" t="n">
        <v>0</v>
      </c>
      <c r="M255" t="n">
        <v>0</v>
      </c>
      <c r="N255" t="n">
        <v>0</v>
      </c>
      <c r="O255" t="n">
        <v>0</v>
      </c>
      <c r="P255" t="n">
        <v>0</v>
      </c>
      <c r="Q255" t="n">
        <v>0</v>
      </c>
      <c r="R255" s="2" t="inlineStr"/>
    </row>
    <row r="256" ht="15" customHeight="1">
      <c r="A256" t="inlineStr">
        <is>
          <t>A 48429-2024</t>
        </is>
      </c>
      <c r="B256" s="1" t="n">
        <v>45590</v>
      </c>
      <c r="C256" s="1" t="n">
        <v>46189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16999-2024</t>
        </is>
      </c>
      <c r="B257" s="1" t="n">
        <v>45412.35543981481</v>
      </c>
      <c r="C257" s="1" t="n">
        <v>46189</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21541-2026</t>
        </is>
      </c>
      <c r="B258" s="1" t="n">
        <v>46148</v>
      </c>
      <c r="C258" s="1" t="n">
        <v>46189</v>
      </c>
      <c r="D258" t="inlineStr">
        <is>
          <t>ÖREBRO LÄN</t>
        </is>
      </c>
      <c r="E258" t="inlineStr">
        <is>
          <t>HÄLLEFORS</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23253-2026</t>
        </is>
      </c>
      <c r="B259" s="1" t="n">
        <v>46162.44020833333</v>
      </c>
      <c r="C259" s="1" t="n">
        <v>46189</v>
      </c>
      <c r="D259" t="inlineStr">
        <is>
          <t>ÖREBRO LÄN</t>
        </is>
      </c>
      <c r="E259" t="inlineStr">
        <is>
          <t>HÄLLEFORS</t>
        </is>
      </c>
      <c r="G259" t="n">
        <v>2.1</v>
      </c>
      <c r="H259" t="n">
        <v>0</v>
      </c>
      <c r="I259" t="n">
        <v>0</v>
      </c>
      <c r="J259" t="n">
        <v>0</v>
      </c>
      <c r="K259" t="n">
        <v>0</v>
      </c>
      <c r="L259" t="n">
        <v>0</v>
      </c>
      <c r="M259" t="n">
        <v>0</v>
      </c>
      <c r="N259" t="n">
        <v>0</v>
      </c>
      <c r="O259" t="n">
        <v>0</v>
      </c>
      <c r="P259" t="n">
        <v>0</v>
      </c>
      <c r="Q259" t="n">
        <v>0</v>
      </c>
      <c r="R259" s="2" t="inlineStr"/>
    </row>
    <row r="260" ht="15" customHeight="1">
      <c r="A260" t="inlineStr">
        <is>
          <t>A 23428-2026</t>
        </is>
      </c>
      <c r="B260" s="1" t="n">
        <v>46163.31653935185</v>
      </c>
      <c r="C260" s="1" t="n">
        <v>46189</v>
      </c>
      <c r="D260" t="inlineStr">
        <is>
          <t>ÖREBRO LÄN</t>
        </is>
      </c>
      <c r="E260" t="inlineStr">
        <is>
          <t>HÄLLEFORS</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23263-2026</t>
        </is>
      </c>
      <c r="B261" s="1" t="n">
        <v>46162.45355324074</v>
      </c>
      <c r="C261" s="1" t="n">
        <v>46189</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12559-2025</t>
        </is>
      </c>
      <c r="B262" s="1" t="n">
        <v>45731.47399305556</v>
      </c>
      <c r="C262" s="1" t="n">
        <v>46189</v>
      </c>
      <c r="D262" t="inlineStr">
        <is>
          <t>ÖREBRO LÄN</t>
        </is>
      </c>
      <c r="E262" t="inlineStr">
        <is>
          <t>HÄLLEFORS</t>
        </is>
      </c>
      <c r="G262" t="n">
        <v>2.4</v>
      </c>
      <c r="H262" t="n">
        <v>0</v>
      </c>
      <c r="I262" t="n">
        <v>0</v>
      </c>
      <c r="J262" t="n">
        <v>0</v>
      </c>
      <c r="K262" t="n">
        <v>0</v>
      </c>
      <c r="L262" t="n">
        <v>0</v>
      </c>
      <c r="M262" t="n">
        <v>0</v>
      </c>
      <c r="N262" t="n">
        <v>0</v>
      </c>
      <c r="O262" t="n">
        <v>0</v>
      </c>
      <c r="P262" t="n">
        <v>0</v>
      </c>
      <c r="Q262" t="n">
        <v>0</v>
      </c>
      <c r="R262" s="2" t="inlineStr"/>
    </row>
    <row r="263" ht="15" customHeight="1">
      <c r="A263" t="inlineStr">
        <is>
          <t>A 23423-2026</t>
        </is>
      </c>
      <c r="B263" s="1" t="n">
        <v>46163.3134375</v>
      </c>
      <c r="C263" s="1" t="n">
        <v>46189</v>
      </c>
      <c r="D263" t="inlineStr">
        <is>
          <t>ÖREBRO LÄN</t>
        </is>
      </c>
      <c r="E263" t="inlineStr">
        <is>
          <t>HÄLLEFORS</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23424-2026</t>
        </is>
      </c>
      <c r="B264" s="1" t="n">
        <v>46163.31395833333</v>
      </c>
      <c r="C264" s="1" t="n">
        <v>46189</v>
      </c>
      <c r="D264" t="inlineStr">
        <is>
          <t>ÖREBRO LÄN</t>
        </is>
      </c>
      <c r="E264" t="inlineStr">
        <is>
          <t>HÄLLEFORS</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5762-2024</t>
        </is>
      </c>
      <c r="B265" s="1" t="n">
        <v>45335</v>
      </c>
      <c r="C265" s="1" t="n">
        <v>46189</v>
      </c>
      <c r="D265" t="inlineStr">
        <is>
          <t>ÖREBRO LÄN</t>
        </is>
      </c>
      <c r="E265" t="inlineStr">
        <is>
          <t>HÄLLEFORS</t>
        </is>
      </c>
      <c r="G265" t="n">
        <v>12.1</v>
      </c>
      <c r="H265" t="n">
        <v>0</v>
      </c>
      <c r="I265" t="n">
        <v>0</v>
      </c>
      <c r="J265" t="n">
        <v>0</v>
      </c>
      <c r="K265" t="n">
        <v>0</v>
      </c>
      <c r="L265" t="n">
        <v>0</v>
      </c>
      <c r="M265" t="n">
        <v>0</v>
      </c>
      <c r="N265" t="n">
        <v>0</v>
      </c>
      <c r="O265" t="n">
        <v>0</v>
      </c>
      <c r="P265" t="n">
        <v>0</v>
      </c>
      <c r="Q265" t="n">
        <v>0</v>
      </c>
      <c r="R265" s="2" t="inlineStr"/>
    </row>
    <row r="266" ht="15" customHeight="1">
      <c r="A266" t="inlineStr">
        <is>
          <t>A 23425-2026</t>
        </is>
      </c>
      <c r="B266" s="1" t="n">
        <v>46163.314375</v>
      </c>
      <c r="C266" s="1" t="n">
        <v>46189</v>
      </c>
      <c r="D266" t="inlineStr">
        <is>
          <t>ÖREBRO LÄN</t>
        </is>
      </c>
      <c r="E266" t="inlineStr">
        <is>
          <t>HÄLLEFORS</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23427-2026</t>
        </is>
      </c>
      <c r="B267" s="1" t="n">
        <v>46163.31502314815</v>
      </c>
      <c r="C267" s="1" t="n">
        <v>46189</v>
      </c>
      <c r="D267" t="inlineStr">
        <is>
          <t>ÖREBRO LÄN</t>
        </is>
      </c>
      <c r="E267" t="inlineStr">
        <is>
          <t>HÄLLEFORS</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37542-2024</t>
        </is>
      </c>
      <c r="B268" s="1" t="n">
        <v>45541.42298611111</v>
      </c>
      <c r="C268" s="1" t="n">
        <v>46189</v>
      </c>
      <c r="D268" t="inlineStr">
        <is>
          <t>ÖREBRO LÄN</t>
        </is>
      </c>
      <c r="E268" t="inlineStr">
        <is>
          <t>HÄLLEFORS</t>
        </is>
      </c>
      <c r="G268" t="n">
        <v>1.6</v>
      </c>
      <c r="H268" t="n">
        <v>0</v>
      </c>
      <c r="I268" t="n">
        <v>0</v>
      </c>
      <c r="J268" t="n">
        <v>0</v>
      </c>
      <c r="K268" t="n">
        <v>0</v>
      </c>
      <c r="L268" t="n">
        <v>0</v>
      </c>
      <c r="M268" t="n">
        <v>0</v>
      </c>
      <c r="N268" t="n">
        <v>0</v>
      </c>
      <c r="O268" t="n">
        <v>0</v>
      </c>
      <c r="P268" t="n">
        <v>0</v>
      </c>
      <c r="Q268" t="n">
        <v>0</v>
      </c>
      <c r="R268" s="2" t="inlineStr"/>
    </row>
    <row r="269" ht="15" customHeight="1">
      <c r="A269" t="inlineStr">
        <is>
          <t>A 17721-2026</t>
        </is>
      </c>
      <c r="B269" s="1" t="n">
        <v>46121.75065972222</v>
      </c>
      <c r="C269" s="1" t="n">
        <v>46189</v>
      </c>
      <c r="D269" t="inlineStr">
        <is>
          <t>ÖREBRO LÄN</t>
        </is>
      </c>
      <c r="E269" t="inlineStr">
        <is>
          <t>HÄLLEFORS</t>
        </is>
      </c>
      <c r="G269" t="n">
        <v>2.2</v>
      </c>
      <c r="H269" t="n">
        <v>0</v>
      </c>
      <c r="I269" t="n">
        <v>0</v>
      </c>
      <c r="J269" t="n">
        <v>0</v>
      </c>
      <c r="K269" t="n">
        <v>0</v>
      </c>
      <c r="L269" t="n">
        <v>0</v>
      </c>
      <c r="M269" t="n">
        <v>0</v>
      </c>
      <c r="N269" t="n">
        <v>0</v>
      </c>
      <c r="O269" t="n">
        <v>0</v>
      </c>
      <c r="P269" t="n">
        <v>0</v>
      </c>
      <c r="Q269" t="n">
        <v>0</v>
      </c>
      <c r="R269" s="2" t="inlineStr"/>
    </row>
    <row r="270" ht="15" customHeight="1">
      <c r="A270" t="inlineStr">
        <is>
          <t>A 24246-2026</t>
        </is>
      </c>
      <c r="B270" s="1" t="n">
        <v>46168.73540509259</v>
      </c>
      <c r="C270" s="1" t="n">
        <v>46189</v>
      </c>
      <c r="D270" t="inlineStr">
        <is>
          <t>ÖREBRO LÄN</t>
        </is>
      </c>
      <c r="E270" t="inlineStr">
        <is>
          <t>HÄLLEFORS</t>
        </is>
      </c>
      <c r="G270" t="n">
        <v>1.3</v>
      </c>
      <c r="H270" t="n">
        <v>0</v>
      </c>
      <c r="I270" t="n">
        <v>0</v>
      </c>
      <c r="J270" t="n">
        <v>0</v>
      </c>
      <c r="K270" t="n">
        <v>0</v>
      </c>
      <c r="L270" t="n">
        <v>0</v>
      </c>
      <c r="M270" t="n">
        <v>0</v>
      </c>
      <c r="N270" t="n">
        <v>0</v>
      </c>
      <c r="O270" t="n">
        <v>0</v>
      </c>
      <c r="P270" t="n">
        <v>0</v>
      </c>
      <c r="Q270" t="n">
        <v>0</v>
      </c>
      <c r="R270" s="2" t="inlineStr"/>
    </row>
    <row r="271" ht="15" customHeight="1">
      <c r="A271" t="inlineStr">
        <is>
          <t>A 9537-2025</t>
        </is>
      </c>
      <c r="B271" s="1" t="n">
        <v>45715.57903935185</v>
      </c>
      <c r="C271" s="1" t="n">
        <v>46189</v>
      </c>
      <c r="D271" t="inlineStr">
        <is>
          <t>ÖREBRO LÄN</t>
        </is>
      </c>
      <c r="E271" t="inlineStr">
        <is>
          <t>HÄLLEFORS</t>
        </is>
      </c>
      <c r="G271" t="n">
        <v>2.7</v>
      </c>
      <c r="H271" t="n">
        <v>0</v>
      </c>
      <c r="I271" t="n">
        <v>0</v>
      </c>
      <c r="J271" t="n">
        <v>0</v>
      </c>
      <c r="K271" t="n">
        <v>0</v>
      </c>
      <c r="L271" t="n">
        <v>0</v>
      </c>
      <c r="M271" t="n">
        <v>0</v>
      </c>
      <c r="N271" t="n">
        <v>0</v>
      </c>
      <c r="O271" t="n">
        <v>0</v>
      </c>
      <c r="P271" t="n">
        <v>0</v>
      </c>
      <c r="Q271" t="n">
        <v>0</v>
      </c>
      <c r="R271" s="2" t="inlineStr"/>
    </row>
    <row r="272" ht="15" customHeight="1">
      <c r="A272" t="inlineStr">
        <is>
          <t>A 18715-2025</t>
        </is>
      </c>
      <c r="B272" s="1" t="n">
        <v>45763.64383101852</v>
      </c>
      <c r="C272" s="1" t="n">
        <v>46189</v>
      </c>
      <c r="D272" t="inlineStr">
        <is>
          <t>ÖREBRO LÄN</t>
        </is>
      </c>
      <c r="E272" t="inlineStr">
        <is>
          <t>HÄLLEFORS</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14669-2025</t>
        </is>
      </c>
      <c r="B273" s="1" t="n">
        <v>45742.55043981481</v>
      </c>
      <c r="C273" s="1" t="n">
        <v>46189</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24247-2026</t>
        </is>
      </c>
      <c r="B274" s="1" t="n">
        <v>46168.73892361111</v>
      </c>
      <c r="C274" s="1" t="n">
        <v>46189</v>
      </c>
      <c r="D274" t="inlineStr">
        <is>
          <t>ÖREBRO LÄN</t>
        </is>
      </c>
      <c r="E274" t="inlineStr">
        <is>
          <t>HÄLLEFORS</t>
        </is>
      </c>
      <c r="G274" t="n">
        <v>0.7</v>
      </c>
      <c r="H274" t="n">
        <v>0</v>
      </c>
      <c r="I274" t="n">
        <v>0</v>
      </c>
      <c r="J274" t="n">
        <v>0</v>
      </c>
      <c r="K274" t="n">
        <v>0</v>
      </c>
      <c r="L274" t="n">
        <v>0</v>
      </c>
      <c r="M274" t="n">
        <v>0</v>
      </c>
      <c r="N274" t="n">
        <v>0</v>
      </c>
      <c r="O274" t="n">
        <v>0</v>
      </c>
      <c r="P274" t="n">
        <v>0</v>
      </c>
      <c r="Q274" t="n">
        <v>0</v>
      </c>
      <c r="R274" s="2" t="inlineStr"/>
    </row>
    <row r="275" ht="15" customHeight="1">
      <c r="A275" t="inlineStr">
        <is>
          <t>A 46642-2024</t>
        </is>
      </c>
      <c r="B275" s="1" t="n">
        <v>45583.34902777777</v>
      </c>
      <c r="C275" s="1" t="n">
        <v>46189</v>
      </c>
      <c r="D275" t="inlineStr">
        <is>
          <t>ÖREBRO LÄN</t>
        </is>
      </c>
      <c r="E275" t="inlineStr">
        <is>
          <t>HÄLLEFORS</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20670-2025</t>
        </is>
      </c>
      <c r="B276" s="1" t="n">
        <v>45776.43351851852</v>
      </c>
      <c r="C276" s="1" t="n">
        <v>46189</v>
      </c>
      <c r="D276" t="inlineStr">
        <is>
          <t>ÖREBRO LÄN</t>
        </is>
      </c>
      <c r="E276" t="inlineStr">
        <is>
          <t>HÄLLEFORS</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18878-2025</t>
        </is>
      </c>
      <c r="B277" s="1" t="n">
        <v>45764</v>
      </c>
      <c r="C277" s="1" t="n">
        <v>46189</v>
      </c>
      <c r="D277" t="inlineStr">
        <is>
          <t>ÖREBRO LÄN</t>
        </is>
      </c>
      <c r="E277" t="inlineStr">
        <is>
          <t>HÄLLEFORS</t>
        </is>
      </c>
      <c r="G277" t="n">
        <v>1.4</v>
      </c>
      <c r="H277" t="n">
        <v>0</v>
      </c>
      <c r="I277" t="n">
        <v>0</v>
      </c>
      <c r="J277" t="n">
        <v>0</v>
      </c>
      <c r="K277" t="n">
        <v>0</v>
      </c>
      <c r="L277" t="n">
        <v>0</v>
      </c>
      <c r="M277" t="n">
        <v>0</v>
      </c>
      <c r="N277" t="n">
        <v>0</v>
      </c>
      <c r="O277" t="n">
        <v>0</v>
      </c>
      <c r="P277" t="n">
        <v>0</v>
      </c>
      <c r="Q277" t="n">
        <v>0</v>
      </c>
      <c r="R277" s="2" t="inlineStr"/>
    </row>
    <row r="278" ht="15" customHeight="1">
      <c r="A278" t="inlineStr">
        <is>
          <t>A 18790-2025</t>
        </is>
      </c>
      <c r="B278" s="1" t="n">
        <v>45764</v>
      </c>
      <c r="C278" s="1" t="n">
        <v>46189</v>
      </c>
      <c r="D278" t="inlineStr">
        <is>
          <t>ÖREBRO LÄN</t>
        </is>
      </c>
      <c r="E278" t="inlineStr">
        <is>
          <t>HÄLLEFORS</t>
        </is>
      </c>
      <c r="G278" t="n">
        <v>14.9</v>
      </c>
      <c r="H278" t="n">
        <v>0</v>
      </c>
      <c r="I278" t="n">
        <v>0</v>
      </c>
      <c r="J278" t="n">
        <v>0</v>
      </c>
      <c r="K278" t="n">
        <v>0</v>
      </c>
      <c r="L278" t="n">
        <v>0</v>
      </c>
      <c r="M278" t="n">
        <v>0</v>
      </c>
      <c r="N278" t="n">
        <v>0</v>
      </c>
      <c r="O278" t="n">
        <v>0</v>
      </c>
      <c r="P278" t="n">
        <v>0</v>
      </c>
      <c r="Q278" t="n">
        <v>0</v>
      </c>
      <c r="R278" s="2" t="inlineStr"/>
    </row>
    <row r="279" ht="15" customHeight="1">
      <c r="A279" t="inlineStr">
        <is>
          <t>A 18852-2025</t>
        </is>
      </c>
      <c r="B279" s="1" t="n">
        <v>45764</v>
      </c>
      <c r="C279" s="1" t="n">
        <v>46189</v>
      </c>
      <c r="D279" t="inlineStr">
        <is>
          <t>ÖREBRO LÄN</t>
        </is>
      </c>
      <c r="E279" t="inlineStr">
        <is>
          <t>HÄLLEFORS</t>
        </is>
      </c>
      <c r="G279" t="n">
        <v>6.8</v>
      </c>
      <c r="H279" t="n">
        <v>0</v>
      </c>
      <c r="I279" t="n">
        <v>0</v>
      </c>
      <c r="J279" t="n">
        <v>0</v>
      </c>
      <c r="K279" t="n">
        <v>0</v>
      </c>
      <c r="L279" t="n">
        <v>0</v>
      </c>
      <c r="M279" t="n">
        <v>0</v>
      </c>
      <c r="N279" t="n">
        <v>0</v>
      </c>
      <c r="O279" t="n">
        <v>0</v>
      </c>
      <c r="P279" t="n">
        <v>0</v>
      </c>
      <c r="Q279" t="n">
        <v>0</v>
      </c>
      <c r="R279" s="2" t="inlineStr"/>
    </row>
    <row r="280" ht="15" customHeight="1">
      <c r="A280" t="inlineStr">
        <is>
          <t>A 18869-2025</t>
        </is>
      </c>
      <c r="B280" s="1" t="n">
        <v>45764</v>
      </c>
      <c r="C280" s="1" t="n">
        <v>46189</v>
      </c>
      <c r="D280" t="inlineStr">
        <is>
          <t>ÖREBRO LÄN</t>
        </is>
      </c>
      <c r="E280" t="inlineStr">
        <is>
          <t>HÄLLEFORS</t>
        </is>
      </c>
      <c r="G280" t="n">
        <v>3.7</v>
      </c>
      <c r="H280" t="n">
        <v>0</v>
      </c>
      <c r="I280" t="n">
        <v>0</v>
      </c>
      <c r="J280" t="n">
        <v>0</v>
      </c>
      <c r="K280" t="n">
        <v>0</v>
      </c>
      <c r="L280" t="n">
        <v>0</v>
      </c>
      <c r="M280" t="n">
        <v>0</v>
      </c>
      <c r="N280" t="n">
        <v>0</v>
      </c>
      <c r="O280" t="n">
        <v>0</v>
      </c>
      <c r="P280" t="n">
        <v>0</v>
      </c>
      <c r="Q280" t="n">
        <v>0</v>
      </c>
      <c r="R280" s="2" t="inlineStr"/>
    </row>
    <row r="281" ht="15" customHeight="1">
      <c r="A281" t="inlineStr">
        <is>
          <t>A 18891-2025</t>
        </is>
      </c>
      <c r="B281" s="1" t="n">
        <v>45764</v>
      </c>
      <c r="C281" s="1" t="n">
        <v>46189</v>
      </c>
      <c r="D281" t="inlineStr">
        <is>
          <t>ÖREBRO LÄN</t>
        </is>
      </c>
      <c r="E281" t="inlineStr">
        <is>
          <t>HÄLLEFORS</t>
        </is>
      </c>
      <c r="G281" t="n">
        <v>2.2</v>
      </c>
      <c r="H281" t="n">
        <v>0</v>
      </c>
      <c r="I281" t="n">
        <v>0</v>
      </c>
      <c r="J281" t="n">
        <v>0</v>
      </c>
      <c r="K281" t="n">
        <v>0</v>
      </c>
      <c r="L281" t="n">
        <v>0</v>
      </c>
      <c r="M281" t="n">
        <v>0</v>
      </c>
      <c r="N281" t="n">
        <v>0</v>
      </c>
      <c r="O281" t="n">
        <v>0</v>
      </c>
      <c r="P281" t="n">
        <v>0</v>
      </c>
      <c r="Q281" t="n">
        <v>0</v>
      </c>
      <c r="R281" s="2" t="inlineStr"/>
    </row>
    <row r="282" ht="15" customHeight="1">
      <c r="A282" t="inlineStr">
        <is>
          <t>A 24635-2026</t>
        </is>
      </c>
      <c r="B282" s="1" t="n">
        <v>46171.3944675926</v>
      </c>
      <c r="C282" s="1" t="n">
        <v>46189</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24633-2026</t>
        </is>
      </c>
      <c r="B283" s="1" t="n">
        <v>46171.39269675926</v>
      </c>
      <c r="C283" s="1" t="n">
        <v>46189</v>
      </c>
      <c r="D283" t="inlineStr">
        <is>
          <t>ÖREBRO LÄN</t>
        </is>
      </c>
      <c r="E283" t="inlineStr">
        <is>
          <t>HÄLLEFORS</t>
        </is>
      </c>
      <c r="G283" t="n">
        <v>0.7</v>
      </c>
      <c r="H283" t="n">
        <v>0</v>
      </c>
      <c r="I283" t="n">
        <v>0</v>
      </c>
      <c r="J283" t="n">
        <v>0</v>
      </c>
      <c r="K283" t="n">
        <v>0</v>
      </c>
      <c r="L283" t="n">
        <v>0</v>
      </c>
      <c r="M283" t="n">
        <v>0</v>
      </c>
      <c r="N283" t="n">
        <v>0</v>
      </c>
      <c r="O283" t="n">
        <v>0</v>
      </c>
      <c r="P283" t="n">
        <v>0</v>
      </c>
      <c r="Q283" t="n">
        <v>0</v>
      </c>
      <c r="R283" s="2" t="inlineStr"/>
    </row>
    <row r="284" ht="15" customHeight="1">
      <c r="A284" t="inlineStr">
        <is>
          <t>A 24631-2026</t>
        </is>
      </c>
      <c r="B284" s="1" t="n">
        <v>46171.38890046296</v>
      </c>
      <c r="C284" s="1" t="n">
        <v>46189</v>
      </c>
      <c r="D284" t="inlineStr">
        <is>
          <t>ÖREBRO LÄN</t>
        </is>
      </c>
      <c r="E284" t="inlineStr">
        <is>
          <t>HÄLLEFORS</t>
        </is>
      </c>
      <c r="G284" t="n">
        <v>4.5</v>
      </c>
      <c r="H284" t="n">
        <v>0</v>
      </c>
      <c r="I284" t="n">
        <v>0</v>
      </c>
      <c r="J284" t="n">
        <v>0</v>
      </c>
      <c r="K284" t="n">
        <v>0</v>
      </c>
      <c r="L284" t="n">
        <v>0</v>
      </c>
      <c r="M284" t="n">
        <v>0</v>
      </c>
      <c r="N284" t="n">
        <v>0</v>
      </c>
      <c r="O284" t="n">
        <v>0</v>
      </c>
      <c r="P284" t="n">
        <v>0</v>
      </c>
      <c r="Q284" t="n">
        <v>0</v>
      </c>
      <c r="R284" s="2" t="inlineStr"/>
    </row>
    <row r="285" ht="15" customHeight="1">
      <c r="A285" t="inlineStr">
        <is>
          <t>A 30307-2024</t>
        </is>
      </c>
      <c r="B285" s="1" t="n">
        <v>45490.70074074074</v>
      </c>
      <c r="C285" s="1" t="n">
        <v>46189</v>
      </c>
      <c r="D285" t="inlineStr">
        <is>
          <t>ÖREBRO LÄN</t>
        </is>
      </c>
      <c r="E285" t="inlineStr">
        <is>
          <t>HÄLLEFORS</t>
        </is>
      </c>
      <c r="G285" t="n">
        <v>2.5</v>
      </c>
      <c r="H285" t="n">
        <v>0</v>
      </c>
      <c r="I285" t="n">
        <v>0</v>
      </c>
      <c r="J285" t="n">
        <v>0</v>
      </c>
      <c r="K285" t="n">
        <v>0</v>
      </c>
      <c r="L285" t="n">
        <v>0</v>
      </c>
      <c r="M285" t="n">
        <v>0</v>
      </c>
      <c r="N285" t="n">
        <v>0</v>
      </c>
      <c r="O285" t="n">
        <v>0</v>
      </c>
      <c r="P285" t="n">
        <v>0</v>
      </c>
      <c r="Q285" t="n">
        <v>0</v>
      </c>
      <c r="R285" s="2" t="inlineStr"/>
    </row>
    <row r="286" ht="15" customHeight="1">
      <c r="A286" t="inlineStr">
        <is>
          <t>A 45694-2023</t>
        </is>
      </c>
      <c r="B286" s="1" t="n">
        <v>45195</v>
      </c>
      <c r="C286" s="1" t="n">
        <v>46189</v>
      </c>
      <c r="D286" t="inlineStr">
        <is>
          <t>ÖREBRO LÄN</t>
        </is>
      </c>
      <c r="E286" t="inlineStr">
        <is>
          <t>HÄLLEFORS</t>
        </is>
      </c>
      <c r="G286" t="n">
        <v>10.8</v>
      </c>
      <c r="H286" t="n">
        <v>0</v>
      </c>
      <c r="I286" t="n">
        <v>0</v>
      </c>
      <c r="J286" t="n">
        <v>0</v>
      </c>
      <c r="K286" t="n">
        <v>0</v>
      </c>
      <c r="L286" t="n">
        <v>0</v>
      </c>
      <c r="M286" t="n">
        <v>0</v>
      </c>
      <c r="N286" t="n">
        <v>0</v>
      </c>
      <c r="O286" t="n">
        <v>0</v>
      </c>
      <c r="P286" t="n">
        <v>0</v>
      </c>
      <c r="Q286" t="n">
        <v>0</v>
      </c>
      <c r="R286" s="2" t="inlineStr"/>
    </row>
    <row r="287" ht="15" customHeight="1">
      <c r="A287" t="inlineStr">
        <is>
          <t>A 18168-2024</t>
        </is>
      </c>
      <c r="B287" s="1" t="n">
        <v>45420</v>
      </c>
      <c r="C287" s="1" t="n">
        <v>46189</v>
      </c>
      <c r="D287" t="inlineStr">
        <is>
          <t>ÖREBRO LÄN</t>
        </is>
      </c>
      <c r="E287" t="inlineStr">
        <is>
          <t>HÄLLEFORS</t>
        </is>
      </c>
      <c r="G287" t="n">
        <v>1.4</v>
      </c>
      <c r="H287" t="n">
        <v>0</v>
      </c>
      <c r="I287" t="n">
        <v>0</v>
      </c>
      <c r="J287" t="n">
        <v>0</v>
      </c>
      <c r="K287" t="n">
        <v>0</v>
      </c>
      <c r="L287" t="n">
        <v>0</v>
      </c>
      <c r="M287" t="n">
        <v>0</v>
      </c>
      <c r="N287" t="n">
        <v>0</v>
      </c>
      <c r="O287" t="n">
        <v>0</v>
      </c>
      <c r="P287" t="n">
        <v>0</v>
      </c>
      <c r="Q287" t="n">
        <v>0</v>
      </c>
      <c r="R287" s="2" t="inlineStr"/>
    </row>
    <row r="288" ht="15" customHeight="1">
      <c r="A288" t="inlineStr">
        <is>
          <t>A 21852-2025</t>
        </is>
      </c>
      <c r="B288" s="1" t="n">
        <v>45784</v>
      </c>
      <c r="C288" s="1" t="n">
        <v>46189</v>
      </c>
      <c r="D288" t="inlineStr">
        <is>
          <t>ÖREBRO LÄN</t>
        </is>
      </c>
      <c r="E288" t="inlineStr">
        <is>
          <t>HÄLLEFORS</t>
        </is>
      </c>
      <c r="G288" t="n">
        <v>4.2</v>
      </c>
      <c r="H288" t="n">
        <v>0</v>
      </c>
      <c r="I288" t="n">
        <v>0</v>
      </c>
      <c r="J288" t="n">
        <v>0</v>
      </c>
      <c r="K288" t="n">
        <v>0</v>
      </c>
      <c r="L288" t="n">
        <v>0</v>
      </c>
      <c r="M288" t="n">
        <v>0</v>
      </c>
      <c r="N288" t="n">
        <v>0</v>
      </c>
      <c r="O288" t="n">
        <v>0</v>
      </c>
      <c r="P288" t="n">
        <v>0</v>
      </c>
      <c r="Q288" t="n">
        <v>0</v>
      </c>
      <c r="R288" s="2" t="inlineStr"/>
    </row>
    <row r="289" ht="15" customHeight="1">
      <c r="A289" t="inlineStr">
        <is>
          <t>A 53340-2024</t>
        </is>
      </c>
      <c r="B289" s="1" t="n">
        <v>45614.43358796297</v>
      </c>
      <c r="C289" s="1" t="n">
        <v>46189</v>
      </c>
      <c r="D289" t="inlineStr">
        <is>
          <t>ÖREBRO LÄN</t>
        </is>
      </c>
      <c r="E289" t="inlineStr">
        <is>
          <t>HÄLLEFORS</t>
        </is>
      </c>
      <c r="G289" t="n">
        <v>1.3</v>
      </c>
      <c r="H289" t="n">
        <v>0</v>
      </c>
      <c r="I289" t="n">
        <v>0</v>
      </c>
      <c r="J289" t="n">
        <v>0</v>
      </c>
      <c r="K289" t="n">
        <v>0</v>
      </c>
      <c r="L289" t="n">
        <v>0</v>
      </c>
      <c r="M289" t="n">
        <v>0</v>
      </c>
      <c r="N289" t="n">
        <v>0</v>
      </c>
      <c r="O289" t="n">
        <v>0</v>
      </c>
      <c r="P289" t="n">
        <v>0</v>
      </c>
      <c r="Q289" t="n">
        <v>0</v>
      </c>
      <c r="R289" s="2" t="inlineStr"/>
    </row>
    <row r="290" ht="15" customHeight="1">
      <c r="A290" t="inlineStr">
        <is>
          <t>A 35106-2023</t>
        </is>
      </c>
      <c r="B290" s="1" t="n">
        <v>45145</v>
      </c>
      <c r="C290" s="1" t="n">
        <v>46189</v>
      </c>
      <c r="D290" t="inlineStr">
        <is>
          <t>ÖREBRO LÄN</t>
        </is>
      </c>
      <c r="E290" t="inlineStr">
        <is>
          <t>HÄLLEFORS</t>
        </is>
      </c>
      <c r="F290" t="inlineStr">
        <is>
          <t>Bergvik skog väst AB</t>
        </is>
      </c>
      <c r="G290" t="n">
        <v>13.9</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44817.50186342592</v>
      </c>
      <c r="C291" s="1" t="n">
        <v>46189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47907-2024</t>
        </is>
      </c>
      <c r="B292" s="1" t="n">
        <v>45589.31677083333</v>
      </c>
      <c r="C292" s="1" t="n">
        <v>46189</v>
      </c>
      <c r="D292" t="inlineStr">
        <is>
          <t>ÖREBRO LÄN</t>
        </is>
      </c>
      <c r="E292" t="inlineStr">
        <is>
          <t>HÄLLEFORS</t>
        </is>
      </c>
      <c r="F292" t="inlineStr">
        <is>
          <t>Bergvik skog väst AB</t>
        </is>
      </c>
      <c r="G292" t="n">
        <v>4.6</v>
      </c>
      <c r="H292" t="n">
        <v>0</v>
      </c>
      <c r="I292" t="n">
        <v>0</v>
      </c>
      <c r="J292" t="n">
        <v>0</v>
      </c>
      <c r="K292" t="n">
        <v>0</v>
      </c>
      <c r="L292" t="n">
        <v>0</v>
      </c>
      <c r="M292" t="n">
        <v>0</v>
      </c>
      <c r="N292" t="n">
        <v>0</v>
      </c>
      <c r="O292" t="n">
        <v>0</v>
      </c>
      <c r="P292" t="n">
        <v>0</v>
      </c>
      <c r="Q292" t="n">
        <v>0</v>
      </c>
      <c r="R292" s="2" t="inlineStr"/>
    </row>
    <row r="293" ht="15" customHeight="1">
      <c r="A293" t="inlineStr">
        <is>
          <t>A 25094-2026</t>
        </is>
      </c>
      <c r="B293" s="1" t="n">
        <v>46175.33747685186</v>
      </c>
      <c r="C293" s="1" t="n">
        <v>46189</v>
      </c>
      <c r="D293" t="inlineStr">
        <is>
          <t>ÖREBRO LÄN</t>
        </is>
      </c>
      <c r="E293" t="inlineStr">
        <is>
          <t>HÄLLEFORS</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59963-2024</t>
        </is>
      </c>
      <c r="B294" s="1" t="n">
        <v>45642.35274305556</v>
      </c>
      <c r="C294" s="1" t="n">
        <v>46189</v>
      </c>
      <c r="D294" t="inlineStr">
        <is>
          <t>ÖREBRO LÄN</t>
        </is>
      </c>
      <c r="E294" t="inlineStr">
        <is>
          <t>HÄLLEFORS</t>
        </is>
      </c>
      <c r="F294" t="inlineStr">
        <is>
          <t>Bergvik skog väst AB</t>
        </is>
      </c>
      <c r="G294" t="n">
        <v>8.4</v>
      </c>
      <c r="H294" t="n">
        <v>0</v>
      </c>
      <c r="I294" t="n">
        <v>0</v>
      </c>
      <c r="J294" t="n">
        <v>0</v>
      </c>
      <c r="K294" t="n">
        <v>0</v>
      </c>
      <c r="L294" t="n">
        <v>0</v>
      </c>
      <c r="M294" t="n">
        <v>0</v>
      </c>
      <c r="N294" t="n">
        <v>0</v>
      </c>
      <c r="O294" t="n">
        <v>0</v>
      </c>
      <c r="P294" t="n">
        <v>0</v>
      </c>
      <c r="Q294" t="n">
        <v>0</v>
      </c>
      <c r="R294" s="2" t="inlineStr"/>
    </row>
    <row r="295" ht="15" customHeight="1">
      <c r="A295" t="inlineStr">
        <is>
          <t>A 25095-2026</t>
        </is>
      </c>
      <c r="B295" s="1" t="n">
        <v>46175.33796296296</v>
      </c>
      <c r="C295" s="1" t="n">
        <v>46189</v>
      </c>
      <c r="D295" t="inlineStr">
        <is>
          <t>ÖREBRO LÄN</t>
        </is>
      </c>
      <c r="E295" t="inlineStr">
        <is>
          <t>HÄLLEFORS</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36090-2024</t>
        </is>
      </c>
      <c r="B296" s="1" t="n">
        <v>45533.68363425926</v>
      </c>
      <c r="C296" s="1" t="n">
        <v>46189</v>
      </c>
      <c r="D296" t="inlineStr">
        <is>
          <t>ÖREBRO LÄN</t>
        </is>
      </c>
      <c r="E296" t="inlineStr">
        <is>
          <t>HÄLLEFORS</t>
        </is>
      </c>
      <c r="F296" t="inlineStr">
        <is>
          <t>Bergvik skog väst AB</t>
        </is>
      </c>
      <c r="G296" t="n">
        <v>5.2</v>
      </c>
      <c r="H296" t="n">
        <v>0</v>
      </c>
      <c r="I296" t="n">
        <v>0</v>
      </c>
      <c r="J296" t="n">
        <v>0</v>
      </c>
      <c r="K296" t="n">
        <v>0</v>
      </c>
      <c r="L296" t="n">
        <v>0</v>
      </c>
      <c r="M296" t="n">
        <v>0</v>
      </c>
      <c r="N296" t="n">
        <v>0</v>
      </c>
      <c r="O296" t="n">
        <v>0</v>
      </c>
      <c r="P296" t="n">
        <v>0</v>
      </c>
      <c r="Q296" t="n">
        <v>0</v>
      </c>
      <c r="R296" s="2" t="inlineStr"/>
    </row>
    <row r="297" ht="15" customHeight="1">
      <c r="A297" t="inlineStr">
        <is>
          <t>A 25172-2026</t>
        </is>
      </c>
      <c r="B297" s="1" t="n">
        <v>46175.51740740741</v>
      </c>
      <c r="C297" s="1" t="n">
        <v>46189</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47811-2024</t>
        </is>
      </c>
      <c r="B298" s="1" t="n">
        <v>45588.61716435185</v>
      </c>
      <c r="C298" s="1" t="n">
        <v>46189</v>
      </c>
      <c r="D298" t="inlineStr">
        <is>
          <t>ÖREBRO LÄN</t>
        </is>
      </c>
      <c r="E298" t="inlineStr">
        <is>
          <t>HÄLLEFORS</t>
        </is>
      </c>
      <c r="F298" t="inlineStr">
        <is>
          <t>Bergvik skog väst AB</t>
        </is>
      </c>
      <c r="G298" t="n">
        <v>5.9</v>
      </c>
      <c r="H298" t="n">
        <v>0</v>
      </c>
      <c r="I298" t="n">
        <v>0</v>
      </c>
      <c r="J298" t="n">
        <v>0</v>
      </c>
      <c r="K298" t="n">
        <v>0</v>
      </c>
      <c r="L298" t="n">
        <v>0</v>
      </c>
      <c r="M298" t="n">
        <v>0</v>
      </c>
      <c r="N298" t="n">
        <v>0</v>
      </c>
      <c r="O298" t="n">
        <v>0</v>
      </c>
      <c r="P298" t="n">
        <v>0</v>
      </c>
      <c r="Q298" t="n">
        <v>0</v>
      </c>
      <c r="R298" s="2" t="inlineStr"/>
    </row>
    <row r="299" ht="15" customHeight="1">
      <c r="A299" t="inlineStr">
        <is>
          <t>A 25059-2024</t>
        </is>
      </c>
      <c r="B299" s="1" t="n">
        <v>45462.35787037037</v>
      </c>
      <c r="C299" s="1" t="n">
        <v>46189</v>
      </c>
      <c r="D299" t="inlineStr">
        <is>
          <t>ÖREBRO LÄN</t>
        </is>
      </c>
      <c r="E299" t="inlineStr">
        <is>
          <t>HÄLLEFORS</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35860-2024</t>
        </is>
      </c>
      <c r="B300" s="1" t="n">
        <v>45533</v>
      </c>
      <c r="C300" s="1" t="n">
        <v>46189</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36114-2024</t>
        </is>
      </c>
      <c r="B301" s="1" t="n">
        <v>45534.30509259259</v>
      </c>
      <c r="C301" s="1" t="n">
        <v>46189</v>
      </c>
      <c r="D301" t="inlineStr">
        <is>
          <t>ÖREBRO LÄN</t>
        </is>
      </c>
      <c r="E301" t="inlineStr">
        <is>
          <t>HÄLLEFORS</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53344-2024</t>
        </is>
      </c>
      <c r="B302" s="1" t="n">
        <v>45614.44175925926</v>
      </c>
      <c r="C302" s="1" t="n">
        <v>46189</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28564-2024</t>
        </is>
      </c>
      <c r="B303" s="1" t="n">
        <v>45478.38640046296</v>
      </c>
      <c r="C303" s="1" t="n">
        <v>46189</v>
      </c>
      <c r="D303" t="inlineStr">
        <is>
          <t>ÖREBRO LÄN</t>
        </is>
      </c>
      <c r="E303" t="inlineStr">
        <is>
          <t>HÄLLEFORS</t>
        </is>
      </c>
      <c r="F303" t="inlineStr">
        <is>
          <t>Bergvik skog väst AB</t>
        </is>
      </c>
      <c r="G303" t="n">
        <v>0.9</v>
      </c>
      <c r="H303" t="n">
        <v>0</v>
      </c>
      <c r="I303" t="n">
        <v>0</v>
      </c>
      <c r="J303" t="n">
        <v>0</v>
      </c>
      <c r="K303" t="n">
        <v>0</v>
      </c>
      <c r="L303" t="n">
        <v>0</v>
      </c>
      <c r="M303" t="n">
        <v>0</v>
      </c>
      <c r="N303" t="n">
        <v>0</v>
      </c>
      <c r="O303" t="n">
        <v>0</v>
      </c>
      <c r="P303" t="n">
        <v>0</v>
      </c>
      <c r="Q303" t="n">
        <v>0</v>
      </c>
      <c r="R303" s="2" t="inlineStr"/>
    </row>
    <row r="304" ht="15" customHeight="1">
      <c r="A304" t="inlineStr">
        <is>
          <t>A 32937-2024</t>
        </is>
      </c>
      <c r="B304" s="1" t="n">
        <v>45517.32866898148</v>
      </c>
      <c r="C304" s="1" t="n">
        <v>46189</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53035-2022</t>
        </is>
      </c>
      <c r="B305" s="1" t="n">
        <v>44876.30667824074</v>
      </c>
      <c r="C305" s="1" t="n">
        <v>46189</v>
      </c>
      <c r="D305" t="inlineStr">
        <is>
          <t>ÖREBRO LÄN</t>
        </is>
      </c>
      <c r="E305" t="inlineStr">
        <is>
          <t>HÄLLEFORS</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60306-2024</t>
        </is>
      </c>
      <c r="B306" s="1" t="n">
        <v>45643.34040509259</v>
      </c>
      <c r="C306" s="1" t="n">
        <v>46189</v>
      </c>
      <c r="D306" t="inlineStr">
        <is>
          <t>ÖREBRO LÄN</t>
        </is>
      </c>
      <c r="E306" t="inlineStr">
        <is>
          <t>HÄLLEFORS</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5237-2025</t>
        </is>
      </c>
      <c r="B307" s="1" t="n">
        <v>45692.30760416666</v>
      </c>
      <c r="C307" s="1" t="n">
        <v>46189</v>
      </c>
      <c r="D307" t="inlineStr">
        <is>
          <t>ÖREBRO LÄN</t>
        </is>
      </c>
      <c r="E307" t="inlineStr">
        <is>
          <t>HÄLLEFORS</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35861-2024</t>
        </is>
      </c>
      <c r="B308" s="1" t="n">
        <v>45533.33751157407</v>
      </c>
      <c r="C308" s="1" t="n">
        <v>46189</v>
      </c>
      <c r="D308" t="inlineStr">
        <is>
          <t>ÖREBRO LÄN</t>
        </is>
      </c>
      <c r="E308" t="inlineStr">
        <is>
          <t>HÄLLEFORS</t>
        </is>
      </c>
      <c r="F308" t="inlineStr">
        <is>
          <t>Bergvik skog väst AB</t>
        </is>
      </c>
      <c r="G308" t="n">
        <v>25.9</v>
      </c>
      <c r="H308" t="n">
        <v>0</v>
      </c>
      <c r="I308" t="n">
        <v>0</v>
      </c>
      <c r="J308" t="n">
        <v>0</v>
      </c>
      <c r="K308" t="n">
        <v>0</v>
      </c>
      <c r="L308" t="n">
        <v>0</v>
      </c>
      <c r="M308" t="n">
        <v>0</v>
      </c>
      <c r="N308" t="n">
        <v>0</v>
      </c>
      <c r="O308" t="n">
        <v>0</v>
      </c>
      <c r="P308" t="n">
        <v>0</v>
      </c>
      <c r="Q308" t="n">
        <v>0</v>
      </c>
      <c r="R308" s="2" t="inlineStr"/>
    </row>
    <row r="309" ht="15" customHeight="1">
      <c r="A309" t="inlineStr">
        <is>
          <t>A 19941-2026</t>
        </is>
      </c>
      <c r="B309" s="1" t="n">
        <v>46136.38118055555</v>
      </c>
      <c r="C309" s="1" t="n">
        <v>46189</v>
      </c>
      <c r="D309" t="inlineStr">
        <is>
          <t>ÖREBRO LÄN</t>
        </is>
      </c>
      <c r="E309" t="inlineStr">
        <is>
          <t>HÄLLEFORS</t>
        </is>
      </c>
      <c r="F309" t="inlineStr">
        <is>
          <t>Bergvik skog väst AB</t>
        </is>
      </c>
      <c r="G309" t="n">
        <v>7.7</v>
      </c>
      <c r="H309" t="n">
        <v>0</v>
      </c>
      <c r="I309" t="n">
        <v>0</v>
      </c>
      <c r="J309" t="n">
        <v>0</v>
      </c>
      <c r="K309" t="n">
        <v>0</v>
      </c>
      <c r="L309" t="n">
        <v>0</v>
      </c>
      <c r="M309" t="n">
        <v>0</v>
      </c>
      <c r="N309" t="n">
        <v>0</v>
      </c>
      <c r="O309" t="n">
        <v>0</v>
      </c>
      <c r="P309" t="n">
        <v>0</v>
      </c>
      <c r="Q309" t="n">
        <v>0</v>
      </c>
      <c r="R309" s="2" t="inlineStr"/>
    </row>
    <row r="310" ht="15" customHeight="1">
      <c r="A310" t="inlineStr">
        <is>
          <t>A 5042-2025</t>
        </is>
      </c>
      <c r="B310" s="1" t="n">
        <v>45691.43619212963</v>
      </c>
      <c r="C310" s="1" t="n">
        <v>46189</v>
      </c>
      <c r="D310" t="inlineStr">
        <is>
          <t>ÖREBRO LÄN</t>
        </is>
      </c>
      <c r="E310" t="inlineStr">
        <is>
          <t>HÄLLEFORS</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25868-2026</t>
        </is>
      </c>
      <c r="B311" s="1" t="n">
        <v>46178.58304398148</v>
      </c>
      <c r="C311" s="1" t="n">
        <v>46189</v>
      </c>
      <c r="D311" t="inlineStr">
        <is>
          <t>ÖREBRO LÄN</t>
        </is>
      </c>
      <c r="E311" t="inlineStr">
        <is>
          <t>HÄLLEFORS</t>
        </is>
      </c>
      <c r="F311" t="inlineStr">
        <is>
          <t>Bergvik skog väst AB</t>
        </is>
      </c>
      <c r="G311" t="n">
        <v>6.2</v>
      </c>
      <c r="H311" t="n">
        <v>0</v>
      </c>
      <c r="I311" t="n">
        <v>0</v>
      </c>
      <c r="J311" t="n">
        <v>0</v>
      </c>
      <c r="K311" t="n">
        <v>0</v>
      </c>
      <c r="L311" t="n">
        <v>0</v>
      </c>
      <c r="M311" t="n">
        <v>0</v>
      </c>
      <c r="N311" t="n">
        <v>0</v>
      </c>
      <c r="O311" t="n">
        <v>0</v>
      </c>
      <c r="P311" t="n">
        <v>0</v>
      </c>
      <c r="Q311" t="n">
        <v>0</v>
      </c>
      <c r="R311" s="2" t="inlineStr"/>
    </row>
    <row r="312" ht="15" customHeight="1">
      <c r="A312" t="inlineStr">
        <is>
          <t>A 25870-2026</t>
        </is>
      </c>
      <c r="B312" s="1" t="n">
        <v>46178.58399305555</v>
      </c>
      <c r="C312" s="1" t="n">
        <v>46189</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25872-2026</t>
        </is>
      </c>
      <c r="B313" s="1" t="n">
        <v>46178.58704861111</v>
      </c>
      <c r="C313" s="1" t="n">
        <v>46189</v>
      </c>
      <c r="D313" t="inlineStr">
        <is>
          <t>ÖREBRO LÄN</t>
        </is>
      </c>
      <c r="E313" t="inlineStr">
        <is>
          <t>HÄLLEFORS</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54995-2024</t>
        </is>
      </c>
      <c r="B314" s="1" t="n">
        <v>45621.28127314815</v>
      </c>
      <c r="C314" s="1" t="n">
        <v>46189</v>
      </c>
      <c r="D314" t="inlineStr">
        <is>
          <t>ÖREBRO LÄN</t>
        </is>
      </c>
      <c r="E314" t="inlineStr">
        <is>
          <t>HÄLLEFORS</t>
        </is>
      </c>
      <c r="F314" t="inlineStr">
        <is>
          <t>Bergvik skog väst AB</t>
        </is>
      </c>
      <c r="G314" t="n">
        <v>3.4</v>
      </c>
      <c r="H314" t="n">
        <v>0</v>
      </c>
      <c r="I314" t="n">
        <v>0</v>
      </c>
      <c r="J314" t="n">
        <v>0</v>
      </c>
      <c r="K314" t="n">
        <v>0</v>
      </c>
      <c r="L314" t="n">
        <v>0</v>
      </c>
      <c r="M314" t="n">
        <v>0</v>
      </c>
      <c r="N314" t="n">
        <v>0</v>
      </c>
      <c r="O314" t="n">
        <v>0</v>
      </c>
      <c r="P314" t="n">
        <v>0</v>
      </c>
      <c r="Q314" t="n">
        <v>0</v>
      </c>
      <c r="R314" s="2" t="inlineStr"/>
    </row>
    <row r="315" ht="15" customHeight="1">
      <c r="A315" t="inlineStr">
        <is>
          <t>A 7066-2024</t>
        </is>
      </c>
      <c r="B315" s="1" t="n">
        <v>45343</v>
      </c>
      <c r="C315" s="1" t="n">
        <v>46189</v>
      </c>
      <c r="D315" t="inlineStr">
        <is>
          <t>ÖREBRO LÄN</t>
        </is>
      </c>
      <c r="E315" t="inlineStr">
        <is>
          <t>HÄLLEFORS</t>
        </is>
      </c>
      <c r="G315" t="n">
        <v>1.2</v>
      </c>
      <c r="H315" t="n">
        <v>0</v>
      </c>
      <c r="I315" t="n">
        <v>0</v>
      </c>
      <c r="J315" t="n">
        <v>0</v>
      </c>
      <c r="K315" t="n">
        <v>0</v>
      </c>
      <c r="L315" t="n">
        <v>0</v>
      </c>
      <c r="M315" t="n">
        <v>0</v>
      </c>
      <c r="N315" t="n">
        <v>0</v>
      </c>
      <c r="O315" t="n">
        <v>0</v>
      </c>
      <c r="P315" t="n">
        <v>0</v>
      </c>
      <c r="Q315" t="n">
        <v>0</v>
      </c>
      <c r="R315" s="2" t="inlineStr"/>
    </row>
    <row r="316" ht="15" customHeight="1">
      <c r="A316" t="inlineStr">
        <is>
          <t>A 44122-2024</t>
        </is>
      </c>
      <c r="B316" s="1" t="n">
        <v>45572.6396875</v>
      </c>
      <c r="C316" s="1" t="n">
        <v>46189</v>
      </c>
      <c r="D316" t="inlineStr">
        <is>
          <t>ÖREBRO LÄN</t>
        </is>
      </c>
      <c r="E316" t="inlineStr">
        <is>
          <t>HÄLLEFORS</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16927-2025</t>
        </is>
      </c>
      <c r="B317" s="1" t="n">
        <v>45755.39212962963</v>
      </c>
      <c r="C317" s="1" t="n">
        <v>46189</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19944-2026</t>
        </is>
      </c>
      <c r="B318" s="1" t="n">
        <v>46136.38503472223</v>
      </c>
      <c r="C318" s="1" t="n">
        <v>46189</v>
      </c>
      <c r="D318" t="inlineStr">
        <is>
          <t>ÖREBRO LÄN</t>
        </is>
      </c>
      <c r="E318" t="inlineStr">
        <is>
          <t>HÄLLEFORS</t>
        </is>
      </c>
      <c r="F318" t="inlineStr">
        <is>
          <t>Bergvik skog väst AB</t>
        </is>
      </c>
      <c r="G318" t="n">
        <v>3.8</v>
      </c>
      <c r="H318" t="n">
        <v>0</v>
      </c>
      <c r="I318" t="n">
        <v>0</v>
      </c>
      <c r="J318" t="n">
        <v>0</v>
      </c>
      <c r="K318" t="n">
        <v>0</v>
      </c>
      <c r="L318" t="n">
        <v>0</v>
      </c>
      <c r="M318" t="n">
        <v>0</v>
      </c>
      <c r="N318" t="n">
        <v>0</v>
      </c>
      <c r="O318" t="n">
        <v>0</v>
      </c>
      <c r="P318" t="n">
        <v>0</v>
      </c>
      <c r="Q318" t="n">
        <v>0</v>
      </c>
      <c r="R318" s="2" t="inlineStr"/>
    </row>
    <row r="319" ht="15" customHeight="1">
      <c r="A319" t="inlineStr">
        <is>
          <t>A 12648-2025</t>
        </is>
      </c>
      <c r="B319" s="1" t="n">
        <v>45733.39797453704</v>
      </c>
      <c r="C319" s="1" t="n">
        <v>46189</v>
      </c>
      <c r="D319" t="inlineStr">
        <is>
          <t>ÖREBRO LÄN</t>
        </is>
      </c>
      <c r="E319" t="inlineStr">
        <is>
          <t>HÄLLEFORS</t>
        </is>
      </c>
      <c r="F319" t="inlineStr">
        <is>
          <t>Bergvik skog väst AB</t>
        </is>
      </c>
      <c r="G319" t="n">
        <v>5</v>
      </c>
      <c r="H319" t="n">
        <v>0</v>
      </c>
      <c r="I319" t="n">
        <v>0</v>
      </c>
      <c r="J319" t="n">
        <v>0</v>
      </c>
      <c r="K319" t="n">
        <v>0</v>
      </c>
      <c r="L319" t="n">
        <v>0</v>
      </c>
      <c r="M319" t="n">
        <v>0</v>
      </c>
      <c r="N319" t="n">
        <v>0</v>
      </c>
      <c r="O319" t="n">
        <v>0</v>
      </c>
      <c r="P319" t="n">
        <v>0</v>
      </c>
      <c r="Q319" t="n">
        <v>0</v>
      </c>
      <c r="R319" s="2" t="inlineStr"/>
    </row>
    <row r="320" ht="15" customHeight="1">
      <c r="A320" t="inlineStr">
        <is>
          <t>A 25873-2026</t>
        </is>
      </c>
      <c r="B320" s="1" t="n">
        <v>46178.58841435185</v>
      </c>
      <c r="C320" s="1" t="n">
        <v>46189</v>
      </c>
      <c r="D320" t="inlineStr">
        <is>
          <t>ÖREBRO LÄN</t>
        </is>
      </c>
      <c r="E320" t="inlineStr">
        <is>
          <t>HÄLLEFORS</t>
        </is>
      </c>
      <c r="F320" t="inlineStr">
        <is>
          <t>Bergvik skog väst AB</t>
        </is>
      </c>
      <c r="G320" t="n">
        <v>1.7</v>
      </c>
      <c r="H320" t="n">
        <v>0</v>
      </c>
      <c r="I320" t="n">
        <v>0</v>
      </c>
      <c r="J320" t="n">
        <v>0</v>
      </c>
      <c r="K320" t="n">
        <v>0</v>
      </c>
      <c r="L320" t="n">
        <v>0</v>
      </c>
      <c r="M320" t="n">
        <v>0</v>
      </c>
      <c r="N320" t="n">
        <v>0</v>
      </c>
      <c r="O320" t="n">
        <v>0</v>
      </c>
      <c r="P320" t="n">
        <v>0</v>
      </c>
      <c r="Q320" t="n">
        <v>0</v>
      </c>
      <c r="R320" s="2" t="inlineStr"/>
    </row>
    <row r="321" ht="15" customHeight="1">
      <c r="A321" t="inlineStr">
        <is>
          <t>A 25871-2026</t>
        </is>
      </c>
      <c r="B321" s="1" t="n">
        <v>46178.58501157408</v>
      </c>
      <c r="C321" s="1" t="n">
        <v>46189</v>
      </c>
      <c r="D321" t="inlineStr">
        <is>
          <t>ÖREBRO LÄN</t>
        </is>
      </c>
      <c r="E321" t="inlineStr">
        <is>
          <t>HÄLLEFORS</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42918-2024</t>
        </is>
      </c>
      <c r="B322" s="1" t="n">
        <v>45567.27908564815</v>
      </c>
      <c r="C322" s="1" t="n">
        <v>46189</v>
      </c>
      <c r="D322" t="inlineStr">
        <is>
          <t>ÖREBRO LÄN</t>
        </is>
      </c>
      <c r="E322" t="inlineStr">
        <is>
          <t>HÄLLEFORS</t>
        </is>
      </c>
      <c r="F322" t="inlineStr">
        <is>
          <t>Bergvik skog väst AB</t>
        </is>
      </c>
      <c r="G322" t="n">
        <v>3.8</v>
      </c>
      <c r="H322" t="n">
        <v>0</v>
      </c>
      <c r="I322" t="n">
        <v>0</v>
      </c>
      <c r="J322" t="n">
        <v>0</v>
      </c>
      <c r="K322" t="n">
        <v>0</v>
      </c>
      <c r="L322" t="n">
        <v>0</v>
      </c>
      <c r="M322" t="n">
        <v>0</v>
      </c>
      <c r="N322" t="n">
        <v>0</v>
      </c>
      <c r="O322" t="n">
        <v>0</v>
      </c>
      <c r="P322" t="n">
        <v>0</v>
      </c>
      <c r="Q322" t="n">
        <v>0</v>
      </c>
      <c r="R322" s="2" t="inlineStr"/>
    </row>
    <row r="323" ht="15" customHeight="1">
      <c r="A323" t="inlineStr">
        <is>
          <t>A 47847-2025</t>
        </is>
      </c>
      <c r="B323" s="1" t="n">
        <v>45932.38244212963</v>
      </c>
      <c r="C323" s="1" t="n">
        <v>46189</v>
      </c>
      <c r="D323" t="inlineStr">
        <is>
          <t>ÖREBRO LÄN</t>
        </is>
      </c>
      <c r="E323" t="inlineStr">
        <is>
          <t>HÄLLEFORS</t>
        </is>
      </c>
      <c r="F323" t="inlineStr">
        <is>
          <t>Bergvik skog väst AB</t>
        </is>
      </c>
      <c r="G323" t="n">
        <v>11.5</v>
      </c>
      <c r="H323" t="n">
        <v>0</v>
      </c>
      <c r="I323" t="n">
        <v>0</v>
      </c>
      <c r="J323" t="n">
        <v>0</v>
      </c>
      <c r="K323" t="n">
        <v>0</v>
      </c>
      <c r="L323" t="n">
        <v>0</v>
      </c>
      <c r="M323" t="n">
        <v>0</v>
      </c>
      <c r="N323" t="n">
        <v>0</v>
      </c>
      <c r="O323" t="n">
        <v>0</v>
      </c>
      <c r="P323" t="n">
        <v>0</v>
      </c>
      <c r="Q323" t="n">
        <v>0</v>
      </c>
      <c r="R323" s="2" t="inlineStr"/>
    </row>
    <row r="324" ht="15" customHeight="1">
      <c r="A324" t="inlineStr">
        <is>
          <t>A 39031-2022</t>
        </is>
      </c>
      <c r="B324" s="1" t="n">
        <v>44817.34144675926</v>
      </c>
      <c r="C324" s="1" t="n">
        <v>46189</v>
      </c>
      <c r="D324" t="inlineStr">
        <is>
          <t>ÖREBRO LÄN</t>
        </is>
      </c>
      <c r="E324" t="inlineStr">
        <is>
          <t>HÄLLEFORS</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18664-2025</t>
        </is>
      </c>
      <c r="B325" s="1" t="n">
        <v>45763.58991898148</v>
      </c>
      <c r="C325" s="1" t="n">
        <v>46189</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34018-2025</t>
        </is>
      </c>
      <c r="B326" s="1" t="n">
        <v>45845.34341435185</v>
      </c>
      <c r="C326" s="1" t="n">
        <v>46189</v>
      </c>
      <c r="D326" t="inlineStr">
        <is>
          <t>ÖREBRO LÄN</t>
        </is>
      </c>
      <c r="E326" t="inlineStr">
        <is>
          <t>HÄLLEFORS</t>
        </is>
      </c>
      <c r="G326" t="n">
        <v>6.4</v>
      </c>
      <c r="H326" t="n">
        <v>0</v>
      </c>
      <c r="I326" t="n">
        <v>0</v>
      </c>
      <c r="J326" t="n">
        <v>0</v>
      </c>
      <c r="K326" t="n">
        <v>0</v>
      </c>
      <c r="L326" t="n">
        <v>0</v>
      </c>
      <c r="M326" t="n">
        <v>0</v>
      </c>
      <c r="N326" t="n">
        <v>0</v>
      </c>
      <c r="O326" t="n">
        <v>0</v>
      </c>
      <c r="P326" t="n">
        <v>0</v>
      </c>
      <c r="Q326" t="n">
        <v>0</v>
      </c>
      <c r="R326" s="2" t="inlineStr"/>
    </row>
    <row r="327" ht="15" customHeight="1">
      <c r="A327" t="inlineStr">
        <is>
          <t>A 32813-2025</t>
        </is>
      </c>
      <c r="B327" s="1" t="n">
        <v>45839.51949074074</v>
      </c>
      <c r="C327" s="1" t="n">
        <v>46189</v>
      </c>
      <c r="D327" t="inlineStr">
        <is>
          <t>ÖREBRO LÄN</t>
        </is>
      </c>
      <c r="E327" t="inlineStr">
        <is>
          <t>HÄLLEFORS</t>
        </is>
      </c>
      <c r="G327" t="n">
        <v>3.5</v>
      </c>
      <c r="H327" t="n">
        <v>0</v>
      </c>
      <c r="I327" t="n">
        <v>0</v>
      </c>
      <c r="J327" t="n">
        <v>0</v>
      </c>
      <c r="K327" t="n">
        <v>0</v>
      </c>
      <c r="L327" t="n">
        <v>0</v>
      </c>
      <c r="M327" t="n">
        <v>0</v>
      </c>
      <c r="N327" t="n">
        <v>0</v>
      </c>
      <c r="O327" t="n">
        <v>0</v>
      </c>
      <c r="P327" t="n">
        <v>0</v>
      </c>
      <c r="Q327" t="n">
        <v>0</v>
      </c>
      <c r="R327" s="2" t="inlineStr"/>
    </row>
    <row r="328" ht="15" customHeight="1">
      <c r="A328" t="inlineStr">
        <is>
          <t>A 47852-2025</t>
        </is>
      </c>
      <c r="B328" s="1" t="n">
        <v>45932.38914351852</v>
      </c>
      <c r="C328" s="1" t="n">
        <v>46189</v>
      </c>
      <c r="D328" t="inlineStr">
        <is>
          <t>ÖREBRO LÄN</t>
        </is>
      </c>
      <c r="E328" t="inlineStr">
        <is>
          <t>HÄLLEFORS</t>
        </is>
      </c>
      <c r="F328" t="inlineStr">
        <is>
          <t>Bergvik skog väst AB</t>
        </is>
      </c>
      <c r="G328" t="n">
        <v>12.9</v>
      </c>
      <c r="H328" t="n">
        <v>0</v>
      </c>
      <c r="I328" t="n">
        <v>0</v>
      </c>
      <c r="J328" t="n">
        <v>0</v>
      </c>
      <c r="K328" t="n">
        <v>0</v>
      </c>
      <c r="L328" t="n">
        <v>0</v>
      </c>
      <c r="M328" t="n">
        <v>0</v>
      </c>
      <c r="N328" t="n">
        <v>0</v>
      </c>
      <c r="O328" t="n">
        <v>0</v>
      </c>
      <c r="P328" t="n">
        <v>0</v>
      </c>
      <c r="Q328" t="n">
        <v>0</v>
      </c>
      <c r="R328" s="2" t="inlineStr"/>
    </row>
    <row r="329" ht="15" customHeight="1">
      <c r="A329" t="inlineStr">
        <is>
          <t>A 28979-2025</t>
        </is>
      </c>
      <c r="B329" s="1" t="n">
        <v>45821.35136574074</v>
      </c>
      <c r="C329" s="1" t="n">
        <v>46189</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28975-2025</t>
        </is>
      </c>
      <c r="B330" s="1" t="n">
        <v>45821</v>
      </c>
      <c r="C330" s="1" t="n">
        <v>46189</v>
      </c>
      <c r="D330" t="inlineStr">
        <is>
          <t>ÖREBRO LÄN</t>
        </is>
      </c>
      <c r="E330" t="inlineStr">
        <is>
          <t>HÄLLEFORS</t>
        </is>
      </c>
      <c r="G330" t="n">
        <v>1.9</v>
      </c>
      <c r="H330" t="n">
        <v>0</v>
      </c>
      <c r="I330" t="n">
        <v>0</v>
      </c>
      <c r="J330" t="n">
        <v>0</v>
      </c>
      <c r="K330" t="n">
        <v>0</v>
      </c>
      <c r="L330" t="n">
        <v>0</v>
      </c>
      <c r="M330" t="n">
        <v>0</v>
      </c>
      <c r="N330" t="n">
        <v>0</v>
      </c>
      <c r="O330" t="n">
        <v>0</v>
      </c>
      <c r="P330" t="n">
        <v>0</v>
      </c>
      <c r="Q330" t="n">
        <v>0</v>
      </c>
      <c r="R330" s="2" t="inlineStr"/>
    </row>
    <row r="331" ht="15" customHeight="1">
      <c r="A331" t="inlineStr">
        <is>
          <t>A 18927-2025</t>
        </is>
      </c>
      <c r="B331" s="1" t="n">
        <v>45764.4846412037</v>
      </c>
      <c r="C331" s="1" t="n">
        <v>46189</v>
      </c>
      <c r="D331" t="inlineStr">
        <is>
          <t>ÖREBRO LÄN</t>
        </is>
      </c>
      <c r="E331" t="inlineStr">
        <is>
          <t>HÄLLEFORS</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26240-2026</t>
        </is>
      </c>
      <c r="B332" s="1" t="n">
        <v>46182.49094907408</v>
      </c>
      <c r="C332" s="1" t="n">
        <v>46189</v>
      </c>
      <c r="D332" t="inlineStr">
        <is>
          <t>ÖREBRO LÄN</t>
        </is>
      </c>
      <c r="E332" t="inlineStr">
        <is>
          <t>HÄLLEFORS</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34042-2025</t>
        </is>
      </c>
      <c r="B333" s="1" t="n">
        <v>45845.37733796296</v>
      </c>
      <c r="C333" s="1" t="n">
        <v>46189</v>
      </c>
      <c r="D333" t="inlineStr">
        <is>
          <t>ÖREBRO LÄN</t>
        </is>
      </c>
      <c r="E333" t="inlineStr">
        <is>
          <t>HÄLLEFORS</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30747-2025</t>
        </is>
      </c>
      <c r="B334" s="1" t="n">
        <v>45831.58487268518</v>
      </c>
      <c r="C334" s="1" t="n">
        <v>46189</v>
      </c>
      <c r="D334" t="inlineStr">
        <is>
          <t>ÖREBRO LÄN</t>
        </is>
      </c>
      <c r="E334" t="inlineStr">
        <is>
          <t>HÄLLEFORS</t>
        </is>
      </c>
      <c r="G334" t="n">
        <v>2.9</v>
      </c>
      <c r="H334" t="n">
        <v>0</v>
      </c>
      <c r="I334" t="n">
        <v>0</v>
      </c>
      <c r="J334" t="n">
        <v>0</v>
      </c>
      <c r="K334" t="n">
        <v>0</v>
      </c>
      <c r="L334" t="n">
        <v>0</v>
      </c>
      <c r="M334" t="n">
        <v>0</v>
      </c>
      <c r="N334" t="n">
        <v>0</v>
      </c>
      <c r="O334" t="n">
        <v>0</v>
      </c>
      <c r="P334" t="n">
        <v>0</v>
      </c>
      <c r="Q334" t="n">
        <v>0</v>
      </c>
      <c r="R334" s="2" t="inlineStr"/>
    </row>
    <row r="335" ht="15" customHeight="1">
      <c r="A335" t="inlineStr">
        <is>
          <t>A 50571-2024</t>
        </is>
      </c>
      <c r="B335" s="1" t="n">
        <v>45601.60576388889</v>
      </c>
      <c r="C335" s="1" t="n">
        <v>46189</v>
      </c>
      <c r="D335" t="inlineStr">
        <is>
          <t>ÖREBRO LÄN</t>
        </is>
      </c>
      <c r="E335" t="inlineStr">
        <is>
          <t>HÄLLEFORS</t>
        </is>
      </c>
      <c r="F335" t="inlineStr">
        <is>
          <t>Bergvik skog väst AB</t>
        </is>
      </c>
      <c r="G335" t="n">
        <v>4.6</v>
      </c>
      <c r="H335" t="n">
        <v>0</v>
      </c>
      <c r="I335" t="n">
        <v>0</v>
      </c>
      <c r="J335" t="n">
        <v>0</v>
      </c>
      <c r="K335" t="n">
        <v>0</v>
      </c>
      <c r="L335" t="n">
        <v>0</v>
      </c>
      <c r="M335" t="n">
        <v>0</v>
      </c>
      <c r="N335" t="n">
        <v>0</v>
      </c>
      <c r="O335" t="n">
        <v>0</v>
      </c>
      <c r="P335" t="n">
        <v>0</v>
      </c>
      <c r="Q335" t="n">
        <v>0</v>
      </c>
      <c r="R335" s="2" t="inlineStr"/>
    </row>
    <row r="336" ht="15" customHeight="1">
      <c r="A336" t="inlineStr">
        <is>
          <t>A 58940-2025</t>
        </is>
      </c>
      <c r="B336" s="1" t="n">
        <v>45987.57128472222</v>
      </c>
      <c r="C336" s="1" t="n">
        <v>46189</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58949-2025</t>
        </is>
      </c>
      <c r="B337" s="1" t="n">
        <v>45987.58652777778</v>
      </c>
      <c r="C337" s="1" t="n">
        <v>46189</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34045-2025</t>
        </is>
      </c>
      <c r="B338" s="1" t="n">
        <v>45845.38480324074</v>
      </c>
      <c r="C338" s="1" t="n">
        <v>46189</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19245-2025</t>
        </is>
      </c>
      <c r="B339" s="1" t="n">
        <v>45769</v>
      </c>
      <c r="C339" s="1" t="n">
        <v>46189</v>
      </c>
      <c r="D339" t="inlineStr">
        <is>
          <t>ÖREBRO LÄN</t>
        </is>
      </c>
      <c r="E339" t="inlineStr">
        <is>
          <t>HÄLLEFORS</t>
        </is>
      </c>
      <c r="F339" t="inlineStr">
        <is>
          <t>Kyrkan</t>
        </is>
      </c>
      <c r="G339" t="n">
        <v>2.7</v>
      </c>
      <c r="H339" t="n">
        <v>0</v>
      </c>
      <c r="I339" t="n">
        <v>0</v>
      </c>
      <c r="J339" t="n">
        <v>0</v>
      </c>
      <c r="K339" t="n">
        <v>0</v>
      </c>
      <c r="L339" t="n">
        <v>0</v>
      </c>
      <c r="M339" t="n">
        <v>0</v>
      </c>
      <c r="N339" t="n">
        <v>0</v>
      </c>
      <c r="O339" t="n">
        <v>0</v>
      </c>
      <c r="P339" t="n">
        <v>0</v>
      </c>
      <c r="Q339" t="n">
        <v>0</v>
      </c>
      <c r="R339" s="2" t="inlineStr"/>
    </row>
    <row r="340" ht="15" customHeight="1">
      <c r="A340" t="inlineStr">
        <is>
          <t>A 16169-2025</t>
        </is>
      </c>
      <c r="B340" s="1" t="n">
        <v>45750</v>
      </c>
      <c r="C340" s="1" t="n">
        <v>46189</v>
      </c>
      <c r="D340" t="inlineStr">
        <is>
          <t>ÖREBRO LÄN</t>
        </is>
      </c>
      <c r="E340" t="inlineStr">
        <is>
          <t>HÄLLEFORS</t>
        </is>
      </c>
      <c r="F340" t="inlineStr">
        <is>
          <t>Kyrkan</t>
        </is>
      </c>
      <c r="G340" t="n">
        <v>2.1</v>
      </c>
      <c r="H340" t="n">
        <v>0</v>
      </c>
      <c r="I340" t="n">
        <v>0</v>
      </c>
      <c r="J340" t="n">
        <v>0</v>
      </c>
      <c r="K340" t="n">
        <v>0</v>
      </c>
      <c r="L340" t="n">
        <v>0</v>
      </c>
      <c r="M340" t="n">
        <v>0</v>
      </c>
      <c r="N340" t="n">
        <v>0</v>
      </c>
      <c r="O340" t="n">
        <v>0</v>
      </c>
      <c r="P340" t="n">
        <v>0</v>
      </c>
      <c r="Q340" t="n">
        <v>0</v>
      </c>
      <c r="R340" s="2" t="inlineStr"/>
    </row>
    <row r="341" ht="15" customHeight="1">
      <c r="A341" t="inlineStr">
        <is>
          <t>A 34029-2025</t>
        </is>
      </c>
      <c r="B341" s="1" t="n">
        <v>45845.36309027778</v>
      </c>
      <c r="C341" s="1" t="n">
        <v>46189</v>
      </c>
      <c r="D341" t="inlineStr">
        <is>
          <t>ÖREBRO LÄN</t>
        </is>
      </c>
      <c r="E341" t="inlineStr">
        <is>
          <t>HÄLLEFORS</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58938-2025</t>
        </is>
      </c>
      <c r="B342" s="1" t="n">
        <v>45987.56550925926</v>
      </c>
      <c r="C342" s="1" t="n">
        <v>46189</v>
      </c>
      <c r="D342" t="inlineStr">
        <is>
          <t>ÖREBRO LÄN</t>
        </is>
      </c>
      <c r="E342" t="inlineStr">
        <is>
          <t>HÄLLEFORS</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34062-2025</t>
        </is>
      </c>
      <c r="B343" s="1" t="n">
        <v>45845.4264699074</v>
      </c>
      <c r="C343" s="1" t="n">
        <v>46189</v>
      </c>
      <c r="D343" t="inlineStr">
        <is>
          <t>ÖREBRO LÄN</t>
        </is>
      </c>
      <c r="E343" t="inlineStr">
        <is>
          <t>HÄLLEFORS</t>
        </is>
      </c>
      <c r="G343" t="n">
        <v>1.3</v>
      </c>
      <c r="H343" t="n">
        <v>0</v>
      </c>
      <c r="I343" t="n">
        <v>0</v>
      </c>
      <c r="J343" t="n">
        <v>0</v>
      </c>
      <c r="K343" t="n">
        <v>0</v>
      </c>
      <c r="L343" t="n">
        <v>0</v>
      </c>
      <c r="M343" t="n">
        <v>0</v>
      </c>
      <c r="N343" t="n">
        <v>0</v>
      </c>
      <c r="O343" t="n">
        <v>0</v>
      </c>
      <c r="P343" t="n">
        <v>0</v>
      </c>
      <c r="Q343" t="n">
        <v>0</v>
      </c>
      <c r="R343" s="2" t="inlineStr"/>
    </row>
    <row r="344" ht="15" customHeight="1">
      <c r="A344" t="inlineStr">
        <is>
          <t>A 34022-2025</t>
        </is>
      </c>
      <c r="B344" s="1" t="n">
        <v>45845.34983796296</v>
      </c>
      <c r="C344" s="1" t="n">
        <v>46189</v>
      </c>
      <c r="D344" t="inlineStr">
        <is>
          <t>ÖREBRO LÄN</t>
        </is>
      </c>
      <c r="E344" t="inlineStr">
        <is>
          <t>HÄLLEFORS</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34059-2025</t>
        </is>
      </c>
      <c r="B345" s="1" t="n">
        <v>45845.41988425926</v>
      </c>
      <c r="C345" s="1" t="n">
        <v>46189</v>
      </c>
      <c r="D345" t="inlineStr">
        <is>
          <t>ÖREBRO LÄN</t>
        </is>
      </c>
      <c r="E345" t="inlineStr">
        <is>
          <t>HÄLLEFORS</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34093-2025</t>
        </is>
      </c>
      <c r="B346" s="1" t="n">
        <v>45845.47775462963</v>
      </c>
      <c r="C346" s="1" t="n">
        <v>46189</v>
      </c>
      <c r="D346" t="inlineStr">
        <is>
          <t>ÖREBRO LÄN</t>
        </is>
      </c>
      <c r="E346" t="inlineStr">
        <is>
          <t>HÄLLEFORS</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34057-2025</t>
        </is>
      </c>
      <c r="B347" s="1" t="n">
        <v>45845.41581018519</v>
      </c>
      <c r="C347" s="1" t="n">
        <v>46189</v>
      </c>
      <c r="D347" t="inlineStr">
        <is>
          <t>ÖREBRO LÄN</t>
        </is>
      </c>
      <c r="E347" t="inlineStr">
        <is>
          <t>HÄLLEFORS</t>
        </is>
      </c>
      <c r="G347" t="n">
        <v>2.1</v>
      </c>
      <c r="H347" t="n">
        <v>0</v>
      </c>
      <c r="I347" t="n">
        <v>0</v>
      </c>
      <c r="J347" t="n">
        <v>0</v>
      </c>
      <c r="K347" t="n">
        <v>0</v>
      </c>
      <c r="L347" t="n">
        <v>0</v>
      </c>
      <c r="M347" t="n">
        <v>0</v>
      </c>
      <c r="N347" t="n">
        <v>0</v>
      </c>
      <c r="O347" t="n">
        <v>0</v>
      </c>
      <c r="P347" t="n">
        <v>0</v>
      </c>
      <c r="Q347" t="n">
        <v>0</v>
      </c>
      <c r="R347" s="2" t="inlineStr"/>
    </row>
    <row r="348" ht="15" customHeight="1">
      <c r="A348" t="inlineStr">
        <is>
          <t>A 34020-2025</t>
        </is>
      </c>
      <c r="B348" s="1" t="n">
        <v>45845.34695601852</v>
      </c>
      <c r="C348" s="1" t="n">
        <v>46189</v>
      </c>
      <c r="D348" t="inlineStr">
        <is>
          <t>ÖREBRO LÄN</t>
        </is>
      </c>
      <c r="E348" t="inlineStr">
        <is>
          <t>HÄLLEFORS</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46189</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20698-2026</t>
        </is>
      </c>
      <c r="B350" s="1" t="n">
        <v>46141.47019675926</v>
      </c>
      <c r="C350" s="1" t="n">
        <v>46189</v>
      </c>
      <c r="D350" t="inlineStr">
        <is>
          <t>ÖREBRO LÄN</t>
        </is>
      </c>
      <c r="E350" t="inlineStr">
        <is>
          <t>HÄLLEFORS</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17075-2025</t>
        </is>
      </c>
      <c r="B351" s="1" t="n">
        <v>45755.62278935185</v>
      </c>
      <c r="C351" s="1" t="n">
        <v>46189</v>
      </c>
      <c r="D351" t="inlineStr">
        <is>
          <t>ÖREBRO LÄN</t>
        </is>
      </c>
      <c r="E351" t="inlineStr">
        <is>
          <t>HÄLLEFORS</t>
        </is>
      </c>
      <c r="F351" t="inlineStr">
        <is>
          <t>Bergvik skog väst AB</t>
        </is>
      </c>
      <c r="G351" t="n">
        <v>3.2</v>
      </c>
      <c r="H351" t="n">
        <v>0</v>
      </c>
      <c r="I351" t="n">
        <v>0</v>
      </c>
      <c r="J351" t="n">
        <v>0</v>
      </c>
      <c r="K351" t="n">
        <v>0</v>
      </c>
      <c r="L351" t="n">
        <v>0</v>
      </c>
      <c r="M351" t="n">
        <v>0</v>
      </c>
      <c r="N351" t="n">
        <v>0</v>
      </c>
      <c r="O351" t="n">
        <v>0</v>
      </c>
      <c r="P351" t="n">
        <v>0</v>
      </c>
      <c r="Q351" t="n">
        <v>0</v>
      </c>
      <c r="R351" s="2" t="inlineStr"/>
    </row>
    <row r="352" ht="15" customHeight="1">
      <c r="A352" t="inlineStr">
        <is>
          <t>A 26560-2026</t>
        </is>
      </c>
      <c r="B352" s="1" t="n">
        <v>46183.64298611111</v>
      </c>
      <c r="C352" s="1" t="n">
        <v>46189</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9411-2022</t>
        </is>
      </c>
      <c r="B353" s="1" t="n">
        <v>44616</v>
      </c>
      <c r="C353" s="1" t="n">
        <v>46189</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20699-2026</t>
        </is>
      </c>
      <c r="B354" s="1" t="n">
        <v>46141.47086805556</v>
      </c>
      <c r="C354" s="1" t="n">
        <v>46189</v>
      </c>
      <c r="D354" t="inlineStr">
        <is>
          <t>ÖREBRO LÄN</t>
        </is>
      </c>
      <c r="E354" t="inlineStr">
        <is>
          <t>HÄLLEFORS</t>
        </is>
      </c>
      <c r="F354" t="inlineStr">
        <is>
          <t>Sveaskog</t>
        </is>
      </c>
      <c r="G354" t="n">
        <v>8.1</v>
      </c>
      <c r="H354" t="n">
        <v>0</v>
      </c>
      <c r="I354" t="n">
        <v>0</v>
      </c>
      <c r="J354" t="n">
        <v>0</v>
      </c>
      <c r="K354" t="n">
        <v>0</v>
      </c>
      <c r="L354" t="n">
        <v>0</v>
      </c>
      <c r="M354" t="n">
        <v>0</v>
      </c>
      <c r="N354" t="n">
        <v>0</v>
      </c>
      <c r="O354" t="n">
        <v>0</v>
      </c>
      <c r="P354" t="n">
        <v>0</v>
      </c>
      <c r="Q354" t="n">
        <v>0</v>
      </c>
      <c r="R354" s="2" t="inlineStr"/>
    </row>
    <row r="355" ht="15" customHeight="1">
      <c r="A355" t="inlineStr">
        <is>
          <t>A 17350-2025</t>
        </is>
      </c>
      <c r="B355" s="1" t="n">
        <v>45756.68074074074</v>
      </c>
      <c r="C355" s="1" t="n">
        <v>46189</v>
      </c>
      <c r="D355" t="inlineStr">
        <is>
          <t>ÖREBRO LÄN</t>
        </is>
      </c>
      <c r="E355" t="inlineStr">
        <is>
          <t>HÄLLEFORS</t>
        </is>
      </c>
      <c r="F355" t="inlineStr">
        <is>
          <t>Bergvik skog väst AB</t>
        </is>
      </c>
      <c r="G355" t="n">
        <v>6.9</v>
      </c>
      <c r="H355" t="n">
        <v>0</v>
      </c>
      <c r="I355" t="n">
        <v>0</v>
      </c>
      <c r="J355" t="n">
        <v>0</v>
      </c>
      <c r="K355" t="n">
        <v>0</v>
      </c>
      <c r="L355" t="n">
        <v>0</v>
      </c>
      <c r="M355" t="n">
        <v>0</v>
      </c>
      <c r="N355" t="n">
        <v>0</v>
      </c>
      <c r="O355" t="n">
        <v>0</v>
      </c>
      <c r="P355" t="n">
        <v>0</v>
      </c>
      <c r="Q355" t="n">
        <v>0</v>
      </c>
      <c r="R355" s="2" t="inlineStr"/>
    </row>
    <row r="356" ht="15" customHeight="1">
      <c r="A356" t="inlineStr">
        <is>
          <t>A 33944-2024</t>
        </is>
      </c>
      <c r="B356" s="1" t="n">
        <v>45523</v>
      </c>
      <c r="C356" s="1" t="n">
        <v>46189</v>
      </c>
      <c r="D356" t="inlineStr">
        <is>
          <t>ÖREBRO LÄN</t>
        </is>
      </c>
      <c r="E356" t="inlineStr">
        <is>
          <t>HÄLLEFORS</t>
        </is>
      </c>
      <c r="G356" t="n">
        <v>5.9</v>
      </c>
      <c r="H356" t="n">
        <v>0</v>
      </c>
      <c r="I356" t="n">
        <v>0</v>
      </c>
      <c r="J356" t="n">
        <v>0</v>
      </c>
      <c r="K356" t="n">
        <v>0</v>
      </c>
      <c r="L356" t="n">
        <v>0</v>
      </c>
      <c r="M356" t="n">
        <v>0</v>
      </c>
      <c r="N356" t="n">
        <v>0</v>
      </c>
      <c r="O356" t="n">
        <v>0</v>
      </c>
      <c r="P356" t="n">
        <v>0</v>
      </c>
      <c r="Q356" t="n">
        <v>0</v>
      </c>
      <c r="R356" s="2" t="inlineStr"/>
    </row>
    <row r="357" ht="15" customHeight="1">
      <c r="A357" t="inlineStr">
        <is>
          <t>A 5256-2025</t>
        </is>
      </c>
      <c r="B357" s="1" t="n">
        <v>45692.36032407408</v>
      </c>
      <c r="C357" s="1" t="n">
        <v>46189</v>
      </c>
      <c r="D357" t="inlineStr">
        <is>
          <t>ÖREBRO LÄN</t>
        </is>
      </c>
      <c r="E357" t="inlineStr">
        <is>
          <t>HÄLLEFORS</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35183-2023</t>
        </is>
      </c>
      <c r="B358" s="1" t="n">
        <v>45145.59578703704</v>
      </c>
      <c r="C358" s="1" t="n">
        <v>46189</v>
      </c>
      <c r="D358" t="inlineStr">
        <is>
          <t>ÖREBRO LÄN</t>
        </is>
      </c>
      <c r="E358" t="inlineStr">
        <is>
          <t>HÄLLEFORS</t>
        </is>
      </c>
      <c r="F358" t="inlineStr">
        <is>
          <t>Bergvik skog väst AB</t>
        </is>
      </c>
      <c r="G358" t="n">
        <v>6.6</v>
      </c>
      <c r="H358" t="n">
        <v>0</v>
      </c>
      <c r="I358" t="n">
        <v>0</v>
      </c>
      <c r="J358" t="n">
        <v>0</v>
      </c>
      <c r="K358" t="n">
        <v>0</v>
      </c>
      <c r="L358" t="n">
        <v>0</v>
      </c>
      <c r="M358" t="n">
        <v>0</v>
      </c>
      <c r="N358" t="n">
        <v>0</v>
      </c>
      <c r="O358" t="n">
        <v>0</v>
      </c>
      <c r="P358" t="n">
        <v>0</v>
      </c>
      <c r="Q358" t="n">
        <v>0</v>
      </c>
      <c r="R358" s="2" t="inlineStr"/>
    </row>
    <row r="359" ht="15" customHeight="1">
      <c r="A359" t="inlineStr">
        <is>
          <t>A 5245-2025</t>
        </is>
      </c>
      <c r="B359" s="1" t="n">
        <v>45692</v>
      </c>
      <c r="C359" s="1" t="n">
        <v>46189</v>
      </c>
      <c r="D359" t="inlineStr">
        <is>
          <t>ÖREBRO LÄN</t>
        </is>
      </c>
      <c r="E359" t="inlineStr">
        <is>
          <t>HÄLLEFORS</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20995-2026</t>
        </is>
      </c>
      <c r="B360" s="1" t="n">
        <v>46142.61971064815</v>
      </c>
      <c r="C360" s="1" t="n">
        <v>46189</v>
      </c>
      <c r="D360" t="inlineStr">
        <is>
          <t>ÖREBRO LÄN</t>
        </is>
      </c>
      <c r="E360" t="inlineStr">
        <is>
          <t>HÄLLEFORS</t>
        </is>
      </c>
      <c r="G360" t="n">
        <v>1.5</v>
      </c>
      <c r="H360" t="n">
        <v>0</v>
      </c>
      <c r="I360" t="n">
        <v>0</v>
      </c>
      <c r="J360" t="n">
        <v>0</v>
      </c>
      <c r="K360" t="n">
        <v>0</v>
      </c>
      <c r="L360" t="n">
        <v>0</v>
      </c>
      <c r="M360" t="n">
        <v>0</v>
      </c>
      <c r="N360" t="n">
        <v>0</v>
      </c>
      <c r="O360" t="n">
        <v>0</v>
      </c>
      <c r="P360" t="n">
        <v>0</v>
      </c>
      <c r="Q360" t="n">
        <v>0</v>
      </c>
      <c r="R360" s="2" t="inlineStr"/>
    </row>
    <row r="361" ht="15" customHeight="1">
      <c r="A361" t="inlineStr">
        <is>
          <t>A 12558-2025</t>
        </is>
      </c>
      <c r="B361" s="1" t="n">
        <v>45731.46960648148</v>
      </c>
      <c r="C361" s="1" t="n">
        <v>46189</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26793-2026</t>
        </is>
      </c>
      <c r="B362" s="1" t="n">
        <v>46185.3025462963</v>
      </c>
      <c r="C362" s="1" t="n">
        <v>46189</v>
      </c>
      <c r="D362" t="inlineStr">
        <is>
          <t>ÖREBRO LÄN</t>
        </is>
      </c>
      <c r="E362" t="inlineStr">
        <is>
          <t>HÄLLEFORS</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c r="A363" t="inlineStr">
        <is>
          <t>A 26911-2026</t>
        </is>
      </c>
      <c r="B363" s="1" t="n">
        <v>46185.49421296296</v>
      </c>
      <c r="C363" s="1" t="n">
        <v>46189</v>
      </c>
      <c r="D363" t="inlineStr">
        <is>
          <t>ÖREBRO LÄN</t>
        </is>
      </c>
      <c r="E363" t="inlineStr">
        <is>
          <t>HÄLLEFORS</t>
        </is>
      </c>
      <c r="G363" t="n">
        <v>1.2</v>
      </c>
      <c r="H363" t="n">
        <v>0</v>
      </c>
      <c r="I363" t="n">
        <v>0</v>
      </c>
      <c r="J363" t="n">
        <v>0</v>
      </c>
      <c r="K363" t="n">
        <v>0</v>
      </c>
      <c r="L363" t="n">
        <v>0</v>
      </c>
      <c r="M363" t="n">
        <v>0</v>
      </c>
      <c r="N363" t="n">
        <v>0</v>
      </c>
      <c r="O363" t="n">
        <v>0</v>
      </c>
      <c r="P363" t="n">
        <v>0</v>
      </c>
      <c r="Q363" t="n">
        <v>0</v>
      </c>
      <c r="R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2026-06-16T12:59:22Z</dcterms:created>
  <dcterms:modified xmlns:dcterms="http://purl.org/dc/terms/" xmlns:xsi="http://www.w3.org/2001/XMLSchema-instance" xsi:type="dcterms:W3CDTF">2026-06-16T12:59:22Z</dcterms:modified>
</cp:coreProperties>
</file>