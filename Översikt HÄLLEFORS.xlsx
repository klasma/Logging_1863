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46220</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46220</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3">
        <f>HYPERLINK("https://klasma.github.io/Logging_1863/artfynd/S 3898-2024 artfynd.xlsx", "S 3898-2024")</f>
        <v/>
      </c>
      <c r="W3">
        <f>HYPERLINK("https://klasma.github.io/Logging_1863/kartor/S 3898-2024 karta.png", "S 3898-2024")</f>
        <v/>
      </c>
      <c r="Y3">
        <f>HYPERLINK("https://klasma.github.io/Logging_1863/klagomål/S 3898-2024 FSC-klagomål.docx", "S 3898-2024")</f>
        <v/>
      </c>
      <c r="Z3">
        <f>HYPERLINK("https://klasma.github.io/Logging_1863/klagomålsmail/S 3898-2024 FSC-klagomål mail.docx", "S 3898-2024")</f>
        <v/>
      </c>
      <c r="AA3">
        <f>HYPERLINK("https://klasma.github.io/Logging_1863/tillsyn/S 3898-2024 tillsynsbegäran.docx", "S 3898-2024")</f>
        <v/>
      </c>
      <c r="AB3">
        <f>HYPERLINK("https://klasma.github.io/Logging_1863/tillsynsmail/S 3898-2024 tillsynsbegäran mail.docx", "S 3898-2024")</f>
        <v/>
      </c>
      <c r="AC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46220</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s="2" t="inlineStr">
        <is>
          <t>Garnlav
Norsk näverlav
Dvärgbägarlav
Kolflarnlav
Motaggsvamp
Skuggblåslav
Talltita
Tretåig hackspett
Vedskivlav
Bronshjon
Stor revmossa
Vedticka
Järpe
Spillkråka
Tjäder</t>
        </is>
      </c>
      <c r="V4">
        <f>HYPERLINK("https://klasma.github.io/Logging_1863/artfynd/A 51567-2025 artfynd.xlsx", "A 51567-2025")</f>
        <v/>
      </c>
      <c r="W4">
        <f>HYPERLINK("https://klasma.github.io/Logging_1863/kartor/A 51567-2025 karta.png", "A 51567-2025")</f>
        <v/>
      </c>
      <c r="Y4">
        <f>HYPERLINK("https://klasma.github.io/Logging_1863/klagomål/A 51567-2025 FSC-klagomål.docx", "A 51567-2025")</f>
        <v/>
      </c>
      <c r="Z4">
        <f>HYPERLINK("https://klasma.github.io/Logging_1863/klagomålsmail/A 51567-2025 FSC-klagomål mail.docx", "A 51567-2025")</f>
        <v/>
      </c>
      <c r="AA4">
        <f>HYPERLINK("https://klasma.github.io/Logging_1863/tillsyn/A 51567-2025 tillsynsbegäran.docx", "A 51567-2025")</f>
        <v/>
      </c>
      <c r="AB4">
        <f>HYPERLINK("https://klasma.github.io/Logging_1863/tillsynsmail/A 51567-2025 tillsynsbegäran mail.docx", "A 51567-2025")</f>
        <v/>
      </c>
      <c r="AC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46220</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s="2" t="inlineStr">
        <is>
          <t>Knärot
Brunlångöra
Nordfladdermus
Mörk husmossa
Vedticka
Ögonpyrola
Järpe
Spillkråka
Ärtsångare
Fläcknycklar
Revlummer</t>
        </is>
      </c>
      <c r="V5">
        <f>HYPERLINK("https://klasma.github.io/Logging_1863/artfynd/A 33605-2023 artfynd.xlsx", "A 33605-2023")</f>
        <v/>
      </c>
      <c r="W5">
        <f>HYPERLINK("https://klasma.github.io/Logging_1863/kartor/A 33605-2023 karta.png", "A 33605-2023")</f>
        <v/>
      </c>
      <c r="X5">
        <f>HYPERLINK("https://klasma.github.io/Logging_1863/knärot/A 33605-2023 karta knärot.png", "A 33605-2023")</f>
        <v/>
      </c>
      <c r="Y5">
        <f>HYPERLINK("https://klasma.github.io/Logging_1863/klagomål/A 33605-2023 FSC-klagomål.docx", "A 33605-2023")</f>
        <v/>
      </c>
      <c r="Z5">
        <f>HYPERLINK("https://klasma.github.io/Logging_1863/klagomålsmail/A 33605-2023 FSC-klagomål mail.docx", "A 33605-2023")</f>
        <v/>
      </c>
      <c r="AA5">
        <f>HYPERLINK("https://klasma.github.io/Logging_1863/tillsyn/A 33605-2023 tillsynsbegäran.docx", "A 33605-2023")</f>
        <v/>
      </c>
      <c r="AB5">
        <f>HYPERLINK("https://klasma.github.io/Logging_1863/tillsynsmail/A 33605-2023 tillsynsbegäran mail.docx", "A 33605-2023")</f>
        <v/>
      </c>
      <c r="AC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46220</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s="2" t="inlineStr">
        <is>
          <t>Garnlav
Tallriska
Tretåig hackspett
Vedskivlav
Bronshjon
Flagellkvastmossa
Plattlummer
Vedticka
Järpe
Mattlummer
Tjäder</t>
        </is>
      </c>
      <c r="V6">
        <f>HYPERLINK("https://klasma.github.io/Logging_1863/artfynd/A 29739-2026 artfynd.xlsx", "A 29739-2026")</f>
        <v/>
      </c>
      <c r="W6">
        <f>HYPERLINK("https://klasma.github.io/Logging_1863/kartor/A 29739-2026 karta.png", "A 29739-2026")</f>
        <v/>
      </c>
      <c r="Y6">
        <f>HYPERLINK("https://klasma.github.io/Logging_1863/klagomål/A 29739-2026 FSC-klagomål.docx", "A 29739-2026")</f>
        <v/>
      </c>
      <c r="Z6">
        <f>HYPERLINK("https://klasma.github.io/Logging_1863/klagomålsmail/A 29739-2026 FSC-klagomål mail.docx", "A 29739-2026")</f>
        <v/>
      </c>
      <c r="AA6">
        <f>HYPERLINK("https://klasma.github.io/Logging_1863/tillsyn/A 29739-2026 tillsynsbegäran.docx", "A 29739-2026")</f>
        <v/>
      </c>
      <c r="AB6">
        <f>HYPERLINK("https://klasma.github.io/Logging_1863/tillsynsmail/A 29739-2026 tillsynsbegäran mail.docx", "A 29739-2026")</f>
        <v/>
      </c>
      <c r="AC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46220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s="2" t="inlineStr">
        <is>
          <t>Hussvala
Björktrast
Jungfrulin
Ladusvala
Rödvingetrast
Älg
Mattlummer
Grönsiska
Kungsfågel
Svartvit flugsnappare</t>
        </is>
      </c>
      <c r="V7">
        <f>HYPERLINK("https://klasma.github.io/Logging_1863/artfynd/A 14985-2024 artfynd.xlsx", "A 14985-2024")</f>
        <v/>
      </c>
      <c r="W7">
        <f>HYPERLINK("https://klasma.github.io/Logging_1863/kartor/A 14985-2024 karta.png", "A 14985-2024")</f>
        <v/>
      </c>
      <c r="Y7">
        <f>HYPERLINK("https://klasma.github.io/Logging_1863/klagomål/A 14985-2024 FSC-klagomål.docx", "A 14985-2024")</f>
        <v/>
      </c>
      <c r="Z7">
        <f>HYPERLINK("https://klasma.github.io/Logging_1863/klagomålsmail/A 14985-2024 FSC-klagomål mail.docx", "A 14985-2024")</f>
        <v/>
      </c>
      <c r="AA7">
        <f>HYPERLINK("https://klasma.github.io/Logging_1863/tillsyn/A 14985-2024 tillsynsbegäran.docx", "A 14985-2024")</f>
        <v/>
      </c>
      <c r="AB7">
        <f>HYPERLINK("https://klasma.github.io/Logging_1863/tillsynsmail/A 14985-2024 tillsynsbegäran mail.docx", "A 14985-2024")</f>
        <v/>
      </c>
      <c r="AC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s="2" t="inlineStr">
        <is>
          <t>Garnlav
Vedskivlav
Plattlummer
Spindelblomster
Mattlummer
Törnskata
Fläcknycklar
Revlummer</t>
        </is>
      </c>
      <c r="V8">
        <f>HYPERLINK("https://klasma.github.io/Logging_1863/artfynd/S 1285-2022 artfynd.xlsx", "S 1285-2022")</f>
        <v/>
      </c>
      <c r="W8">
        <f>HYPERLINK("https://klasma.github.io/Logging_1863/kartor/S 1285-2022 karta.png", "S 1285-2022")</f>
        <v/>
      </c>
      <c r="Y8">
        <f>HYPERLINK("https://klasma.github.io/Logging_1863/klagomål/S 1285-2022 FSC-klagomål.docx", "S 1285-2022")</f>
        <v/>
      </c>
      <c r="Z8">
        <f>HYPERLINK("https://klasma.github.io/Logging_1863/klagomålsmail/S 1285-2022 FSC-klagomål mail.docx", "S 1285-2022")</f>
        <v/>
      </c>
      <c r="AA8">
        <f>HYPERLINK("https://klasma.github.io/Logging_1863/tillsyn/S 1285-2022 tillsynsbegäran.docx", "S 1285-2022")</f>
        <v/>
      </c>
      <c r="AB8">
        <f>HYPERLINK("https://klasma.github.io/Logging_1863/tillsynsmail/S 1285-2022 tillsynsbegäran mail.docx", "S 1285-2022")</f>
        <v/>
      </c>
      <c r="AC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46220</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s="2" t="inlineStr">
        <is>
          <t>Gransotdyna
Svart trolldruva
Tibast
Tvåblad
Blåsippa
Revlummer
Äkta lopplummer</t>
        </is>
      </c>
      <c r="V9">
        <f>HYPERLINK("https://klasma.github.io/Logging_1863/artfynd/S 7590-2021 artfynd.xlsx", "S 7590-2021")</f>
        <v/>
      </c>
      <c r="W9">
        <f>HYPERLINK("https://klasma.github.io/Logging_1863/kartor/S 7590-2021 karta.png", "S 7590-2021")</f>
        <v/>
      </c>
      <c r="Y9">
        <f>HYPERLINK("https://klasma.github.io/Logging_1863/klagomål/S 7590-2021 FSC-klagomål.docx", "S 7590-2021")</f>
        <v/>
      </c>
      <c r="Z9">
        <f>HYPERLINK("https://klasma.github.io/Logging_1863/klagomålsmail/S 7590-2021 FSC-klagomål mail.docx", "S 7590-2021")</f>
        <v/>
      </c>
      <c r="AA9">
        <f>HYPERLINK("https://klasma.github.io/Logging_1863/tillsyn/S 7590-2021 tillsynsbegäran.docx", "S 7590-2021")</f>
        <v/>
      </c>
      <c r="AB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46220</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s="2" t="inlineStr">
        <is>
          <t>Garnlav
Talltita
Vedticka
Järpe
Spillkråka
Revlummer</t>
        </is>
      </c>
      <c r="V10">
        <f>HYPERLINK("https://klasma.github.io/Logging_1863/artfynd/A 14341-2026 artfynd.xlsx", "A 14341-2026")</f>
        <v/>
      </c>
      <c r="W10">
        <f>HYPERLINK("https://klasma.github.io/Logging_1863/kartor/A 14341-2026 karta.png", "A 14341-2026")</f>
        <v/>
      </c>
      <c r="Y10">
        <f>HYPERLINK("https://klasma.github.io/Logging_1863/klagomål/A 14341-2026 FSC-klagomål.docx", "A 14341-2026")</f>
        <v/>
      </c>
      <c r="Z10">
        <f>HYPERLINK("https://klasma.github.io/Logging_1863/klagomålsmail/A 14341-2026 FSC-klagomål mail.docx", "A 14341-2026")</f>
        <v/>
      </c>
      <c r="AA10">
        <f>HYPERLINK("https://klasma.github.io/Logging_1863/tillsyn/A 14341-2026 tillsynsbegäran.docx", "A 14341-2026")</f>
        <v/>
      </c>
      <c r="AB10">
        <f>HYPERLINK("https://klasma.github.io/Logging_1863/tillsynsmail/A 14341-2026 tillsynsbegäran mail.docx", "A 14341-2026")</f>
        <v/>
      </c>
      <c r="AC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46220</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s="2" t="inlineStr">
        <is>
          <t>Grönfink
Björktrast
Gulsparv
Järnsparv
Rödvingetrast
Revlummer</t>
        </is>
      </c>
      <c r="V11">
        <f>HYPERLINK("https://klasma.github.io/Logging_1863/artfynd/A 60162-2022 artfynd.xlsx", "A 60162-2022")</f>
        <v/>
      </c>
      <c r="W11">
        <f>HYPERLINK("https://klasma.github.io/Logging_1863/kartor/A 60162-2022 karta.png", "A 60162-2022")</f>
        <v/>
      </c>
      <c r="Y11">
        <f>HYPERLINK("https://klasma.github.io/Logging_1863/klagomål/A 60162-2022 FSC-klagomål.docx", "A 60162-2022")</f>
        <v/>
      </c>
      <c r="Z11">
        <f>HYPERLINK("https://klasma.github.io/Logging_1863/klagomålsmail/A 60162-2022 FSC-klagomål mail.docx", "A 60162-2022")</f>
        <v/>
      </c>
      <c r="AA11">
        <f>HYPERLINK("https://klasma.github.io/Logging_1863/tillsyn/A 60162-2022 tillsynsbegäran.docx", "A 60162-2022")</f>
        <v/>
      </c>
      <c r="AB11">
        <f>HYPERLINK("https://klasma.github.io/Logging_1863/tillsynsmail/A 60162-2022 tillsynsbegäran mail.docx", "A 60162-2022")</f>
        <v/>
      </c>
      <c r="AC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46220</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s="2" t="inlineStr">
        <is>
          <t>Vedtrappmossa
Svart trolldruva
Tibast
Tjäder</t>
        </is>
      </c>
      <c r="V12">
        <f>HYPERLINK("https://klasma.github.io/Logging_1863/artfynd/A 4652-2023 artfynd.xlsx", "A 4652-2023")</f>
        <v/>
      </c>
      <c r="W12">
        <f>HYPERLINK("https://klasma.github.io/Logging_1863/kartor/A 4652-2023 karta.png", "A 4652-2023")</f>
        <v/>
      </c>
      <c r="Y12">
        <f>HYPERLINK("https://klasma.github.io/Logging_1863/klagomål/A 4652-2023 FSC-klagomål.docx", "A 4652-2023")</f>
        <v/>
      </c>
      <c r="Z12">
        <f>HYPERLINK("https://klasma.github.io/Logging_1863/klagomålsmail/A 4652-2023 FSC-klagomål mail.docx", "A 4652-2023")</f>
        <v/>
      </c>
      <c r="AA12">
        <f>HYPERLINK("https://klasma.github.io/Logging_1863/tillsyn/A 4652-2023 tillsynsbegäran.docx", "A 4652-2023")</f>
        <v/>
      </c>
      <c r="AB12">
        <f>HYPERLINK("https://klasma.github.io/Logging_1863/tillsynsmail/A 4652-2023 tillsynsbegäran mail.docx", "A 4652-2023")</f>
        <v/>
      </c>
      <c r="AC12">
        <f>HYPERLINK("https://klasma.github.io/Logging_1863/fåglar/A 4652-2023 prioriterade fågelarter.docx", "A 4652-2023")</f>
        <v/>
      </c>
    </row>
    <row r="13" ht="15" customHeight="1">
      <c r="A13" t="inlineStr">
        <is>
          <t>A 14340-2026</t>
        </is>
      </c>
      <c r="B13" t="inlineStr">
        <is>
          <t>avverkningsanmälan</t>
        </is>
      </c>
      <c r="C13" t="inlineStr">
        <is>
          <t>Föryngringsavverkning</t>
        </is>
      </c>
      <c r="D13" s="1" t="n">
        <v>46100</v>
      </c>
      <c r="E13" s="1" t="n">
        <v>46220</v>
      </c>
      <c r="F13" t="inlineStr">
        <is>
          <t>ÖREBRO LÄN</t>
        </is>
      </c>
      <c r="G13" t="inlineStr">
        <is>
          <t>HÄLLEFORS</t>
        </is>
      </c>
      <c r="H13" t="inlineStr">
        <is>
          <t>Sveaskog</t>
        </is>
      </c>
      <c r="I13" t="n">
        <v>1.7</v>
      </c>
      <c r="J13" t="n">
        <v>2</v>
      </c>
      <c r="K13" t="n">
        <v>0</v>
      </c>
      <c r="L13" t="n">
        <v>2</v>
      </c>
      <c r="M13" t="n">
        <v>0</v>
      </c>
      <c r="N13" t="n">
        <v>0</v>
      </c>
      <c r="O13" t="n">
        <v>0</v>
      </c>
      <c r="P13" t="n">
        <v>0</v>
      </c>
      <c r="Q13" t="n">
        <v>2</v>
      </c>
      <c r="R13" t="n">
        <v>0</v>
      </c>
      <c r="S13" t="n">
        <v>3</v>
      </c>
      <c r="T13" t="n">
        <v>3</v>
      </c>
      <c r="U13" s="2" t="inlineStr">
        <is>
          <t>Tretåig hackspett
Vedskivlav
Mattlummer</t>
        </is>
      </c>
      <c r="V13">
        <f>HYPERLINK("https://klasma.github.io/Logging_1863/artfynd/A 14340-2026 artfynd.xlsx", "A 14340-2026")</f>
        <v/>
      </c>
      <c r="W13">
        <f>HYPERLINK("https://klasma.github.io/Logging_1863/kartor/A 14340-2026 karta.png", "A 14340-2026")</f>
        <v/>
      </c>
      <c r="Y13">
        <f>HYPERLINK("https://klasma.github.io/Logging_1863/klagomål/A 14340-2026 FSC-klagomål.docx", "A 14340-2026")</f>
        <v/>
      </c>
      <c r="Z13">
        <f>HYPERLINK("https://klasma.github.io/Logging_1863/klagomålsmail/A 14340-2026 FSC-klagomål mail.docx", "A 14340-2026")</f>
        <v/>
      </c>
      <c r="AA13">
        <f>HYPERLINK("https://klasma.github.io/Logging_1863/tillsyn/A 14340-2026 tillsynsbegäran.docx", "A 14340-2026")</f>
        <v/>
      </c>
      <c r="AB13">
        <f>HYPERLINK("https://klasma.github.io/Logging_1863/tillsynsmail/A 14340-2026 tillsynsbegäran mail.docx", "A 14340-2026")</f>
        <v/>
      </c>
      <c r="AC13">
        <f>HYPERLINK("https://klasma.github.io/Logging_1863/fåglar/A 14340-2026 prioriterade fågelarter.docx", "A 14340-2026")</f>
        <v/>
      </c>
    </row>
    <row r="14" ht="15" customHeight="1">
      <c r="A14" t="inlineStr">
        <is>
          <t>A 18047-2026</t>
        </is>
      </c>
      <c r="B14" t="inlineStr">
        <is>
          <t>avverkningsanmälan</t>
        </is>
      </c>
      <c r="C14" t="inlineStr">
        <is>
          <t>Föryngringsavverkning</t>
        </is>
      </c>
      <c r="D14" s="1" t="n">
        <v>46125</v>
      </c>
      <c r="E14" s="1" t="n">
        <v>46220</v>
      </c>
      <c r="F14" t="inlineStr">
        <is>
          <t>ÖREBRO LÄN</t>
        </is>
      </c>
      <c r="G14" t="inlineStr">
        <is>
          <t>HÄLLEFORS</t>
        </is>
      </c>
      <c r="H14" t="inlineStr">
        <is>
          <t>Sveaskog</t>
        </is>
      </c>
      <c r="I14" t="n">
        <v>3.4</v>
      </c>
      <c r="J14" t="n">
        <v>3</v>
      </c>
      <c r="K14" t="n">
        <v>0</v>
      </c>
      <c r="L14" t="n">
        <v>0</v>
      </c>
      <c r="M14" t="n">
        <v>0</v>
      </c>
      <c r="N14" t="n">
        <v>0</v>
      </c>
      <c r="O14" t="n">
        <v>0</v>
      </c>
      <c r="P14" t="n">
        <v>0</v>
      </c>
      <c r="Q14" t="n">
        <v>0</v>
      </c>
      <c r="R14" t="n">
        <v>0</v>
      </c>
      <c r="S14" t="n">
        <v>3</v>
      </c>
      <c r="T14" t="n">
        <v>6</v>
      </c>
      <c r="U14" s="2" t="inlineStr">
        <is>
          <t>Mattlummer
Tjäder
Revlummer</t>
        </is>
      </c>
      <c r="V14">
        <f>HYPERLINK("https://klasma.github.io/Logging_1863/artfynd/A 18047-2026 artfynd.xlsx", "A 18047-2026")</f>
        <v/>
      </c>
      <c r="W14">
        <f>HYPERLINK("https://klasma.github.io/Logging_1863/kartor/A 18047-2026 karta.png", "A 18047-2026")</f>
        <v/>
      </c>
      <c r="Y14">
        <f>HYPERLINK("https://klasma.github.io/Logging_1863/klagomål/A 18047-2026 FSC-klagomål.docx", "A 18047-2026")</f>
        <v/>
      </c>
      <c r="Z14">
        <f>HYPERLINK("https://klasma.github.io/Logging_1863/klagomålsmail/A 18047-2026 FSC-klagomål mail.docx", "A 18047-2026")</f>
        <v/>
      </c>
      <c r="AA14">
        <f>HYPERLINK("https://klasma.github.io/Logging_1863/tillsyn/A 18047-2026 tillsynsbegäran.docx", "A 18047-2026")</f>
        <v/>
      </c>
      <c r="AB14">
        <f>HYPERLINK("https://klasma.github.io/Logging_1863/tillsynsmail/A 18047-2026 tillsynsbegäran mail.docx", "A 18047-2026")</f>
        <v/>
      </c>
      <c r="AC14">
        <f>HYPERLINK("https://klasma.github.io/Logging_1863/fåglar/A 18047-2026 prioriterade fågelarter.docx", "A 18047-2026")</f>
        <v/>
      </c>
    </row>
    <row r="15" ht="15" customHeight="1">
      <c r="A15" t="inlineStr">
        <is>
          <t>A 16928-2025</t>
        </is>
      </c>
      <c r="B15" t="inlineStr">
        <is>
          <t>avverkningsanmälan</t>
        </is>
      </c>
      <c r="C15" t="inlineStr">
        <is>
          <t>Föryngringsavverkning</t>
        </is>
      </c>
      <c r="D15" s="1" t="n">
        <v>45755</v>
      </c>
      <c r="E15" s="1" t="n">
        <v>46220</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s="2" t="inlineStr">
        <is>
          <t>Mattlummer
Fläcknycklar
Grönvit nattviol</t>
        </is>
      </c>
      <c r="V15">
        <f>HYPERLINK("https://klasma.github.io/Logging_1863/artfynd/A 16928-2025 artfynd.xlsx", "A 16928-2025")</f>
        <v/>
      </c>
      <c r="W15">
        <f>HYPERLINK("https://klasma.github.io/Logging_1863/kartor/A 16928-2025 karta.png", "A 16928-2025")</f>
        <v/>
      </c>
      <c r="Y15">
        <f>HYPERLINK("https://klasma.github.io/Logging_1863/klagomål/A 16928-2025 FSC-klagomål.docx", "A 16928-2025")</f>
        <v/>
      </c>
      <c r="Z15">
        <f>HYPERLINK("https://klasma.github.io/Logging_1863/klagomålsmail/A 16928-2025 FSC-klagomål mail.docx", "A 16928-2025")</f>
        <v/>
      </c>
      <c r="AA15">
        <f>HYPERLINK("https://klasma.github.io/Logging_1863/tillsyn/A 16928-2025 tillsynsbegäran.docx", "A 16928-2025")</f>
        <v/>
      </c>
      <c r="AB15">
        <f>HYPERLINK("https://klasma.github.io/Logging_1863/tillsynsmail/A 16928-2025 tillsynsbegäran mail.docx", "A 16928-2025")</f>
        <v/>
      </c>
    </row>
    <row r="16" ht="15" customHeight="1">
      <c r="A16" t="inlineStr">
        <is>
          <t>A 16169-2025</t>
        </is>
      </c>
      <c r="B16" t="inlineStr">
        <is>
          <t>avverkningsanmälan</t>
        </is>
      </c>
      <c r="C16" t="inlineStr">
        <is>
          <t>Föryngringsavverkning</t>
        </is>
      </c>
      <c r="D16" s="1" t="n">
        <v>45750</v>
      </c>
      <c r="E16" s="1" t="n">
        <v>46220</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s="2" t="inlineStr">
        <is>
          <t>Garnlav
Talltita
Vedticka</t>
        </is>
      </c>
      <c r="V16">
        <f>HYPERLINK("https://klasma.github.io/Logging_1863/artfynd/A 16169-2025 artfynd.xlsx", "A 16169-2025")</f>
        <v/>
      </c>
      <c r="W16">
        <f>HYPERLINK("https://klasma.github.io/Logging_1863/kartor/A 16169-2025 karta.png", "A 16169-2025")</f>
        <v/>
      </c>
      <c r="Y16">
        <f>HYPERLINK("https://klasma.github.io/Logging_1863/klagomål/A 16169-2025 FSC-klagomål.docx", "A 16169-2025")</f>
        <v/>
      </c>
      <c r="Z16">
        <f>HYPERLINK("https://klasma.github.io/Logging_1863/klagomålsmail/A 16169-2025 FSC-klagomål mail.docx", "A 16169-2025")</f>
        <v/>
      </c>
      <c r="AA16">
        <f>HYPERLINK("https://klasma.github.io/Logging_1863/tillsyn/A 16169-2025 tillsynsbegäran.docx", "A 16169-2025")</f>
        <v/>
      </c>
      <c r="AB16">
        <f>HYPERLINK("https://klasma.github.io/Logging_1863/tillsynsmail/A 16169-2025 tillsynsbegäran mail.docx", "A 16169-2025")</f>
        <v/>
      </c>
      <c r="AC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46220</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s="2" t="inlineStr">
        <is>
          <t>Svavelriska
Kungsfågel
Revlummer</t>
        </is>
      </c>
      <c r="V17">
        <f>HYPERLINK("https://klasma.github.io/Logging_1863/artfynd/A 16932-2025 artfynd.xlsx", "A 16932-2025")</f>
        <v/>
      </c>
      <c r="W17">
        <f>HYPERLINK("https://klasma.github.io/Logging_1863/kartor/A 16932-2025 karta.png", "A 16932-2025")</f>
        <v/>
      </c>
      <c r="Y17">
        <f>HYPERLINK("https://klasma.github.io/Logging_1863/klagomål/A 16932-2025 FSC-klagomål.docx", "A 16932-2025")</f>
        <v/>
      </c>
      <c r="Z17">
        <f>HYPERLINK("https://klasma.github.io/Logging_1863/klagomålsmail/A 16932-2025 FSC-klagomål mail.docx", "A 16932-2025")</f>
        <v/>
      </c>
      <c r="AA17">
        <f>HYPERLINK("https://klasma.github.io/Logging_1863/tillsyn/A 16932-2025 tillsynsbegäran.docx", "A 16932-2025")</f>
        <v/>
      </c>
      <c r="AB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46220</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s="2" t="inlineStr">
        <is>
          <t>Mattlummer
Tjäder
Revlummer</t>
        </is>
      </c>
      <c r="V18">
        <f>HYPERLINK("https://klasma.github.io/Logging_1863/artfynd/A 22248-2026 artfynd.xlsx", "A 22248-2026")</f>
        <v/>
      </c>
      <c r="W18">
        <f>HYPERLINK("https://klasma.github.io/Logging_1863/kartor/A 22248-2026 karta.png", "A 22248-2026")</f>
        <v/>
      </c>
      <c r="Y18">
        <f>HYPERLINK("https://klasma.github.io/Logging_1863/klagomål/A 22248-2026 FSC-klagomål.docx", "A 22248-2026")</f>
        <v/>
      </c>
      <c r="Z18">
        <f>HYPERLINK("https://klasma.github.io/Logging_1863/klagomålsmail/A 22248-2026 FSC-klagomål mail.docx", "A 22248-2026")</f>
        <v/>
      </c>
      <c r="AA18">
        <f>HYPERLINK("https://klasma.github.io/Logging_1863/tillsyn/A 22248-2026 tillsynsbegäran.docx", "A 22248-2026")</f>
        <v/>
      </c>
      <c r="AB18">
        <f>HYPERLINK("https://klasma.github.io/Logging_1863/tillsynsmail/A 22248-2026 tillsynsbegäran mail.docx", "A 22248-2026")</f>
        <v/>
      </c>
      <c r="AC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46220</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s="2" t="inlineStr">
        <is>
          <t>Plattlummer
Mattlummer
Tjäder</t>
        </is>
      </c>
      <c r="V19">
        <f>HYPERLINK("https://klasma.github.io/Logging_1863/artfynd/A 29741-2026 artfynd.xlsx", "A 29741-2026")</f>
        <v/>
      </c>
      <c r="W19">
        <f>HYPERLINK("https://klasma.github.io/Logging_1863/kartor/A 29741-2026 karta.png", "A 29741-2026")</f>
        <v/>
      </c>
      <c r="Y19">
        <f>HYPERLINK("https://klasma.github.io/Logging_1863/klagomål/A 29741-2026 FSC-klagomål.docx", "A 29741-2026")</f>
        <v/>
      </c>
      <c r="Z19">
        <f>HYPERLINK("https://klasma.github.io/Logging_1863/klagomålsmail/A 29741-2026 FSC-klagomål mail.docx", "A 29741-2026")</f>
        <v/>
      </c>
      <c r="AA19">
        <f>HYPERLINK("https://klasma.github.io/Logging_1863/tillsyn/A 29741-2026 tillsynsbegäran.docx", "A 29741-2026")</f>
        <v/>
      </c>
      <c r="AB19">
        <f>HYPERLINK("https://klasma.github.io/Logging_1863/tillsynsmail/A 29741-2026 tillsynsbegäran mail.docx", "A 29741-2026")</f>
        <v/>
      </c>
      <c r="AC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46220</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s="2" t="inlineStr">
        <is>
          <t>Blåsippa
Gullviva</t>
        </is>
      </c>
      <c r="V20">
        <f>HYPERLINK("https://klasma.github.io/Logging_1863/artfynd/A 71826-2021 artfynd.xlsx", "A 71826-2021")</f>
        <v/>
      </c>
      <c r="W20">
        <f>HYPERLINK("https://klasma.github.io/Logging_1863/kartor/A 71826-2021 karta.png", "A 71826-2021")</f>
        <v/>
      </c>
      <c r="Y20">
        <f>HYPERLINK("https://klasma.github.io/Logging_1863/klagomål/A 71826-2021 FSC-klagomål.docx", "A 71826-2021")</f>
        <v/>
      </c>
      <c r="Z20">
        <f>HYPERLINK("https://klasma.github.io/Logging_1863/klagomålsmail/A 71826-2021 FSC-klagomål mail.docx", "A 71826-2021")</f>
        <v/>
      </c>
      <c r="AA20">
        <f>HYPERLINK("https://klasma.github.io/Logging_1863/tillsyn/A 71826-2021 tillsynsbegäran.docx", "A 71826-2021")</f>
        <v/>
      </c>
      <c r="AB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46220</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s="2" t="inlineStr">
        <is>
          <t>Trollsmultron
Brunag</t>
        </is>
      </c>
      <c r="V21">
        <f>HYPERLINK("https://klasma.github.io/Logging_1863/artfynd/A 39105-2024 artfynd.xlsx", "A 39105-2024")</f>
        <v/>
      </c>
      <c r="W21">
        <f>HYPERLINK("https://klasma.github.io/Logging_1863/kartor/A 39105-2024 karta.png", "A 39105-2024")</f>
        <v/>
      </c>
      <c r="Y21">
        <f>HYPERLINK("https://klasma.github.io/Logging_1863/klagomål/A 39105-2024 FSC-klagomål.docx", "A 39105-2024")</f>
        <v/>
      </c>
      <c r="Z21">
        <f>HYPERLINK("https://klasma.github.io/Logging_1863/klagomålsmail/A 39105-2024 FSC-klagomål mail.docx", "A 39105-2024")</f>
        <v/>
      </c>
      <c r="AA21">
        <f>HYPERLINK("https://klasma.github.io/Logging_1863/tillsyn/A 39105-2024 tillsynsbegäran.docx", "A 39105-2024")</f>
        <v/>
      </c>
      <c r="AB21">
        <f>HYPERLINK("https://klasma.github.io/Logging_1863/tillsynsmail/A 39105-2024 tillsynsbegäran mail.docx", "A 39105-2024")</f>
        <v/>
      </c>
    </row>
    <row r="22" ht="15" customHeight="1">
      <c r="A22" t="inlineStr">
        <is>
          <t>A 37259-2024</t>
        </is>
      </c>
      <c r="B22" t="inlineStr">
        <is>
          <t>avverkningsanmälan</t>
        </is>
      </c>
      <c r="C22" t="inlineStr">
        <is>
          <t>Föryngringsavverkning</t>
        </is>
      </c>
      <c r="D22" s="1" t="n">
        <v>45540</v>
      </c>
      <c r="E22" s="1" t="n">
        <v>46220</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s="2" t="inlineStr">
        <is>
          <t>Järpe
Tjäder</t>
        </is>
      </c>
      <c r="V22">
        <f>HYPERLINK("https://klasma.github.io/Logging_1863/artfynd/A 37259-2024 artfynd.xlsx", "A 37259-2024")</f>
        <v/>
      </c>
      <c r="W22">
        <f>HYPERLINK("https://klasma.github.io/Logging_1863/kartor/A 37259-2024 karta.png", "A 37259-2024")</f>
        <v/>
      </c>
      <c r="Y22">
        <f>HYPERLINK("https://klasma.github.io/Logging_1863/klagomål/A 37259-2024 FSC-klagomål.docx", "A 37259-2024")</f>
        <v/>
      </c>
      <c r="Z22">
        <f>HYPERLINK("https://klasma.github.io/Logging_1863/klagomålsmail/A 37259-2024 FSC-klagomål mail.docx", "A 37259-2024")</f>
        <v/>
      </c>
      <c r="AA22">
        <f>HYPERLINK("https://klasma.github.io/Logging_1863/tillsyn/A 37259-2024 tillsynsbegäran.docx", "A 37259-2024")</f>
        <v/>
      </c>
      <c r="AB22">
        <f>HYPERLINK("https://klasma.github.io/Logging_1863/tillsynsmail/A 37259-2024 tillsynsbegäran mail.docx", "A 37259-2024")</f>
        <v/>
      </c>
      <c r="AC22">
        <f>HYPERLINK("https://klasma.github.io/Logging_1863/fåglar/A 37259-2024 prioriterade fågelarter.docx", "A 37259-2024")</f>
        <v/>
      </c>
    </row>
    <row r="23" ht="15" customHeight="1">
      <c r="A23" t="inlineStr">
        <is>
          <t>A 5360-2022</t>
        </is>
      </c>
      <c r="B23" t="inlineStr">
        <is>
          <t>avverkningsanmälan</t>
        </is>
      </c>
      <c r="C23" t="inlineStr">
        <is>
          <t>Föryngringsavverkning</t>
        </is>
      </c>
      <c r="D23" s="1" t="n">
        <v>44594</v>
      </c>
      <c r="E23" s="1" t="n">
        <v>46220</v>
      </c>
      <c r="F23" t="inlineStr">
        <is>
          <t>ÖREBRO LÄN</t>
        </is>
      </c>
      <c r="G23" t="inlineStr">
        <is>
          <t>HÄLLEFORS</t>
        </is>
      </c>
      <c r="I23" t="n">
        <v>3.7</v>
      </c>
      <c r="J23" t="n">
        <v>0</v>
      </c>
      <c r="K23" t="n">
        <v>2</v>
      </c>
      <c r="L23" t="n">
        <v>0</v>
      </c>
      <c r="M23" t="n">
        <v>0</v>
      </c>
      <c r="N23" t="n">
        <v>0</v>
      </c>
      <c r="O23" t="n">
        <v>0</v>
      </c>
      <c r="P23" t="n">
        <v>0</v>
      </c>
      <c r="Q23" t="n">
        <v>0</v>
      </c>
      <c r="R23" t="n">
        <v>0</v>
      </c>
      <c r="S23" t="n">
        <v>2</v>
      </c>
      <c r="T23" t="n">
        <v>2</v>
      </c>
      <c r="U23" s="2" t="inlineStr">
        <is>
          <t>Mörk husmossa
Smal svampklubba</t>
        </is>
      </c>
      <c r="V23">
        <f>HYPERLINK("https://klasma.github.io/Logging_1863/artfynd/A 5360-2022 artfynd.xlsx", "A 5360-2022")</f>
        <v/>
      </c>
      <c r="W23">
        <f>HYPERLINK("https://klasma.github.io/Logging_1863/kartor/A 5360-2022 karta.png", "A 5360-2022")</f>
        <v/>
      </c>
      <c r="Y23">
        <f>HYPERLINK("https://klasma.github.io/Logging_1863/klagomål/A 5360-2022 FSC-klagomål.docx", "A 5360-2022")</f>
        <v/>
      </c>
      <c r="Z23">
        <f>HYPERLINK("https://klasma.github.io/Logging_1863/klagomålsmail/A 5360-2022 FSC-klagomål mail.docx", "A 5360-2022")</f>
        <v/>
      </c>
      <c r="AA23">
        <f>HYPERLINK("https://klasma.github.io/Logging_1863/tillsyn/A 5360-2022 tillsynsbegäran.docx", "A 5360-2022")</f>
        <v/>
      </c>
      <c r="AB23">
        <f>HYPERLINK("https://klasma.github.io/Logging_1863/tillsynsmail/A 5360-2022 tillsynsbegäran mail.docx", "A 5360-2022")</f>
        <v/>
      </c>
    </row>
    <row r="24" ht="15" customHeight="1">
      <c r="A24" t="inlineStr">
        <is>
          <t>A 44402-2025</t>
        </is>
      </c>
      <c r="B24" t="inlineStr">
        <is>
          <t>avverkningsanmälan</t>
        </is>
      </c>
      <c r="C24" t="inlineStr">
        <is>
          <t>Avverkning för att bevara och utveckla /försöksver</t>
        </is>
      </c>
      <c r="D24" s="1" t="n">
        <v>45916</v>
      </c>
      <c r="E24" s="1" t="n">
        <v>46220</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s="2" t="inlineStr">
        <is>
          <t>Garnlav
Vedticka</t>
        </is>
      </c>
      <c r="V24">
        <f>HYPERLINK("https://klasma.github.io/Logging_1863/artfynd/A 44402-2025 artfynd.xlsx", "A 44402-2025")</f>
        <v/>
      </c>
      <c r="W24">
        <f>HYPERLINK("https://klasma.github.io/Logging_1863/kartor/A 44402-2025 karta.png", "A 44402-2025")</f>
        <v/>
      </c>
      <c r="Y24">
        <f>HYPERLINK("https://klasma.github.io/Logging_1863/klagomål/A 44402-2025 FSC-klagomål.docx", "A 44402-2025")</f>
        <v/>
      </c>
      <c r="Z24">
        <f>HYPERLINK("https://klasma.github.io/Logging_1863/klagomålsmail/A 44402-2025 FSC-klagomål mail.docx", "A 44402-2025")</f>
        <v/>
      </c>
      <c r="AA24">
        <f>HYPERLINK("https://klasma.github.io/Logging_1863/tillsyn/A 44402-2025 tillsynsbegäran.docx", "A 44402-2025")</f>
        <v/>
      </c>
      <c r="AB24">
        <f>HYPERLINK("https://klasma.github.io/Logging_1863/tillsynsmail/A 44402-2025 tillsynsbegäran mail.docx", "A 44402-2025")</f>
        <v/>
      </c>
    </row>
    <row r="25" ht="15" customHeight="1">
      <c r="A25" t="inlineStr">
        <is>
          <t>A 44397-2025</t>
        </is>
      </c>
      <c r="B25" t="inlineStr">
        <is>
          <t>avverkningsanmälan</t>
        </is>
      </c>
      <c r="C25" t="inlineStr">
        <is>
          <t>Föryngringsavverkning</t>
        </is>
      </c>
      <c r="D25" s="1" t="n">
        <v>45916</v>
      </c>
      <c r="E25" s="1" t="n">
        <v>46220</v>
      </c>
      <c r="F25" t="inlineStr">
        <is>
          <t>ÖREBRO LÄN</t>
        </is>
      </c>
      <c r="G25" t="inlineStr">
        <is>
          <t>HÄLLEFORS</t>
        </is>
      </c>
      <c r="H25" t="inlineStr">
        <is>
          <t>Bergvik skog väst AB</t>
        </is>
      </c>
      <c r="I25" t="n">
        <v>6.5</v>
      </c>
      <c r="J25" t="n">
        <v>1</v>
      </c>
      <c r="K25" t="n">
        <v>1</v>
      </c>
      <c r="L25" t="n">
        <v>1</v>
      </c>
      <c r="M25" t="n">
        <v>0</v>
      </c>
      <c r="N25" t="n">
        <v>0</v>
      </c>
      <c r="O25" t="n">
        <v>0</v>
      </c>
      <c r="P25" t="n">
        <v>0</v>
      </c>
      <c r="Q25" t="n">
        <v>1</v>
      </c>
      <c r="R25" t="n">
        <v>0</v>
      </c>
      <c r="S25" t="n">
        <v>2</v>
      </c>
      <c r="T25" t="n">
        <v>2</v>
      </c>
      <c r="U25" s="2" t="inlineStr">
        <is>
          <t>Ullticka
Grön sköldmossa</t>
        </is>
      </c>
      <c r="V25">
        <f>HYPERLINK("https://klasma.github.io/Logging_1863/artfynd/A 44397-2025 artfynd.xlsx", "A 44397-2025")</f>
        <v/>
      </c>
      <c r="W25">
        <f>HYPERLINK("https://klasma.github.io/Logging_1863/kartor/A 44397-2025 karta.png", "A 44397-2025")</f>
        <v/>
      </c>
      <c r="Y25">
        <f>HYPERLINK("https://klasma.github.io/Logging_1863/klagomål/A 44397-2025 FSC-klagomål.docx", "A 44397-2025")</f>
        <v/>
      </c>
      <c r="Z25">
        <f>HYPERLINK("https://klasma.github.io/Logging_1863/klagomålsmail/A 44397-2025 FSC-klagomål mail.docx", "A 44397-2025")</f>
        <v/>
      </c>
      <c r="AA25">
        <f>HYPERLINK("https://klasma.github.io/Logging_1863/tillsyn/A 44397-2025 tillsynsbegäran.docx", "A 44397-2025")</f>
        <v/>
      </c>
      <c r="AB25">
        <f>HYPERLINK("https://klasma.github.io/Logging_1863/tillsynsmail/A 44397-2025 tillsynsbegäran mail.docx", "A 44397-2025")</f>
        <v/>
      </c>
    </row>
    <row r="26" ht="15" customHeight="1">
      <c r="A26" t="inlineStr">
        <is>
          <t>A 34050-2025</t>
        </is>
      </c>
      <c r="B26" t="inlineStr">
        <is>
          <t>avverkningsanmälan</t>
        </is>
      </c>
      <c r="C26" t="inlineStr">
        <is>
          <t>Föryngringsavverkning</t>
        </is>
      </c>
      <c r="D26" s="1" t="n">
        <v>45845</v>
      </c>
      <c r="E26" s="1" t="n">
        <v>46220</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s="2" t="inlineStr">
        <is>
          <t>Flodkräfta
Tvåblad</t>
        </is>
      </c>
      <c r="V26">
        <f>HYPERLINK("https://klasma.github.io/Logging_1863/artfynd/A 34050-2025 artfynd.xlsx", "A 34050-2025")</f>
        <v/>
      </c>
      <c r="W26">
        <f>HYPERLINK("https://klasma.github.io/Logging_1863/kartor/A 34050-2025 karta.png", "A 34050-2025")</f>
        <v/>
      </c>
      <c r="Y26">
        <f>HYPERLINK("https://klasma.github.io/Logging_1863/klagomål/A 34050-2025 FSC-klagomål.docx", "A 34050-2025")</f>
        <v/>
      </c>
      <c r="Z26">
        <f>HYPERLINK("https://klasma.github.io/Logging_1863/klagomålsmail/A 34050-2025 FSC-klagomål mail.docx", "A 34050-2025")</f>
        <v/>
      </c>
      <c r="AA26">
        <f>HYPERLINK("https://klasma.github.io/Logging_1863/tillsyn/A 34050-2025 tillsynsbegäran.docx", "A 34050-2025")</f>
        <v/>
      </c>
      <c r="AB26">
        <f>HYPERLINK("https://klasma.github.io/Logging_1863/tillsynsmail/A 34050-2025 tillsynsbegäran mail.docx", "A 34050-2025")</f>
        <v/>
      </c>
    </row>
    <row r="27" ht="15" customHeight="1">
      <c r="A27" t="inlineStr">
        <is>
          <t>A 5684-2025</t>
        </is>
      </c>
      <c r="B27" t="inlineStr">
        <is>
          <t>avverkningsanmälan</t>
        </is>
      </c>
      <c r="C27" t="inlineStr">
        <is>
          <t>Föryngringsavverkning</t>
        </is>
      </c>
      <c r="D27" s="1" t="n">
        <v>45694</v>
      </c>
      <c r="E27" s="1" t="n">
        <v>46220</v>
      </c>
      <c r="F27" t="inlineStr">
        <is>
          <t>ÖREBRO LÄN</t>
        </is>
      </c>
      <c r="G27" t="inlineStr">
        <is>
          <t>HÄLLEFORS</t>
        </is>
      </c>
      <c r="H27" t="inlineStr">
        <is>
          <t>Bergvik skog väst AB</t>
        </is>
      </c>
      <c r="I27" t="n">
        <v>2.1</v>
      </c>
      <c r="J27" t="n">
        <v>2</v>
      </c>
      <c r="K27" t="n">
        <v>0</v>
      </c>
      <c r="L27" t="n">
        <v>0</v>
      </c>
      <c r="M27" t="n">
        <v>0</v>
      </c>
      <c r="N27" t="n">
        <v>0</v>
      </c>
      <c r="O27" t="n">
        <v>0</v>
      </c>
      <c r="P27" t="n">
        <v>0</v>
      </c>
      <c r="Q27" t="n">
        <v>0</v>
      </c>
      <c r="R27" t="n">
        <v>0</v>
      </c>
      <c r="S27" t="n">
        <v>2</v>
      </c>
      <c r="T27" t="n">
        <v>2</v>
      </c>
      <c r="U27" s="2" t="inlineStr">
        <is>
          <t>Gröngöling
Kungsfågel</t>
        </is>
      </c>
      <c r="V27">
        <f>HYPERLINK("https://klasma.github.io/Logging_1863/artfynd/A 5684-2025 artfynd.xlsx", "A 5684-2025")</f>
        <v/>
      </c>
      <c r="W27">
        <f>HYPERLINK("https://klasma.github.io/Logging_1863/kartor/A 5684-2025 karta.png", "A 5684-2025")</f>
        <v/>
      </c>
      <c r="Y27">
        <f>HYPERLINK("https://klasma.github.io/Logging_1863/klagomål/A 5684-2025 FSC-klagomål.docx", "A 5684-2025")</f>
        <v/>
      </c>
      <c r="Z27">
        <f>HYPERLINK("https://klasma.github.io/Logging_1863/klagomålsmail/A 5684-2025 FSC-klagomål mail.docx", "A 5684-2025")</f>
        <v/>
      </c>
      <c r="AA27">
        <f>HYPERLINK("https://klasma.github.io/Logging_1863/tillsyn/A 5684-2025 tillsynsbegäran.docx", "A 5684-2025")</f>
        <v/>
      </c>
      <c r="AB27">
        <f>HYPERLINK("https://klasma.github.io/Logging_1863/tillsynsmail/A 5684-2025 tillsynsbegäran mail.docx", "A 5684-2025")</f>
        <v/>
      </c>
    </row>
    <row r="28" ht="15" customHeight="1">
      <c r="A28" t="inlineStr">
        <is>
          <t>A 59521-2025</t>
        </is>
      </c>
      <c r="B28" t="inlineStr">
        <is>
          <t>avverkningsanmälan</t>
        </is>
      </c>
      <c r="C28" t="inlineStr">
        <is>
          <t>Avverkning för att bevara och utveckla /försöksver</t>
        </is>
      </c>
      <c r="D28" s="1" t="n">
        <v>45989</v>
      </c>
      <c r="E28" s="1" t="n">
        <v>46220</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s="2" t="inlineStr">
        <is>
          <t>Blåsippa
Gråspett</t>
        </is>
      </c>
      <c r="V28">
        <f>HYPERLINK("https://klasma.github.io/Logging_1863/artfynd/A 59521-2025 artfynd.xlsx", "A 59521-2025")</f>
        <v/>
      </c>
      <c r="W28">
        <f>HYPERLINK("https://klasma.github.io/Logging_1863/kartor/A 59521-2025 karta.png", "A 59521-2025")</f>
        <v/>
      </c>
      <c r="Y28">
        <f>HYPERLINK("https://klasma.github.io/Logging_1863/klagomål/A 59521-2025 FSC-klagomål.docx", "A 59521-2025")</f>
        <v/>
      </c>
      <c r="Z28">
        <f>HYPERLINK("https://klasma.github.io/Logging_1863/klagomålsmail/A 59521-2025 FSC-klagomål mail.docx", "A 59521-2025")</f>
        <v/>
      </c>
      <c r="AA28">
        <f>HYPERLINK("https://klasma.github.io/Logging_1863/tillsyn/A 59521-2025 tillsynsbegäran.docx", "A 59521-2025")</f>
        <v/>
      </c>
      <c r="AB28">
        <f>HYPERLINK("https://klasma.github.io/Logging_1863/tillsynsmail/A 59521-2025 tillsynsbegäran mail.docx", "A 59521-2025")</f>
        <v/>
      </c>
      <c r="AC28">
        <f>HYPERLINK("https://klasma.github.io/Logging_1863/fåglar/A 59521-2025 prioriterade fågelarter.docx", "A 59521-2025")</f>
        <v/>
      </c>
    </row>
    <row r="29" ht="15" customHeight="1">
      <c r="A29" t="inlineStr">
        <is>
          <t>A 16088-2026</t>
        </is>
      </c>
      <c r="B29" t="inlineStr">
        <is>
          <t>avverkningsanmälan</t>
        </is>
      </c>
      <c r="C29" t="inlineStr">
        <is>
          <t>Föryngringsavverkning</t>
        </is>
      </c>
      <c r="D29" s="1" t="n">
        <v>46108</v>
      </c>
      <c r="E29" s="1" t="n">
        <v>46220</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s="2" t="inlineStr">
        <is>
          <t>Mattlummer
Tjäder</t>
        </is>
      </c>
      <c r="V29">
        <f>HYPERLINK("https://klasma.github.io/Logging_1863/artfynd/A 16088-2026 artfynd.xlsx", "A 16088-2026")</f>
        <v/>
      </c>
      <c r="W29">
        <f>HYPERLINK("https://klasma.github.io/Logging_1863/kartor/A 16088-2026 karta.png", "A 16088-2026")</f>
        <v/>
      </c>
      <c r="Y29">
        <f>HYPERLINK("https://klasma.github.io/Logging_1863/klagomål/A 16088-2026 FSC-klagomål.docx", "A 16088-2026")</f>
        <v/>
      </c>
      <c r="Z29">
        <f>HYPERLINK("https://klasma.github.io/Logging_1863/klagomålsmail/A 16088-2026 FSC-klagomål mail.docx", "A 16088-2026")</f>
        <v/>
      </c>
      <c r="AA29">
        <f>HYPERLINK("https://klasma.github.io/Logging_1863/tillsyn/A 16088-2026 tillsynsbegäran.docx", "A 16088-2026")</f>
        <v/>
      </c>
      <c r="AB29">
        <f>HYPERLINK("https://klasma.github.io/Logging_1863/tillsynsmail/A 16088-2026 tillsynsbegäran mail.docx", "A 16088-2026")</f>
        <v/>
      </c>
      <c r="AC29">
        <f>HYPERLINK("https://klasma.github.io/Logging_1863/fåglar/A 16088-2026 prioriterade fågelarter.docx", "A 16088-2026")</f>
        <v/>
      </c>
    </row>
    <row r="30" ht="15" customHeight="1">
      <c r="A30" t="inlineStr">
        <is>
          <t>A 20696-2026</t>
        </is>
      </c>
      <c r="B30" t="inlineStr">
        <is>
          <t>avverkningsanmälan</t>
        </is>
      </c>
      <c r="C30" t="inlineStr">
        <is>
          <t>Föryngringsavverkning</t>
        </is>
      </c>
      <c r="D30" s="1" t="n">
        <v>46141</v>
      </c>
      <c r="E30" s="1" t="n">
        <v>46220</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s="2" t="inlineStr">
        <is>
          <t>Kolflarnlav
Revlummer</t>
        </is>
      </c>
      <c r="V30">
        <f>HYPERLINK("https://klasma.github.io/Logging_1863/artfynd/A 20696-2026 artfynd.xlsx", "A 20696-2026")</f>
        <v/>
      </c>
      <c r="W30">
        <f>HYPERLINK("https://klasma.github.io/Logging_1863/kartor/A 20696-2026 karta.png", "A 20696-2026")</f>
        <v/>
      </c>
      <c r="Y30">
        <f>HYPERLINK("https://klasma.github.io/Logging_1863/klagomål/A 20696-2026 FSC-klagomål.docx", "A 20696-2026")</f>
        <v/>
      </c>
      <c r="Z30">
        <f>HYPERLINK("https://klasma.github.io/Logging_1863/klagomålsmail/A 20696-2026 FSC-klagomål mail.docx", "A 20696-2026")</f>
        <v/>
      </c>
      <c r="AA30">
        <f>HYPERLINK("https://klasma.github.io/Logging_1863/tillsyn/A 20696-2026 tillsynsbegäran.docx", "A 20696-2026")</f>
        <v/>
      </c>
      <c r="AB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46220</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s="2" t="inlineStr">
        <is>
          <t>Vedskivlav
Spillkråka</t>
        </is>
      </c>
      <c r="V31">
        <f>HYPERLINK("https://klasma.github.io/Logging_1863/artfynd/A 20695-2026 artfynd.xlsx", "A 20695-2026")</f>
        <v/>
      </c>
      <c r="W31">
        <f>HYPERLINK("https://klasma.github.io/Logging_1863/kartor/A 20695-2026 karta.png", "A 20695-2026")</f>
        <v/>
      </c>
      <c r="Y31">
        <f>HYPERLINK("https://klasma.github.io/Logging_1863/klagomål/A 20695-2026 FSC-klagomål.docx", "A 20695-2026")</f>
        <v/>
      </c>
      <c r="Z31">
        <f>HYPERLINK("https://klasma.github.io/Logging_1863/klagomålsmail/A 20695-2026 FSC-klagomål mail.docx", "A 20695-2026")</f>
        <v/>
      </c>
      <c r="AA31">
        <f>HYPERLINK("https://klasma.github.io/Logging_1863/tillsyn/A 20695-2026 tillsynsbegäran.docx", "A 20695-2026")</f>
        <v/>
      </c>
      <c r="AB31">
        <f>HYPERLINK("https://klasma.github.io/Logging_1863/tillsynsmail/A 20695-2026 tillsynsbegäran mail.docx", "A 20695-2026")</f>
        <v/>
      </c>
      <c r="AC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46220</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s="2" t="inlineStr">
        <is>
          <t>Mattlummer
Tjäder</t>
        </is>
      </c>
      <c r="V32">
        <f>HYPERLINK("https://klasma.github.io/Logging_1863/artfynd/A 22247-2026 artfynd.xlsx", "A 22247-2026")</f>
        <v/>
      </c>
      <c r="W32">
        <f>HYPERLINK("https://klasma.github.io/Logging_1863/kartor/A 22247-2026 karta.png", "A 22247-2026")</f>
        <v/>
      </c>
      <c r="Y32">
        <f>HYPERLINK("https://klasma.github.io/Logging_1863/klagomål/A 22247-2026 FSC-klagomål.docx", "A 22247-2026")</f>
        <v/>
      </c>
      <c r="Z32">
        <f>HYPERLINK("https://klasma.github.io/Logging_1863/klagomålsmail/A 22247-2026 FSC-klagomål mail.docx", "A 22247-2026")</f>
        <v/>
      </c>
      <c r="AA32">
        <f>HYPERLINK("https://klasma.github.io/Logging_1863/tillsyn/A 22247-2026 tillsynsbegäran.docx", "A 22247-2026")</f>
        <v/>
      </c>
      <c r="AB32">
        <f>HYPERLINK("https://klasma.github.io/Logging_1863/tillsynsmail/A 22247-2026 tillsynsbegäran mail.docx", "A 22247-2026")</f>
        <v/>
      </c>
      <c r="AC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46220</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s="2" t="inlineStr">
        <is>
          <t>Bollvitmossa
Mattlummer</t>
        </is>
      </c>
      <c r="V33">
        <f>HYPERLINK("https://klasma.github.io/Logging_1863/artfynd/A 23421-2026 artfynd.xlsx", "A 23421-2026")</f>
        <v/>
      </c>
      <c r="W33">
        <f>HYPERLINK("https://klasma.github.io/Logging_1863/kartor/A 23421-2026 karta.png", "A 23421-2026")</f>
        <v/>
      </c>
      <c r="Y33">
        <f>HYPERLINK("https://klasma.github.io/Logging_1863/klagomål/A 23421-2026 FSC-klagomål.docx", "A 23421-2026")</f>
        <v/>
      </c>
      <c r="Z33">
        <f>HYPERLINK("https://klasma.github.io/Logging_1863/klagomålsmail/A 23421-2026 FSC-klagomål mail.docx", "A 23421-2026")</f>
        <v/>
      </c>
      <c r="AA33">
        <f>HYPERLINK("https://klasma.github.io/Logging_1863/tillsyn/A 23421-2026 tillsynsbegäran.docx", "A 23421-2026")</f>
        <v/>
      </c>
      <c r="AB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46220</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s="2" t="inlineStr">
        <is>
          <t>Brunklöver
Plattlummer</t>
        </is>
      </c>
      <c r="V34">
        <f>HYPERLINK("https://klasma.github.io/Logging_1863/artfynd/A 41834-2023 artfynd.xlsx", "A 41834-2023")</f>
        <v/>
      </c>
      <c r="W34">
        <f>HYPERLINK("https://klasma.github.io/Logging_1863/kartor/A 41834-2023 karta.png", "A 41834-2023")</f>
        <v/>
      </c>
      <c r="Y34">
        <f>HYPERLINK("https://klasma.github.io/Logging_1863/klagomål/A 41834-2023 FSC-klagomål.docx", "A 41834-2023")</f>
        <v/>
      </c>
      <c r="Z34">
        <f>HYPERLINK("https://klasma.github.io/Logging_1863/klagomålsmail/A 41834-2023 FSC-klagomål mail.docx", "A 41834-2023")</f>
        <v/>
      </c>
      <c r="AA34">
        <f>HYPERLINK("https://klasma.github.io/Logging_1863/tillsyn/A 41834-2023 tillsynsbegäran.docx", "A 41834-2023")</f>
        <v/>
      </c>
      <c r="AB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46220</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s="2" t="inlineStr">
        <is>
          <t>Blåsippa
Gråspett</t>
        </is>
      </c>
      <c r="V35">
        <f>HYPERLINK("https://klasma.github.io/Logging_1863/artfynd/S 3341-2025 artfynd.xlsx", "S 3341-2025")</f>
        <v/>
      </c>
      <c r="W35">
        <f>HYPERLINK("https://klasma.github.io/Logging_1863/kartor/S 3341-2025 karta.png", "S 3341-2025")</f>
        <v/>
      </c>
      <c r="Y35">
        <f>HYPERLINK("https://klasma.github.io/Logging_1863/klagomål/S 3341-2025 FSC-klagomål.docx", "S 3341-2025")</f>
        <v/>
      </c>
      <c r="Z35">
        <f>HYPERLINK("https://klasma.github.io/Logging_1863/klagomålsmail/S 3341-2025 FSC-klagomål mail.docx", "S 3341-2025")</f>
        <v/>
      </c>
      <c r="AA35">
        <f>HYPERLINK("https://klasma.github.io/Logging_1863/tillsyn/S 3341-2025 tillsynsbegäran.docx", "S 3341-2025")</f>
        <v/>
      </c>
      <c r="AB35">
        <f>HYPERLINK("https://klasma.github.io/Logging_1863/tillsynsmail/S 3341-2025 tillsynsbegäran mail.docx", "S 3341-2025")</f>
        <v/>
      </c>
      <c r="AC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46220</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s="2" t="inlineStr">
        <is>
          <t>Skuggblåslav</t>
        </is>
      </c>
      <c r="V36">
        <f>HYPERLINK("https://klasma.github.io/Logging_1863/artfynd/A 46114-2021 artfynd.xlsx", "A 46114-2021")</f>
        <v/>
      </c>
      <c r="W36">
        <f>HYPERLINK("https://klasma.github.io/Logging_1863/kartor/A 46114-2021 karta.png", "A 46114-2021")</f>
        <v/>
      </c>
      <c r="Y36">
        <f>HYPERLINK("https://klasma.github.io/Logging_1863/klagomål/A 46114-2021 FSC-klagomål.docx", "A 46114-2021")</f>
        <v/>
      </c>
      <c r="Z36">
        <f>HYPERLINK("https://klasma.github.io/Logging_1863/klagomålsmail/A 46114-2021 FSC-klagomål mail.docx", "A 46114-2021")</f>
        <v/>
      </c>
      <c r="AA36">
        <f>HYPERLINK("https://klasma.github.io/Logging_1863/tillsyn/A 46114-2021 tillsynsbegäran.docx", "A 46114-2021")</f>
        <v/>
      </c>
      <c r="AB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46220</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s="2" t="inlineStr">
        <is>
          <t>Norrlandslav</t>
        </is>
      </c>
      <c r="V37">
        <f>HYPERLINK("https://klasma.github.io/Logging_1863/artfynd/A 39540-2022 artfynd.xlsx", "A 39540-2022")</f>
        <v/>
      </c>
      <c r="W37">
        <f>HYPERLINK("https://klasma.github.io/Logging_1863/kartor/A 39540-2022 karta.png", "A 39540-2022")</f>
        <v/>
      </c>
      <c r="Y37">
        <f>HYPERLINK("https://klasma.github.io/Logging_1863/klagomål/A 39540-2022 FSC-klagomål.docx", "A 39540-2022")</f>
        <v/>
      </c>
      <c r="Z37">
        <f>HYPERLINK("https://klasma.github.io/Logging_1863/klagomålsmail/A 39540-2022 FSC-klagomål mail.docx", "A 39540-2022")</f>
        <v/>
      </c>
      <c r="AA37">
        <f>HYPERLINK("https://klasma.github.io/Logging_1863/tillsyn/A 39540-2022 tillsynsbegäran.docx", "A 39540-2022")</f>
        <v/>
      </c>
      <c r="AB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46220</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s="2" t="inlineStr">
        <is>
          <t>Kungsörn</t>
        </is>
      </c>
      <c r="V38">
        <f>HYPERLINK("https://klasma.github.io/Logging_1863/artfynd/A 56295-2021 artfynd.xlsx", "A 56295-2021")</f>
        <v/>
      </c>
      <c r="W38">
        <f>HYPERLINK("https://klasma.github.io/Logging_1863/kartor/A 56295-2021 karta.png", "A 56295-2021")</f>
        <v/>
      </c>
      <c r="Y38">
        <f>HYPERLINK("https://klasma.github.io/Logging_1863/klagomål/A 56295-2021 FSC-klagomål.docx", "A 56295-2021")</f>
        <v/>
      </c>
      <c r="Z38">
        <f>HYPERLINK("https://klasma.github.io/Logging_1863/klagomålsmail/A 56295-2021 FSC-klagomål mail.docx", "A 56295-2021")</f>
        <v/>
      </c>
      <c r="AA38">
        <f>HYPERLINK("https://klasma.github.io/Logging_1863/tillsyn/A 56295-2021 tillsynsbegäran.docx", "A 56295-2021")</f>
        <v/>
      </c>
      <c r="AB38">
        <f>HYPERLINK("https://klasma.github.io/Logging_1863/tillsynsmail/A 56295-2021 tillsynsbegäran mail.docx", "A 56295-2021")</f>
        <v/>
      </c>
      <c r="AC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46220</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s="2" t="inlineStr">
        <is>
          <t>Smålom</t>
        </is>
      </c>
      <c r="V39">
        <f>HYPERLINK("https://klasma.github.io/Logging_1863/artfynd/A 5025-2022 artfynd.xlsx", "A 5025-2022")</f>
        <v/>
      </c>
      <c r="W39">
        <f>HYPERLINK("https://klasma.github.io/Logging_1863/kartor/A 5025-2022 karta.png", "A 5025-2022")</f>
        <v/>
      </c>
      <c r="Y39">
        <f>HYPERLINK("https://klasma.github.io/Logging_1863/klagomål/A 5025-2022 FSC-klagomål.docx", "A 5025-2022")</f>
        <v/>
      </c>
      <c r="Z39">
        <f>HYPERLINK("https://klasma.github.io/Logging_1863/klagomålsmail/A 5025-2022 FSC-klagomål mail.docx", "A 5025-2022")</f>
        <v/>
      </c>
      <c r="AA39">
        <f>HYPERLINK("https://klasma.github.io/Logging_1863/tillsyn/A 5025-2022 tillsynsbegäran.docx", "A 5025-2022")</f>
        <v/>
      </c>
      <c r="AB39">
        <f>HYPERLINK("https://klasma.github.io/Logging_1863/tillsynsmail/A 5025-2022 tillsynsbegäran mail.docx", "A 5025-2022")</f>
        <v/>
      </c>
      <c r="AC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46220</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s="2" t="inlineStr">
        <is>
          <t>Brunklöver</t>
        </is>
      </c>
      <c r="V40">
        <f>HYPERLINK("https://klasma.github.io/Logging_1863/artfynd/A 28598-2024 artfynd.xlsx", "A 28598-2024")</f>
        <v/>
      </c>
      <c r="W40">
        <f>HYPERLINK("https://klasma.github.io/Logging_1863/kartor/A 28598-2024 karta.png", "A 28598-2024")</f>
        <v/>
      </c>
      <c r="Y40">
        <f>HYPERLINK("https://klasma.github.io/Logging_1863/klagomål/A 28598-2024 FSC-klagomål.docx", "A 28598-2024")</f>
        <v/>
      </c>
      <c r="Z40">
        <f>HYPERLINK("https://klasma.github.io/Logging_1863/klagomålsmail/A 28598-2024 FSC-klagomål mail.docx", "A 28598-2024")</f>
        <v/>
      </c>
      <c r="AA40">
        <f>HYPERLINK("https://klasma.github.io/Logging_1863/tillsyn/A 28598-2024 tillsynsbegäran.docx", "A 28598-2024")</f>
        <v/>
      </c>
      <c r="AB40">
        <f>HYPERLINK("https://klasma.github.io/Logging_1863/tillsynsmail/A 28598-2024 tillsynsbegäran mail.docx", "A 28598-2024")</f>
        <v/>
      </c>
    </row>
    <row r="41" ht="15" customHeight="1">
      <c r="A41" t="inlineStr">
        <is>
          <t>A 17350-2025</t>
        </is>
      </c>
      <c r="B41" t="inlineStr">
        <is>
          <t>avverkningsanmälan</t>
        </is>
      </c>
      <c r="C41" t="inlineStr">
        <is>
          <t>Föryngringsavverkning</t>
        </is>
      </c>
      <c r="D41" s="1" t="n">
        <v>45756</v>
      </c>
      <c r="E41" s="1" t="n">
        <v>46220</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s="2" t="inlineStr">
        <is>
          <t>Smålom</t>
        </is>
      </c>
      <c r="V41">
        <f>HYPERLINK("https://klasma.github.io/Logging_1863/artfynd/A 17350-2025 artfynd.xlsx", "A 17350-2025")</f>
        <v/>
      </c>
      <c r="W41">
        <f>HYPERLINK("https://klasma.github.io/Logging_1863/kartor/A 17350-2025 karta.png", "A 17350-2025")</f>
        <v/>
      </c>
      <c r="Y41">
        <f>HYPERLINK("https://klasma.github.io/Logging_1863/klagomål/A 17350-2025 FSC-klagomål.docx", "A 17350-2025")</f>
        <v/>
      </c>
      <c r="Z41">
        <f>HYPERLINK("https://klasma.github.io/Logging_1863/klagomålsmail/A 17350-2025 FSC-klagomål mail.docx", "A 17350-2025")</f>
        <v/>
      </c>
      <c r="AA41">
        <f>HYPERLINK("https://klasma.github.io/Logging_1863/tillsyn/A 17350-2025 tillsynsbegäran.docx", "A 17350-2025")</f>
        <v/>
      </c>
      <c r="AB41">
        <f>HYPERLINK("https://klasma.github.io/Logging_1863/tillsynsmail/A 17350-2025 tillsynsbegäran mail.docx", "A 17350-2025")</f>
        <v/>
      </c>
      <c r="AC41">
        <f>HYPERLINK("https://klasma.github.io/Logging_1863/fåglar/A 17350-2025 prioriterade fågelarter.docx", "A 17350-2025")</f>
        <v/>
      </c>
    </row>
    <row r="42" ht="15" customHeight="1">
      <c r="A42" t="inlineStr">
        <is>
          <t>A 18889-2024</t>
        </is>
      </c>
      <c r="B42" t="inlineStr">
        <is>
          <t>avverkningsanmälan</t>
        </is>
      </c>
      <c r="C42" t="inlineStr">
        <is>
          <t>Föryngringsavverkning</t>
        </is>
      </c>
      <c r="D42" s="1" t="n">
        <v>45427</v>
      </c>
      <c r="E42" s="1" t="n">
        <v>46220</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s="2" t="inlineStr">
        <is>
          <t>Gröngöling</t>
        </is>
      </c>
      <c r="V42">
        <f>HYPERLINK("https://klasma.github.io/Logging_1863/artfynd/A 18889-2024 artfynd.xlsx", "A 18889-2024")</f>
        <v/>
      </c>
      <c r="W42">
        <f>HYPERLINK("https://klasma.github.io/Logging_1863/kartor/A 18889-2024 karta.png", "A 18889-2024")</f>
        <v/>
      </c>
      <c r="Y42">
        <f>HYPERLINK("https://klasma.github.io/Logging_1863/klagomål/A 18889-2024 FSC-klagomål.docx", "A 18889-2024")</f>
        <v/>
      </c>
      <c r="Z42">
        <f>HYPERLINK("https://klasma.github.io/Logging_1863/klagomålsmail/A 18889-2024 FSC-klagomål mail.docx", "A 18889-2024")</f>
        <v/>
      </c>
      <c r="AA42">
        <f>HYPERLINK("https://klasma.github.io/Logging_1863/tillsyn/A 18889-2024 tillsynsbegäran.docx", "A 18889-2024")</f>
        <v/>
      </c>
      <c r="AB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46220</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s="2" t="inlineStr">
        <is>
          <t>Blåsippa</t>
        </is>
      </c>
      <c r="V43">
        <f>HYPERLINK("https://klasma.github.io/Logging_1863/artfynd/A 18048-2026 artfynd.xlsx", "A 18048-2026")</f>
        <v/>
      </c>
      <c r="W43">
        <f>HYPERLINK("https://klasma.github.io/Logging_1863/kartor/A 18048-2026 karta.png", "A 18048-2026")</f>
        <v/>
      </c>
      <c r="Y43">
        <f>HYPERLINK("https://klasma.github.io/Logging_1863/klagomål/A 18048-2026 FSC-klagomål.docx", "A 18048-2026")</f>
        <v/>
      </c>
      <c r="Z43">
        <f>HYPERLINK("https://klasma.github.io/Logging_1863/klagomålsmail/A 18048-2026 FSC-klagomål mail.docx", "A 18048-2026")</f>
        <v/>
      </c>
      <c r="AA43">
        <f>HYPERLINK("https://klasma.github.io/Logging_1863/tillsyn/A 18048-2026 tillsynsbegäran.docx", "A 18048-2026")</f>
        <v/>
      </c>
      <c r="AB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46220</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s="2" t="inlineStr">
        <is>
          <t>Dofttaggsvamp</t>
        </is>
      </c>
      <c r="V44">
        <f>HYPERLINK("https://klasma.github.io/Logging_1863/artfynd/A 18050-2026 artfynd.xlsx", "A 18050-2026")</f>
        <v/>
      </c>
      <c r="W44">
        <f>HYPERLINK("https://klasma.github.io/Logging_1863/kartor/A 18050-2026 karta.png", "A 18050-2026")</f>
        <v/>
      </c>
      <c r="Y44">
        <f>HYPERLINK("https://klasma.github.io/Logging_1863/klagomål/A 18050-2026 FSC-klagomål.docx", "A 18050-2026")</f>
        <v/>
      </c>
      <c r="Z44">
        <f>HYPERLINK("https://klasma.github.io/Logging_1863/klagomålsmail/A 18050-2026 FSC-klagomål mail.docx", "A 18050-2026")</f>
        <v/>
      </c>
      <c r="AA44">
        <f>HYPERLINK("https://klasma.github.io/Logging_1863/tillsyn/A 18050-2026 tillsynsbegäran.docx", "A 18050-2026")</f>
        <v/>
      </c>
      <c r="AB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46220</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s="2" t="inlineStr">
        <is>
          <t>Lunglav</t>
        </is>
      </c>
      <c r="V45">
        <f>HYPERLINK("https://klasma.github.io/Logging_1863/artfynd/A 5244-2025 artfynd.xlsx", "A 5244-2025")</f>
        <v/>
      </c>
      <c r="W45">
        <f>HYPERLINK("https://klasma.github.io/Logging_1863/kartor/A 5244-2025 karta.png", "A 5244-2025")</f>
        <v/>
      </c>
      <c r="Y45">
        <f>HYPERLINK("https://klasma.github.io/Logging_1863/klagomål/A 5244-2025 FSC-klagomål.docx", "A 5244-2025")</f>
        <v/>
      </c>
      <c r="Z45">
        <f>HYPERLINK("https://klasma.github.io/Logging_1863/klagomålsmail/A 5244-2025 FSC-klagomål mail.docx", "A 5244-2025")</f>
        <v/>
      </c>
      <c r="AA45">
        <f>HYPERLINK("https://klasma.github.io/Logging_1863/tillsyn/A 5244-2025 tillsynsbegäran.docx", "A 5244-2025")</f>
        <v/>
      </c>
      <c r="AB45">
        <f>HYPERLINK("https://klasma.github.io/Logging_1863/tillsynsmail/A 5244-2025 tillsynsbegäran mail.docx", "A 5244-2025")</f>
        <v/>
      </c>
    </row>
    <row r="46" ht="15" customHeight="1">
      <c r="A46" t="inlineStr">
        <is>
          <t>A 19948-2026</t>
        </is>
      </c>
      <c r="B46" t="inlineStr">
        <is>
          <t>avverkningsanmälan</t>
        </is>
      </c>
      <c r="C46" t="inlineStr">
        <is>
          <t>Föryngringsavverkning</t>
        </is>
      </c>
      <c r="D46" s="1" t="n">
        <v>46136</v>
      </c>
      <c r="E46" s="1" t="n">
        <v>46220</v>
      </c>
      <c r="F46" t="inlineStr">
        <is>
          <t>ÖREBRO LÄN</t>
        </is>
      </c>
      <c r="G46" t="inlineStr">
        <is>
          <t>HÄLLEFORS</t>
        </is>
      </c>
      <c r="H46" t="inlineStr">
        <is>
          <t>Bergvik skog väst AB</t>
        </is>
      </c>
      <c r="I46" t="n">
        <v>10.3</v>
      </c>
      <c r="J46" t="n">
        <v>1</v>
      </c>
      <c r="K46" t="n">
        <v>0</v>
      </c>
      <c r="L46" t="n">
        <v>0</v>
      </c>
      <c r="M46" t="n">
        <v>0</v>
      </c>
      <c r="N46" t="n">
        <v>0</v>
      </c>
      <c r="O46" t="n">
        <v>0</v>
      </c>
      <c r="P46" t="n">
        <v>0</v>
      </c>
      <c r="Q46" t="n">
        <v>0</v>
      </c>
      <c r="R46" t="n">
        <v>0</v>
      </c>
      <c r="S46" t="n">
        <v>1</v>
      </c>
      <c r="T46" t="n">
        <v>1</v>
      </c>
      <c r="U46" s="2" t="inlineStr">
        <is>
          <t>Mattlummer</t>
        </is>
      </c>
      <c r="V46">
        <f>HYPERLINK("https://klasma.github.io/Logging_1863/artfynd/A 19948-2026 artfynd.xlsx", "A 19948-2026")</f>
        <v/>
      </c>
      <c r="W46">
        <f>HYPERLINK("https://klasma.github.io/Logging_1863/kartor/A 19948-2026 karta.png", "A 19948-2026")</f>
        <v/>
      </c>
      <c r="Y46">
        <f>HYPERLINK("https://klasma.github.io/Logging_1863/klagomål/A 19948-2026 FSC-klagomål.docx", "A 19948-2026")</f>
        <v/>
      </c>
      <c r="Z46">
        <f>HYPERLINK("https://klasma.github.io/Logging_1863/klagomålsmail/A 19948-2026 FSC-klagomål mail.docx", "A 19948-2026")</f>
        <v/>
      </c>
      <c r="AA46">
        <f>HYPERLINK("https://klasma.github.io/Logging_1863/tillsyn/A 19948-2026 tillsynsbegäran.docx", "A 19948-2026")</f>
        <v/>
      </c>
      <c r="AB46">
        <f>HYPERLINK("https://klasma.github.io/Logging_1863/tillsynsmail/A 19948-2026 tillsynsbegäran mail.docx", "A 19948-2026")</f>
        <v/>
      </c>
    </row>
    <row r="47" ht="15" customHeight="1">
      <c r="A47" t="inlineStr">
        <is>
          <t>A 16923-2025</t>
        </is>
      </c>
      <c r="B47" t="inlineStr">
        <is>
          <t>avverkningsanmälan</t>
        </is>
      </c>
      <c r="C47" t="inlineStr">
        <is>
          <t>Föryngringsavverkning</t>
        </is>
      </c>
      <c r="D47" s="1" t="n">
        <v>45755</v>
      </c>
      <c r="E47" s="1" t="n">
        <v>46220</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s="2" t="inlineStr">
        <is>
          <t>Strandlummer</t>
        </is>
      </c>
      <c r="V47">
        <f>HYPERLINK("https://klasma.github.io/Logging_1863/artfynd/A 16923-2025 artfynd.xlsx", "A 16923-2025")</f>
        <v/>
      </c>
      <c r="W47">
        <f>HYPERLINK("https://klasma.github.io/Logging_1863/kartor/A 16923-2025 karta.png", "A 16923-2025")</f>
        <v/>
      </c>
      <c r="Y47">
        <f>HYPERLINK("https://klasma.github.io/Logging_1863/klagomål/A 16923-2025 FSC-klagomål.docx", "A 16923-2025")</f>
        <v/>
      </c>
      <c r="Z47">
        <f>HYPERLINK("https://klasma.github.io/Logging_1863/klagomålsmail/A 16923-2025 FSC-klagomål mail.docx", "A 16923-2025")</f>
        <v/>
      </c>
      <c r="AA47">
        <f>HYPERLINK("https://klasma.github.io/Logging_1863/tillsyn/A 16923-2025 tillsynsbegäran.docx", "A 16923-2025")</f>
        <v/>
      </c>
      <c r="AB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46220</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s="2" t="inlineStr">
        <is>
          <t>Motaggsvamp</t>
        </is>
      </c>
      <c r="V48">
        <f>HYPERLINK("https://klasma.github.io/Logging_1863/artfynd/A 20698-2026 artfynd.xlsx", "A 20698-2026")</f>
        <v/>
      </c>
      <c r="W48">
        <f>HYPERLINK("https://klasma.github.io/Logging_1863/kartor/A 20698-2026 karta.png", "A 20698-2026")</f>
        <v/>
      </c>
      <c r="Y48">
        <f>HYPERLINK("https://klasma.github.io/Logging_1863/klagomål/A 20698-2026 FSC-klagomål.docx", "A 20698-2026")</f>
        <v/>
      </c>
      <c r="Z48">
        <f>HYPERLINK("https://klasma.github.io/Logging_1863/klagomålsmail/A 20698-2026 FSC-klagomål mail.docx", "A 20698-2026")</f>
        <v/>
      </c>
      <c r="AA48">
        <f>HYPERLINK("https://klasma.github.io/Logging_1863/tillsyn/A 20698-2026 tillsynsbegäran.docx", "A 20698-2026")</f>
        <v/>
      </c>
      <c r="AB48">
        <f>HYPERLINK("https://klasma.github.io/Logging_1863/tillsynsmail/A 20698-2026 tillsynsbegäran mail.docx", "A 20698-2026")</f>
        <v/>
      </c>
    </row>
    <row r="49" ht="15" customHeight="1">
      <c r="A49" t="inlineStr">
        <is>
          <t>A 27705-2026</t>
        </is>
      </c>
      <c r="B49" t="inlineStr">
        <is>
          <t>avverkningsanmälan</t>
        </is>
      </c>
      <c r="C49" t="inlineStr">
        <is>
          <t>Föryngringsavverkning</t>
        </is>
      </c>
      <c r="D49" s="1" t="n">
        <v>46190</v>
      </c>
      <c r="E49" s="1" t="n">
        <v>46220</v>
      </c>
      <c r="F49" t="inlineStr">
        <is>
          <t>ÖREBRO LÄN</t>
        </is>
      </c>
      <c r="G49" t="inlineStr">
        <is>
          <t>HÄLLEFORS</t>
        </is>
      </c>
      <c r="I49" t="n">
        <v>8.1</v>
      </c>
      <c r="J49" t="n">
        <v>0</v>
      </c>
      <c r="K49" t="n">
        <v>1</v>
      </c>
      <c r="L49" t="n">
        <v>0</v>
      </c>
      <c r="M49" t="n">
        <v>0</v>
      </c>
      <c r="N49" t="n">
        <v>0</v>
      </c>
      <c r="O49" t="n">
        <v>0</v>
      </c>
      <c r="P49" t="n">
        <v>0</v>
      </c>
      <c r="Q49" t="n">
        <v>0</v>
      </c>
      <c r="R49" t="n">
        <v>0</v>
      </c>
      <c r="S49" t="n">
        <v>1</v>
      </c>
      <c r="T49" t="n">
        <v>1</v>
      </c>
      <c r="U49" s="2" t="inlineStr">
        <is>
          <t>Toppvaxing</t>
        </is>
      </c>
      <c r="V49">
        <f>HYPERLINK("https://klasma.github.io/Logging_1863/artfynd/A 27705-2026 artfynd.xlsx", "A 27705-2026")</f>
        <v/>
      </c>
      <c r="W49">
        <f>HYPERLINK("https://klasma.github.io/Logging_1863/kartor/A 27705-2026 karta.png", "A 27705-2026")</f>
        <v/>
      </c>
      <c r="Y49">
        <f>HYPERLINK("https://klasma.github.io/Logging_1863/klagomål/A 27705-2026 FSC-klagomål.docx", "A 27705-2026")</f>
        <v/>
      </c>
      <c r="Z49">
        <f>HYPERLINK("https://klasma.github.io/Logging_1863/klagomålsmail/A 27705-2026 FSC-klagomål mail.docx", "A 27705-2026")</f>
        <v/>
      </c>
      <c r="AA49">
        <f>HYPERLINK("https://klasma.github.io/Logging_1863/tillsyn/A 27705-2026 tillsynsbegäran.docx", "A 27705-2026")</f>
        <v/>
      </c>
      <c r="AB49">
        <f>HYPERLINK("https://klasma.github.io/Logging_1863/tillsynsmail/A 27705-2026 tillsynsbegäran mail.docx", "A 27705-2026")</f>
        <v/>
      </c>
    </row>
    <row r="50" ht="15" customHeight="1">
      <c r="A50" t="inlineStr">
        <is>
          <t>A 22246-2026</t>
        </is>
      </c>
      <c r="B50" t="inlineStr">
        <is>
          <t>avverkningsanmälan</t>
        </is>
      </c>
      <c r="C50" t="inlineStr">
        <is>
          <t>Föryngringsavverkning</t>
        </is>
      </c>
      <c r="D50" s="1" t="n">
        <v>46154</v>
      </c>
      <c r="E50" s="1" t="n">
        <v>46220</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s="2" t="inlineStr">
        <is>
          <t>Revlummer</t>
        </is>
      </c>
      <c r="V50">
        <f>HYPERLINK("https://klasma.github.io/Logging_1863/artfynd/A 22246-2026 artfynd.xlsx", "A 22246-2026")</f>
        <v/>
      </c>
      <c r="W50">
        <f>HYPERLINK("https://klasma.github.io/Logging_1863/kartor/A 22246-2026 karta.png", "A 22246-2026")</f>
        <v/>
      </c>
      <c r="Y50">
        <f>HYPERLINK("https://klasma.github.io/Logging_1863/klagomål/A 22246-2026 FSC-klagomål.docx", "A 22246-2026")</f>
        <v/>
      </c>
      <c r="Z50">
        <f>HYPERLINK("https://klasma.github.io/Logging_1863/klagomålsmail/A 22246-2026 FSC-klagomål mail.docx", "A 22246-2026")</f>
        <v/>
      </c>
      <c r="AA50">
        <f>HYPERLINK("https://klasma.github.io/Logging_1863/tillsyn/A 22246-2026 tillsynsbegäran.docx", "A 22246-2026")</f>
        <v/>
      </c>
      <c r="AB50">
        <f>HYPERLINK("https://klasma.github.io/Logging_1863/tillsynsmail/A 22246-2026 tillsynsbegäran mail.docx", "A 22246-2026")</f>
        <v/>
      </c>
    </row>
    <row r="51" ht="15" customHeight="1">
      <c r="A51" t="inlineStr">
        <is>
          <t>A 22249-2026</t>
        </is>
      </c>
      <c r="B51" t="inlineStr">
        <is>
          <t>avverkningsanmälan</t>
        </is>
      </c>
      <c r="C51" t="inlineStr">
        <is>
          <t>Föryngringsavverkning</t>
        </is>
      </c>
      <c r="D51" s="1" t="n">
        <v>46154</v>
      </c>
      <c r="E51" s="1" t="n">
        <v>46220</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s="2" t="inlineStr">
        <is>
          <t>Garnlav</t>
        </is>
      </c>
      <c r="V51">
        <f>HYPERLINK("https://klasma.github.io/Logging_1863/artfynd/A 22249-2026 artfynd.xlsx", "A 22249-2026")</f>
        <v/>
      </c>
      <c r="W51">
        <f>HYPERLINK("https://klasma.github.io/Logging_1863/kartor/A 22249-2026 karta.png", "A 22249-2026")</f>
        <v/>
      </c>
      <c r="Y51">
        <f>HYPERLINK("https://klasma.github.io/Logging_1863/klagomål/A 22249-2026 FSC-klagomål.docx", "A 22249-2026")</f>
        <v/>
      </c>
      <c r="Z51">
        <f>HYPERLINK("https://klasma.github.io/Logging_1863/klagomålsmail/A 22249-2026 FSC-klagomål mail.docx", "A 22249-2026")</f>
        <v/>
      </c>
      <c r="AA51">
        <f>HYPERLINK("https://klasma.github.io/Logging_1863/tillsyn/A 22249-2026 tillsynsbegäran.docx", "A 22249-2026")</f>
        <v/>
      </c>
      <c r="AB51">
        <f>HYPERLINK("https://klasma.github.io/Logging_1863/tillsynsmail/A 22249-2026 tillsynsbegäran mail.docx", "A 22249-2026")</f>
        <v/>
      </c>
    </row>
    <row r="52" ht="15" customHeight="1">
      <c r="A52" t="inlineStr">
        <is>
          <t>A 23423-2026</t>
        </is>
      </c>
      <c r="B52" t="inlineStr">
        <is>
          <t>avverkningsanmälan</t>
        </is>
      </c>
      <c r="C52" t="inlineStr">
        <is>
          <t>Föryngringsavverkning</t>
        </is>
      </c>
      <c r="D52" s="1" t="n">
        <v>46163</v>
      </c>
      <c r="E52" s="1" t="n">
        <v>46220</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s="2" t="inlineStr">
        <is>
          <t>Revlummer</t>
        </is>
      </c>
      <c r="V52">
        <f>HYPERLINK("https://klasma.github.io/Logging_1863/artfynd/A 23423-2026 artfynd.xlsx", "A 23423-2026")</f>
        <v/>
      </c>
      <c r="W52">
        <f>HYPERLINK("https://klasma.github.io/Logging_1863/kartor/A 23423-2026 karta.png", "A 23423-2026")</f>
        <v/>
      </c>
      <c r="Y52">
        <f>HYPERLINK("https://klasma.github.io/Logging_1863/klagomål/A 23423-2026 FSC-klagomål.docx", "A 23423-2026")</f>
        <v/>
      </c>
      <c r="Z52">
        <f>HYPERLINK("https://klasma.github.io/Logging_1863/klagomålsmail/A 23423-2026 FSC-klagomål mail.docx", "A 23423-2026")</f>
        <v/>
      </c>
      <c r="AA52">
        <f>HYPERLINK("https://klasma.github.io/Logging_1863/tillsyn/A 23423-2026 tillsynsbegäran.docx", "A 23423-2026")</f>
        <v/>
      </c>
      <c r="AB52">
        <f>HYPERLINK("https://klasma.github.io/Logging_1863/tillsynsmail/A 23423-2026 tillsynsbegäran mail.docx", "A 23423-2026")</f>
        <v/>
      </c>
    </row>
    <row r="53" ht="15" customHeight="1">
      <c r="A53" t="inlineStr">
        <is>
          <t>A 53892-2023</t>
        </is>
      </c>
      <c r="B53" t="inlineStr">
        <is>
          <t>avverkningsanmälan</t>
        </is>
      </c>
      <c r="C53" t="inlineStr">
        <is>
          <t>Föryngringsavverkning</t>
        </is>
      </c>
      <c r="D53" s="1" t="n">
        <v>45231</v>
      </c>
      <c r="E53" s="1" t="n">
        <v>46220</v>
      </c>
      <c r="F53" t="inlineStr">
        <is>
          <t>ÖREBRO LÄN</t>
        </is>
      </c>
      <c r="G53" t="inlineStr">
        <is>
          <t>HÄLLEFORS</t>
        </is>
      </c>
      <c r="I53" t="n">
        <v>2.3</v>
      </c>
      <c r="J53" t="n">
        <v>1</v>
      </c>
      <c r="K53" t="n">
        <v>0</v>
      </c>
      <c r="L53" t="n">
        <v>0</v>
      </c>
      <c r="M53" t="n">
        <v>0</v>
      </c>
      <c r="N53" t="n">
        <v>0</v>
      </c>
      <c r="O53" t="n">
        <v>0</v>
      </c>
      <c r="P53" t="n">
        <v>0</v>
      </c>
      <c r="Q53" t="n">
        <v>0</v>
      </c>
      <c r="R53" t="n">
        <v>0</v>
      </c>
      <c r="S53" t="n">
        <v>1</v>
      </c>
      <c r="T53" t="n">
        <v>5</v>
      </c>
      <c r="U53" s="2" t="inlineStr">
        <is>
          <t>Fläcknycklar</t>
        </is>
      </c>
      <c r="V53">
        <f>HYPERLINK("https://klasma.github.io/Logging_1863/artfynd/A 53892-2023 artfynd.xlsx", "A 53892-2023")</f>
        <v/>
      </c>
      <c r="W53">
        <f>HYPERLINK("https://klasma.github.io/Logging_1863/kartor/A 53892-2023 karta.png", "A 53892-2023")</f>
        <v/>
      </c>
      <c r="Y53">
        <f>HYPERLINK("https://klasma.github.io/Logging_1863/klagomål/A 53892-2023 FSC-klagomål.docx", "A 53892-2023")</f>
        <v/>
      </c>
      <c r="Z53">
        <f>HYPERLINK("https://klasma.github.io/Logging_1863/klagomålsmail/A 53892-2023 FSC-klagomål mail.docx", "A 53892-2023")</f>
        <v/>
      </c>
      <c r="AA53">
        <f>HYPERLINK("https://klasma.github.io/Logging_1863/tillsyn/A 53892-2023 tillsynsbegäran.docx", "A 53892-2023")</f>
        <v/>
      </c>
      <c r="AB53">
        <f>HYPERLINK("https://klasma.github.io/Logging_1863/tillsynsmail/A 53892-2023 tillsynsbegäran mail.docx", "A 53892-2023")</f>
        <v/>
      </c>
    </row>
    <row r="54" ht="15" customHeight="1">
      <c r="A54" t="inlineStr">
        <is>
          <t>A 57421-2025</t>
        </is>
      </c>
      <c r="B54" t="inlineStr">
        <is>
          <t>avverkningsanmälan</t>
        </is>
      </c>
      <c r="C54" t="inlineStr">
        <is>
          <t>Föryngringsavverkning</t>
        </is>
      </c>
      <c r="D54" s="1" t="n">
        <v>45980</v>
      </c>
      <c r="E54" s="1" t="n">
        <v>46220</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s="2" t="inlineStr">
        <is>
          <t>Gropticka</t>
        </is>
      </c>
      <c r="V54">
        <f>HYPERLINK("https://klasma.github.io/Logging_1863/artfynd/A 57421-2025 artfynd.xlsx", "A 57421-2025")</f>
        <v/>
      </c>
      <c r="W54">
        <f>HYPERLINK("https://klasma.github.io/Logging_1863/kartor/A 57421-2025 karta.png", "A 57421-2025")</f>
        <v/>
      </c>
      <c r="Y54">
        <f>HYPERLINK("https://klasma.github.io/Logging_1863/klagomål/A 57421-2025 FSC-klagomål.docx", "A 57421-2025")</f>
        <v/>
      </c>
      <c r="Z54">
        <f>HYPERLINK("https://klasma.github.io/Logging_1863/klagomålsmail/A 57421-2025 FSC-klagomål mail.docx", "A 57421-2025")</f>
        <v/>
      </c>
      <c r="AA54">
        <f>HYPERLINK("https://klasma.github.io/Logging_1863/tillsyn/A 57421-2025 tillsynsbegäran.docx", "A 57421-2025")</f>
        <v/>
      </c>
      <c r="AB54">
        <f>HYPERLINK("https://klasma.github.io/Logging_1863/tillsynsmail/A 57421-2025 tillsynsbegäran mail.docx", "A 57421-2025")</f>
        <v/>
      </c>
    </row>
    <row r="55" ht="15" customHeight="1">
      <c r="A55" t="inlineStr">
        <is>
          <t>A 45694-2023</t>
        </is>
      </c>
      <c r="B55" t="inlineStr">
        <is>
          <t>avverkningsanmälan</t>
        </is>
      </c>
      <c r="C55" t="inlineStr">
        <is>
          <t>Föryngringsavverkning</t>
        </is>
      </c>
      <c r="D55" s="1" t="n">
        <v>45195</v>
      </c>
      <c r="E55" s="1" t="n">
        <v>46220</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s="2" t="inlineStr">
        <is>
          <t>Kopparödla</t>
        </is>
      </c>
      <c r="V55">
        <f>HYPERLINK("https://klasma.github.io/Logging_1863/artfynd/A 45694-2023 artfynd.xlsx", "A 45694-2023")</f>
        <v/>
      </c>
      <c r="W55">
        <f>HYPERLINK("https://klasma.github.io/Logging_1863/kartor/A 45694-2023 karta.png", "A 45694-2023")</f>
        <v/>
      </c>
      <c r="Y55">
        <f>HYPERLINK("https://klasma.github.io/Logging_1863/klagomål/A 45694-2023 FSC-klagomål.docx", "A 45694-2023")</f>
        <v/>
      </c>
      <c r="Z55">
        <f>HYPERLINK("https://klasma.github.io/Logging_1863/klagomålsmail/A 45694-2023 FSC-klagomål mail.docx", "A 45694-2023")</f>
        <v/>
      </c>
      <c r="AA55">
        <f>HYPERLINK("https://klasma.github.io/Logging_1863/tillsyn/A 45694-2023 tillsynsbegäran.docx", "A 45694-2023")</f>
        <v/>
      </c>
      <c r="AB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46220</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s="2" t="inlineStr">
        <is>
          <t>Mattlummer</t>
        </is>
      </c>
      <c r="V56">
        <f>HYPERLINK("https://klasma.github.io/Logging_1863/artfynd/A 39178-2022 artfynd.xlsx", "A 39178-2022")</f>
        <v/>
      </c>
      <c r="W56">
        <f>HYPERLINK("https://klasma.github.io/Logging_1863/kartor/A 39178-2022 karta.png", "A 39178-2022")</f>
        <v/>
      </c>
      <c r="Y56">
        <f>HYPERLINK("https://klasma.github.io/Logging_1863/klagomål/A 39178-2022 FSC-klagomål.docx", "A 39178-2022")</f>
        <v/>
      </c>
      <c r="Z56">
        <f>HYPERLINK("https://klasma.github.io/Logging_1863/klagomålsmail/A 39178-2022 FSC-klagomål mail.docx", "A 39178-2022")</f>
        <v/>
      </c>
      <c r="AA56">
        <f>HYPERLINK("https://klasma.github.io/Logging_1863/tillsyn/A 39178-2022 tillsynsbegäran.docx", "A 39178-2022")</f>
        <v/>
      </c>
      <c r="AB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46220</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s="2" t="inlineStr">
        <is>
          <t>Blek stjärnmossa</t>
        </is>
      </c>
      <c r="V57">
        <f>HYPERLINK("https://klasma.github.io/Logging_1863/artfynd/A 421-2025 artfynd.xlsx", "A 421-2025")</f>
        <v/>
      </c>
      <c r="W57">
        <f>HYPERLINK("https://klasma.github.io/Logging_1863/kartor/A 421-2025 karta.png", "A 421-2025")</f>
        <v/>
      </c>
      <c r="Y57">
        <f>HYPERLINK("https://klasma.github.io/Logging_1863/klagomål/A 421-2025 FSC-klagomål.docx", "A 421-2025")</f>
        <v/>
      </c>
      <c r="Z57">
        <f>HYPERLINK("https://klasma.github.io/Logging_1863/klagomålsmail/A 421-2025 FSC-klagomål mail.docx", "A 421-2025")</f>
        <v/>
      </c>
      <c r="AA57">
        <f>HYPERLINK("https://klasma.github.io/Logging_1863/tillsyn/A 421-2025 tillsynsbegäran.docx", "A 421-2025")</f>
        <v/>
      </c>
      <c r="AB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46220</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s="2" t="inlineStr">
        <is>
          <t>Garnlav</t>
        </is>
      </c>
      <c r="V58">
        <f>HYPERLINK("https://klasma.github.io/Logging_1863/artfynd/A 55749-2024 artfynd.xlsx", "A 55749-2024")</f>
        <v/>
      </c>
      <c r="W58">
        <f>HYPERLINK("https://klasma.github.io/Logging_1863/kartor/A 55749-2024 karta.png", "A 55749-2024")</f>
        <v/>
      </c>
      <c r="Y58">
        <f>HYPERLINK("https://klasma.github.io/Logging_1863/klagomål/A 55749-2024 FSC-klagomål.docx", "A 55749-2024")</f>
        <v/>
      </c>
      <c r="Z58">
        <f>HYPERLINK("https://klasma.github.io/Logging_1863/klagomålsmail/A 55749-2024 FSC-klagomål mail.docx", "A 55749-2024")</f>
        <v/>
      </c>
      <c r="AA58">
        <f>HYPERLINK("https://klasma.github.io/Logging_1863/tillsyn/A 55749-2024 tillsynsbegäran.docx", "A 55749-2024")</f>
        <v/>
      </c>
      <c r="AB58">
        <f>HYPERLINK("https://klasma.github.io/Logging_1863/tillsynsmail/A 55749-2024 tillsynsbegäran mail.docx", "A 55749-2024")</f>
        <v/>
      </c>
    </row>
    <row r="59" ht="15" customHeight="1">
      <c r="A59" t="inlineStr">
        <is>
          <t>S 2038-2022</t>
        </is>
      </c>
      <c r="B59" t="inlineStr">
        <is>
          <t>samrådsanmälan</t>
        </is>
      </c>
      <c r="C59" t="inlineStr">
        <is>
          <t>Åtgärd i nyckelbiotop</t>
        </is>
      </c>
      <c r="D59" s="1" t="n">
        <v>44671</v>
      </c>
      <c r="E59" s="1" t="n">
        <v>46220</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s="2" t="inlineStr">
        <is>
          <t>Norsk näverlav</t>
        </is>
      </c>
      <c r="V59">
        <f>HYPERLINK("https://klasma.github.io/Logging_1863/artfynd/S 2038-2022 artfynd.xlsx", "S 2038-2022")</f>
        <v/>
      </c>
      <c r="W59">
        <f>HYPERLINK("https://klasma.github.io/Logging_1863/kartor/S 2038-2022 karta.png", "S 2038-2022")</f>
        <v/>
      </c>
      <c r="Y59">
        <f>HYPERLINK("https://klasma.github.io/Logging_1863/klagomål/S 2038-2022 FSC-klagomål.docx", "S 2038-2022")</f>
        <v/>
      </c>
      <c r="Z59">
        <f>HYPERLINK("https://klasma.github.io/Logging_1863/klagomålsmail/S 2038-2022 FSC-klagomål mail.docx", "S 2038-2022")</f>
        <v/>
      </c>
      <c r="AA59">
        <f>HYPERLINK("https://klasma.github.io/Logging_1863/tillsyn/S 2038-2022 tillsynsbegäran.docx", "S 2038-2022")</f>
        <v/>
      </c>
      <c r="AB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46220</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s="2" t="inlineStr">
        <is>
          <t>Motaggsvamp</t>
        </is>
      </c>
      <c r="V60">
        <f>HYPERLINK("https://klasma.github.io/Logging_1863/artfynd/S 1216-2026 artfynd.xlsx", "S 1216-2026")</f>
        <v/>
      </c>
      <c r="W60">
        <f>HYPERLINK("https://klasma.github.io/Logging_1863/kartor/S 1216-2026 karta.png", "S 1216-2026")</f>
        <v/>
      </c>
      <c r="Y60">
        <f>HYPERLINK("https://klasma.github.io/Logging_1863/klagomål/S 1216-2026 FSC-klagomål.docx", "S 1216-2026")</f>
        <v/>
      </c>
      <c r="Z60">
        <f>HYPERLINK("https://klasma.github.io/Logging_1863/klagomålsmail/S 1216-2026 FSC-klagomål mail.docx", "S 1216-2026")</f>
        <v/>
      </c>
      <c r="AA60">
        <f>HYPERLINK("https://klasma.github.io/Logging_1863/tillsyn/S 1216-2026 tillsynsbegäran.docx", "S 1216-2026")</f>
        <v/>
      </c>
      <c r="AB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46220</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s="2" t="inlineStr"/>
    </row>
    <row r="62" ht="15" customHeight="1">
      <c r="A62" t="inlineStr">
        <is>
          <t>A 34653-2022</t>
        </is>
      </c>
      <c r="B62" t="inlineStr">
        <is>
          <t>avverkningsanmälan</t>
        </is>
      </c>
      <c r="C62" t="inlineStr">
        <is>
          <t>Föryngringsavverkning</t>
        </is>
      </c>
      <c r="D62" s="1" t="n">
        <v>44795</v>
      </c>
      <c r="E62" s="1" t="n">
        <v>46220</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s="2" t="inlineStr"/>
    </row>
    <row r="63" ht="15" customHeight="1">
      <c r="A63" t="inlineStr">
        <is>
          <t>A 49787-2022</t>
        </is>
      </c>
      <c r="B63" t="inlineStr">
        <is>
          <t>avverkningsanmälan</t>
        </is>
      </c>
      <c r="C63" t="inlineStr">
        <is>
          <t>Avverkning för annat ändamål</t>
        </is>
      </c>
      <c r="D63" s="1" t="n">
        <v>44862</v>
      </c>
      <c r="E63" s="1" t="n">
        <v>46220</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s="2" t="inlineStr"/>
    </row>
    <row r="64" ht="15" customHeight="1">
      <c r="A64" t="inlineStr">
        <is>
          <t>A 39876-2022</t>
        </is>
      </c>
      <c r="B64" t="inlineStr">
        <is>
          <t>avverkningsanmälan</t>
        </is>
      </c>
      <c r="C64" t="inlineStr">
        <is>
          <t>Föryngringsavverkning</t>
        </is>
      </c>
      <c r="D64" s="1" t="n">
        <v>44819</v>
      </c>
      <c r="E64" s="1" t="n">
        <v>46220</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s="2" t="inlineStr"/>
    </row>
    <row r="65" ht="15" customHeight="1">
      <c r="A65" t="inlineStr">
        <is>
          <t>A 28558-2022</t>
        </is>
      </c>
      <c r="B65" t="inlineStr">
        <is>
          <t>avverkningsanmälan</t>
        </is>
      </c>
      <c r="C65" t="inlineStr">
        <is>
          <t>Avverkning för annat ändamål</t>
        </is>
      </c>
      <c r="D65" s="1" t="n">
        <v>44748</v>
      </c>
      <c r="E65" s="1" t="n">
        <v>46220</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s="2" t="inlineStr"/>
    </row>
    <row r="66" ht="15" customHeight="1">
      <c r="A66" t="inlineStr">
        <is>
          <t>A 23022-2022</t>
        </is>
      </c>
      <c r="B66" t="inlineStr">
        <is>
          <t>avverkningsanmälan</t>
        </is>
      </c>
      <c r="C66" t="inlineStr">
        <is>
          <t>Föryngringsavverkning</t>
        </is>
      </c>
      <c r="D66" s="1" t="n">
        <v>44719</v>
      </c>
      <c r="E66" s="1" t="n">
        <v>46220</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s="2" t="inlineStr"/>
    </row>
    <row r="67" ht="15" customHeight="1">
      <c r="A67" t="inlineStr">
        <is>
          <t>A 34480-2022</t>
        </is>
      </c>
      <c r="B67" t="inlineStr">
        <is>
          <t>avverkningsanmälan</t>
        </is>
      </c>
      <c r="C67" t="inlineStr">
        <is>
          <t>Föryngringsavverkning</t>
        </is>
      </c>
      <c r="D67" s="1" t="n">
        <v>44792</v>
      </c>
      <c r="E67" s="1" t="n">
        <v>46220</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s="2" t="inlineStr"/>
    </row>
    <row r="68" ht="15" customHeight="1">
      <c r="A68" t="inlineStr">
        <is>
          <t>A 34355-2022</t>
        </is>
      </c>
      <c r="B68" t="inlineStr">
        <is>
          <t>avverkningsanmälan</t>
        </is>
      </c>
      <c r="C68" t="inlineStr">
        <is>
          <t>Föryngringsavverkning</t>
        </is>
      </c>
      <c r="D68" s="1" t="n">
        <v>44792</v>
      </c>
      <c r="E68" s="1" t="n">
        <v>46220</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s="2" t="inlineStr"/>
    </row>
    <row r="69" ht="15" customHeight="1">
      <c r="A69" t="inlineStr">
        <is>
          <t>A 49154-2021</t>
        </is>
      </c>
      <c r="B69" t="inlineStr">
        <is>
          <t>avverkningsanmälan</t>
        </is>
      </c>
      <c r="C69" t="inlineStr">
        <is>
          <t>Föryngringsavverkning</t>
        </is>
      </c>
      <c r="D69" s="1" t="n">
        <v>44453</v>
      </c>
      <c r="E69" s="1" t="n">
        <v>46220</v>
      </c>
      <c r="F69" t="inlineStr">
        <is>
          <t>ÖREBRO LÄN</t>
        </is>
      </c>
      <c r="G69" t="inlineStr">
        <is>
          <t>HÄLLEFORS</t>
        </is>
      </c>
      <c r="I69" t="n">
        <v>0.7</v>
      </c>
      <c r="J69" t="n">
        <v>0</v>
      </c>
      <c r="K69" t="n">
        <v>0</v>
      </c>
      <c r="L69" t="n">
        <v>0</v>
      </c>
      <c r="M69" t="n">
        <v>0</v>
      </c>
      <c r="N69" t="n">
        <v>0</v>
      </c>
      <c r="O69" t="n">
        <v>0</v>
      </c>
      <c r="P69" t="n">
        <v>0</v>
      </c>
      <c r="Q69" t="n">
        <v>0</v>
      </c>
      <c r="R69" t="n">
        <v>0</v>
      </c>
      <c r="S69" t="n">
        <v>0</v>
      </c>
      <c r="T69" t="n">
        <v>0</v>
      </c>
      <c r="U69" s="2" t="inlineStr"/>
    </row>
    <row r="70" ht="15" customHeight="1">
      <c r="A70" t="inlineStr">
        <is>
          <t>A 23665-2022</t>
        </is>
      </c>
      <c r="B70" t="inlineStr">
        <is>
          <t>avverkningsanmälan</t>
        </is>
      </c>
      <c r="C70" t="inlineStr">
        <is>
          <t>Föryngringsavverkning</t>
        </is>
      </c>
      <c r="D70" s="1" t="n">
        <v>44721</v>
      </c>
      <c r="E70" s="1" t="n">
        <v>46220</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s="2" t="inlineStr"/>
    </row>
    <row r="71" ht="15" customHeight="1">
      <c r="A71" t="inlineStr">
        <is>
          <t>A 7294-2022</t>
        </is>
      </c>
      <c r="B71" t="inlineStr">
        <is>
          <t>avverkningsanmälan</t>
        </is>
      </c>
      <c r="C71" t="inlineStr">
        <is>
          <t>Föryngringsavverkning</t>
        </is>
      </c>
      <c r="D71" s="1" t="n">
        <v>44606</v>
      </c>
      <c r="E71" s="1" t="n">
        <v>46220</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s="2" t="inlineStr"/>
    </row>
    <row r="72" ht="15" customHeight="1">
      <c r="A72" t="inlineStr">
        <is>
          <t>A 65240-2021</t>
        </is>
      </c>
      <c r="B72" t="inlineStr">
        <is>
          <t>avverkningsanmälan</t>
        </is>
      </c>
      <c r="C72" t="inlineStr">
        <is>
          <t>Avverkning för annat ändamål</t>
        </is>
      </c>
      <c r="D72" s="1" t="n">
        <v>44515</v>
      </c>
      <c r="E72" s="1" t="n">
        <v>46220</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s="2" t="inlineStr"/>
    </row>
    <row r="73" ht="15" customHeight="1">
      <c r="A73" t="inlineStr">
        <is>
          <t>A 22673-2022</t>
        </is>
      </c>
      <c r="B73" t="inlineStr">
        <is>
          <t>avverkningsanmälan</t>
        </is>
      </c>
      <c r="C73" t="inlineStr">
        <is>
          <t>Föryngringsavverkning</t>
        </is>
      </c>
      <c r="D73" s="1" t="n">
        <v>44714</v>
      </c>
      <c r="E73" s="1" t="n">
        <v>46220</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s="2" t="inlineStr"/>
    </row>
    <row r="74" ht="15" customHeight="1">
      <c r="A74" t="inlineStr">
        <is>
          <t>A 51605-2022</t>
        </is>
      </c>
      <c r="B74" t="inlineStr">
        <is>
          <t>avverkningsanmälan</t>
        </is>
      </c>
      <c r="C74" t="inlineStr">
        <is>
          <t>Föryngringsavverkning</t>
        </is>
      </c>
      <c r="D74" s="1" t="n">
        <v>44871</v>
      </c>
      <c r="E74" s="1" t="n">
        <v>46220</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s="2" t="inlineStr"/>
    </row>
    <row r="75" ht="15" customHeight="1">
      <c r="A75" t="inlineStr">
        <is>
          <t>A 67780-2021</t>
        </is>
      </c>
      <c r="B75" t="inlineStr">
        <is>
          <t>avverkningsanmälan</t>
        </is>
      </c>
      <c r="C75" t="inlineStr">
        <is>
          <t>Föryngringsavverkning</t>
        </is>
      </c>
      <c r="D75" s="1" t="n">
        <v>44525</v>
      </c>
      <c r="E75" s="1" t="n">
        <v>46220</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s="2" t="inlineStr"/>
    </row>
    <row r="76" ht="15" customHeight="1">
      <c r="A76" t="inlineStr">
        <is>
          <t>A 48184-2022</t>
        </is>
      </c>
      <c r="B76" t="inlineStr">
        <is>
          <t>avverkningsanmälan</t>
        </is>
      </c>
      <c r="C76" t="inlineStr">
        <is>
          <t>Föryngringsavverkning</t>
        </is>
      </c>
      <c r="D76" s="1" t="n">
        <v>44858</v>
      </c>
      <c r="E76" s="1" t="n">
        <v>46220</v>
      </c>
      <c r="F76" t="inlineStr">
        <is>
          <t>ÖREBRO LÄN</t>
        </is>
      </c>
      <c r="G76" t="inlineStr">
        <is>
          <t>HÄLLEFORS</t>
        </is>
      </c>
      <c r="H76" t="inlineStr">
        <is>
          <t>Bergvik skog väst AB</t>
        </is>
      </c>
      <c r="I76" t="n">
        <v>5.1</v>
      </c>
      <c r="J76" t="n">
        <v>0</v>
      </c>
      <c r="K76" t="n">
        <v>0</v>
      </c>
      <c r="L76" t="n">
        <v>0</v>
      </c>
      <c r="M76" t="n">
        <v>0</v>
      </c>
      <c r="N76" t="n">
        <v>0</v>
      </c>
      <c r="O76" t="n">
        <v>0</v>
      </c>
      <c r="P76" t="n">
        <v>0</v>
      </c>
      <c r="Q76" t="n">
        <v>0</v>
      </c>
      <c r="R76" t="n">
        <v>0</v>
      </c>
      <c r="S76" t="n">
        <v>0</v>
      </c>
      <c r="T76" t="n">
        <v>0</v>
      </c>
      <c r="U76" s="2" t="inlineStr"/>
    </row>
    <row r="77" ht="15" customHeight="1">
      <c r="A77" t="inlineStr">
        <is>
          <t>A 34313-2022</t>
        </is>
      </c>
      <c r="B77" t="inlineStr">
        <is>
          <t>avverkningsanmälan</t>
        </is>
      </c>
      <c r="C77" t="inlineStr">
        <is>
          <t>Föryngringsavverkning</t>
        </is>
      </c>
      <c r="D77" s="1" t="n">
        <v>44792</v>
      </c>
      <c r="E77" s="1" t="n">
        <v>46220</v>
      </c>
      <c r="F77" t="inlineStr">
        <is>
          <t>ÖREBRO LÄN</t>
        </is>
      </c>
      <c r="G77" t="inlineStr">
        <is>
          <t>HÄLLEFORS</t>
        </is>
      </c>
      <c r="H77" t="inlineStr">
        <is>
          <t>Bergvik skog väst AB</t>
        </is>
      </c>
      <c r="I77" t="n">
        <v>0.8</v>
      </c>
      <c r="J77" t="n">
        <v>0</v>
      </c>
      <c r="K77" t="n">
        <v>0</v>
      </c>
      <c r="L77" t="n">
        <v>0</v>
      </c>
      <c r="M77" t="n">
        <v>0</v>
      </c>
      <c r="N77" t="n">
        <v>0</v>
      </c>
      <c r="O77" t="n">
        <v>0</v>
      </c>
      <c r="P77" t="n">
        <v>0</v>
      </c>
      <c r="Q77" t="n">
        <v>0</v>
      </c>
      <c r="R77" t="n">
        <v>0</v>
      </c>
      <c r="S77" t="n">
        <v>0</v>
      </c>
      <c r="T77" t="n">
        <v>0</v>
      </c>
      <c r="U77" s="2" t="inlineStr"/>
    </row>
    <row r="78" ht="15" customHeight="1">
      <c r="A78" t="inlineStr">
        <is>
          <t>A 38245-2022</t>
        </is>
      </c>
      <c r="B78" t="inlineStr">
        <is>
          <t>avverkningsanmälan</t>
        </is>
      </c>
      <c r="C78" t="inlineStr">
        <is>
          <t>Föryngringsavverkning</t>
        </is>
      </c>
      <c r="D78" s="1" t="n">
        <v>44812</v>
      </c>
      <c r="E78" s="1" t="n">
        <v>46220</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s="2" t="inlineStr"/>
    </row>
    <row r="79" ht="15" customHeight="1">
      <c r="A79" t="inlineStr">
        <is>
          <t>A 9424-2022</t>
        </is>
      </c>
      <c r="B79" t="inlineStr">
        <is>
          <t>avverkningsanmälan</t>
        </is>
      </c>
      <c r="C79" t="inlineStr">
        <is>
          <t>Föryngringsavverkning</t>
        </is>
      </c>
      <c r="D79" s="1" t="n">
        <v>44616</v>
      </c>
      <c r="E79" s="1" t="n">
        <v>46220</v>
      </c>
      <c r="F79" t="inlineStr">
        <is>
          <t>ÖREBRO LÄN</t>
        </is>
      </c>
      <c r="G79" t="inlineStr">
        <is>
          <t>HÄLLEFORS</t>
        </is>
      </c>
      <c r="I79" t="n">
        <v>2.9</v>
      </c>
      <c r="J79" t="n">
        <v>0</v>
      </c>
      <c r="K79" t="n">
        <v>0</v>
      </c>
      <c r="L79" t="n">
        <v>0</v>
      </c>
      <c r="M79" t="n">
        <v>0</v>
      </c>
      <c r="N79" t="n">
        <v>0</v>
      </c>
      <c r="O79" t="n">
        <v>0</v>
      </c>
      <c r="P79" t="n">
        <v>0</v>
      </c>
      <c r="Q79" t="n">
        <v>0</v>
      </c>
      <c r="R79" t="n">
        <v>0</v>
      </c>
      <c r="S79" t="n">
        <v>0</v>
      </c>
      <c r="T79" t="n">
        <v>0</v>
      </c>
      <c r="U79" s="2" t="inlineStr"/>
    </row>
    <row r="80" ht="15" customHeight="1">
      <c r="A80" t="inlineStr">
        <is>
          <t>A 55299-2022</t>
        </is>
      </c>
      <c r="B80" t="inlineStr">
        <is>
          <t>avverkningsanmälan</t>
        </is>
      </c>
      <c r="C80" t="inlineStr">
        <is>
          <t>Föryngringsavverkning</t>
        </is>
      </c>
      <c r="D80" s="1" t="n">
        <v>44887</v>
      </c>
      <c r="E80" s="1" t="n">
        <v>46220</v>
      </c>
      <c r="F80" t="inlineStr">
        <is>
          <t>ÖREBRO LÄN</t>
        </is>
      </c>
      <c r="G80" t="inlineStr">
        <is>
          <t>HÄLLEFORS</t>
        </is>
      </c>
      <c r="H80" t="inlineStr">
        <is>
          <t>Bergvik skog väst AB</t>
        </is>
      </c>
      <c r="I80" t="n">
        <v>0.7</v>
      </c>
      <c r="J80" t="n">
        <v>0</v>
      </c>
      <c r="K80" t="n">
        <v>0</v>
      </c>
      <c r="L80" t="n">
        <v>0</v>
      </c>
      <c r="M80" t="n">
        <v>0</v>
      </c>
      <c r="N80" t="n">
        <v>0</v>
      </c>
      <c r="O80" t="n">
        <v>0</v>
      </c>
      <c r="P80" t="n">
        <v>0</v>
      </c>
      <c r="Q80" t="n">
        <v>0</v>
      </c>
      <c r="R80" t="n">
        <v>0</v>
      </c>
      <c r="S80" t="n">
        <v>0</v>
      </c>
      <c r="T80" t="n">
        <v>0</v>
      </c>
      <c r="U80" s="2" t="inlineStr"/>
    </row>
    <row r="81" ht="15" customHeight="1">
      <c r="A81" t="inlineStr">
        <is>
          <t>A 37783-2022</t>
        </is>
      </c>
      <c r="B81" t="inlineStr">
        <is>
          <t>avverkningsanmälan</t>
        </is>
      </c>
      <c r="C81" t="inlineStr">
        <is>
          <t>Föryngringsavverkning</t>
        </is>
      </c>
      <c r="D81" s="1" t="n">
        <v>44810</v>
      </c>
      <c r="E81" s="1" t="n">
        <v>46220</v>
      </c>
      <c r="F81" t="inlineStr">
        <is>
          <t>ÖREBRO LÄN</t>
        </is>
      </c>
      <c r="G81" t="inlineStr">
        <is>
          <t>HÄLLEFORS</t>
        </is>
      </c>
      <c r="I81" t="n">
        <v>14.1</v>
      </c>
      <c r="J81" t="n">
        <v>0</v>
      </c>
      <c r="K81" t="n">
        <v>0</v>
      </c>
      <c r="L81" t="n">
        <v>0</v>
      </c>
      <c r="M81" t="n">
        <v>0</v>
      </c>
      <c r="N81" t="n">
        <v>0</v>
      </c>
      <c r="O81" t="n">
        <v>0</v>
      </c>
      <c r="P81" t="n">
        <v>0</v>
      </c>
      <c r="Q81" t="n">
        <v>0</v>
      </c>
      <c r="R81" t="n">
        <v>0</v>
      </c>
      <c r="S81" t="n">
        <v>0</v>
      </c>
      <c r="T81" t="n">
        <v>0</v>
      </c>
      <c r="U81" s="2" t="inlineStr"/>
    </row>
    <row r="82" ht="15" customHeight="1">
      <c r="A82" t="inlineStr">
        <is>
          <t>A 67967-2021</t>
        </is>
      </c>
      <c r="B82" t="inlineStr">
        <is>
          <t>avverkningsanmälan</t>
        </is>
      </c>
      <c r="C82" t="inlineStr">
        <is>
          <t>Föryngringsavverkning</t>
        </is>
      </c>
      <c r="D82" s="1" t="n">
        <v>44525</v>
      </c>
      <c r="E82" s="1" t="n">
        <v>46220</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s="2" t="inlineStr"/>
    </row>
    <row r="83" ht="15" customHeight="1">
      <c r="A83" t="inlineStr">
        <is>
          <t>A 29062-2022</t>
        </is>
      </c>
      <c r="B83" t="inlineStr">
        <is>
          <t>avverkningsanmälan</t>
        </is>
      </c>
      <c r="C83" t="inlineStr">
        <is>
          <t>Föryngringsavverkning</t>
        </is>
      </c>
      <c r="D83" s="1" t="n">
        <v>44750</v>
      </c>
      <c r="E83" s="1" t="n">
        <v>46220</v>
      </c>
      <c r="F83" t="inlineStr">
        <is>
          <t>ÖREBRO LÄN</t>
        </is>
      </c>
      <c r="G83" t="inlineStr">
        <is>
          <t>HÄLLEFORS</t>
        </is>
      </c>
      <c r="H83" t="inlineStr">
        <is>
          <t>Bergvik skog väst AB</t>
        </is>
      </c>
      <c r="I83" t="n">
        <v>1.1</v>
      </c>
      <c r="J83" t="n">
        <v>0</v>
      </c>
      <c r="K83" t="n">
        <v>0</v>
      </c>
      <c r="L83" t="n">
        <v>0</v>
      </c>
      <c r="M83" t="n">
        <v>0</v>
      </c>
      <c r="N83" t="n">
        <v>0</v>
      </c>
      <c r="O83" t="n">
        <v>0</v>
      </c>
      <c r="P83" t="n">
        <v>0</v>
      </c>
      <c r="Q83" t="n">
        <v>0</v>
      </c>
      <c r="R83" t="n">
        <v>0</v>
      </c>
      <c r="S83" t="n">
        <v>0</v>
      </c>
      <c r="T83" t="n">
        <v>0</v>
      </c>
      <c r="U83" s="2" t="inlineStr"/>
    </row>
    <row r="84" ht="15" customHeight="1">
      <c r="A84" t="inlineStr">
        <is>
          <t>A 29665-2022</t>
        </is>
      </c>
      <c r="B84" t="inlineStr">
        <is>
          <t>avverkningsanmälan</t>
        </is>
      </c>
      <c r="C84" t="inlineStr">
        <is>
          <t>Föryngringsavverkning</t>
        </is>
      </c>
      <c r="D84" s="1" t="n">
        <v>44754</v>
      </c>
      <c r="E84" s="1" t="n">
        <v>46220</v>
      </c>
      <c r="F84" t="inlineStr">
        <is>
          <t>ÖREBRO LÄN</t>
        </is>
      </c>
      <c r="G84" t="inlineStr">
        <is>
          <t>HÄLLEFORS</t>
        </is>
      </c>
      <c r="H84" t="inlineStr">
        <is>
          <t>Bergvik skog väst AB</t>
        </is>
      </c>
      <c r="I84" t="n">
        <v>0.6</v>
      </c>
      <c r="J84" t="n">
        <v>0</v>
      </c>
      <c r="K84" t="n">
        <v>0</v>
      </c>
      <c r="L84" t="n">
        <v>0</v>
      </c>
      <c r="M84" t="n">
        <v>0</v>
      </c>
      <c r="N84" t="n">
        <v>0</v>
      </c>
      <c r="O84" t="n">
        <v>0</v>
      </c>
      <c r="P84" t="n">
        <v>0</v>
      </c>
      <c r="Q84" t="n">
        <v>0</v>
      </c>
      <c r="R84" t="n">
        <v>0</v>
      </c>
      <c r="S84" t="n">
        <v>0</v>
      </c>
      <c r="T84" t="n">
        <v>0</v>
      </c>
      <c r="U84" s="2" t="inlineStr"/>
    </row>
    <row r="85" ht="15" customHeight="1">
      <c r="A85" t="inlineStr">
        <is>
          <t>A 4548-2022</t>
        </is>
      </c>
      <c r="B85" t="inlineStr">
        <is>
          <t>avverkningsanmälan</t>
        </is>
      </c>
      <c r="C85" t="inlineStr">
        <is>
          <t>Föryngringsavverkning</t>
        </is>
      </c>
      <c r="D85" s="1" t="n">
        <v>44590</v>
      </c>
      <c r="E85" s="1" t="n">
        <v>46220</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s="2" t="inlineStr"/>
    </row>
    <row r="86" ht="15" customHeight="1">
      <c r="A86" t="inlineStr">
        <is>
          <t>A 39183-2022</t>
        </is>
      </c>
      <c r="B86" t="inlineStr">
        <is>
          <t>avverkningsanmälan</t>
        </is>
      </c>
      <c r="C86" t="inlineStr">
        <is>
          <t>Föryngringsavverkning</t>
        </is>
      </c>
      <c r="D86" s="1" t="n">
        <v>44817</v>
      </c>
      <c r="E86" s="1" t="n">
        <v>46220</v>
      </c>
      <c r="F86" t="inlineStr">
        <is>
          <t>ÖREBRO LÄN</t>
        </is>
      </c>
      <c r="G86" t="inlineStr">
        <is>
          <t>HÄLLEFORS</t>
        </is>
      </c>
      <c r="I86" t="n">
        <v>1.5</v>
      </c>
      <c r="J86" t="n">
        <v>0</v>
      </c>
      <c r="K86" t="n">
        <v>0</v>
      </c>
      <c r="L86" t="n">
        <v>0</v>
      </c>
      <c r="M86" t="n">
        <v>0</v>
      </c>
      <c r="N86" t="n">
        <v>0</v>
      </c>
      <c r="O86" t="n">
        <v>0</v>
      </c>
      <c r="P86" t="n">
        <v>0</v>
      </c>
      <c r="Q86" t="n">
        <v>0</v>
      </c>
      <c r="R86" t="n">
        <v>0</v>
      </c>
      <c r="S86" t="n">
        <v>0</v>
      </c>
      <c r="T86" t="n">
        <v>0</v>
      </c>
      <c r="U86" s="2" t="inlineStr"/>
    </row>
    <row r="87" ht="15" customHeight="1">
      <c r="A87" t="inlineStr">
        <is>
          <t>A 29669-2022</t>
        </is>
      </c>
      <c r="B87" t="inlineStr">
        <is>
          <t>avverkningsanmälan</t>
        </is>
      </c>
      <c r="C87" t="inlineStr">
        <is>
          <t>Föryngringsavverkning</t>
        </is>
      </c>
      <c r="D87" s="1" t="n">
        <v>44754</v>
      </c>
      <c r="E87" s="1" t="n">
        <v>46220</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s="2" t="inlineStr"/>
    </row>
    <row r="88" ht="15" customHeight="1">
      <c r="A88" t="inlineStr">
        <is>
          <t>A 8387-2022</t>
        </is>
      </c>
      <c r="B88" t="inlineStr">
        <is>
          <t>avverkningsanmälan</t>
        </is>
      </c>
      <c r="C88" t="inlineStr">
        <is>
          <t>Föryngringsavverkning</t>
        </is>
      </c>
      <c r="D88" s="1" t="n">
        <v>44610</v>
      </c>
      <c r="E88" s="1" t="n">
        <v>46220</v>
      </c>
      <c r="F88" t="inlineStr">
        <is>
          <t>ÖREBRO LÄN</t>
        </is>
      </c>
      <c r="G88" t="inlineStr">
        <is>
          <t>HÄLLEFORS</t>
        </is>
      </c>
      <c r="H88" t="inlineStr">
        <is>
          <t>Bergvik skog väst AB</t>
        </is>
      </c>
      <c r="I88" t="n">
        <v>1.8</v>
      </c>
      <c r="J88" t="n">
        <v>0</v>
      </c>
      <c r="K88" t="n">
        <v>0</v>
      </c>
      <c r="L88" t="n">
        <v>0</v>
      </c>
      <c r="M88" t="n">
        <v>0</v>
      </c>
      <c r="N88" t="n">
        <v>0</v>
      </c>
      <c r="O88" t="n">
        <v>0</v>
      </c>
      <c r="P88" t="n">
        <v>0</v>
      </c>
      <c r="Q88" t="n">
        <v>0</v>
      </c>
      <c r="R88" t="n">
        <v>0</v>
      </c>
      <c r="S88" t="n">
        <v>0</v>
      </c>
      <c r="T88" t="n">
        <v>0</v>
      </c>
      <c r="U88" s="2" t="inlineStr"/>
    </row>
    <row r="89" ht="15" customHeight="1">
      <c r="A89" t="inlineStr">
        <is>
          <t>A 21801-2022</t>
        </is>
      </c>
      <c r="B89" t="inlineStr">
        <is>
          <t>avverkningsanmälan</t>
        </is>
      </c>
      <c r="C89" t="inlineStr">
        <is>
          <t>Föryngringsavverkning</t>
        </is>
      </c>
      <c r="D89" s="1" t="n">
        <v>44708</v>
      </c>
      <c r="E89" s="1" t="n">
        <v>46220</v>
      </c>
      <c r="F89" t="inlineStr">
        <is>
          <t>ÖREBRO LÄN</t>
        </is>
      </c>
      <c r="G89" t="inlineStr">
        <is>
          <t>HÄLLEFORS</t>
        </is>
      </c>
      <c r="I89" t="n">
        <v>3.3</v>
      </c>
      <c r="J89" t="n">
        <v>0</v>
      </c>
      <c r="K89" t="n">
        <v>0</v>
      </c>
      <c r="L89" t="n">
        <v>0</v>
      </c>
      <c r="M89" t="n">
        <v>0</v>
      </c>
      <c r="N89" t="n">
        <v>0</v>
      </c>
      <c r="O89" t="n">
        <v>0</v>
      </c>
      <c r="P89" t="n">
        <v>0</v>
      </c>
      <c r="Q89" t="n">
        <v>0</v>
      </c>
      <c r="R89" t="n">
        <v>0</v>
      </c>
      <c r="S89" t="n">
        <v>0</v>
      </c>
      <c r="T89" t="n">
        <v>0</v>
      </c>
      <c r="U89" s="2" t="inlineStr"/>
    </row>
    <row r="90" ht="15" customHeight="1">
      <c r="A90" t="inlineStr">
        <is>
          <t>A 30532-2022</t>
        </is>
      </c>
      <c r="B90" t="inlineStr">
        <is>
          <t>avverkningsanmälan</t>
        </is>
      </c>
      <c r="C90" t="inlineStr">
        <is>
          <t>Föryngringsavverkning</t>
        </is>
      </c>
      <c r="D90" s="1" t="n">
        <v>44762</v>
      </c>
      <c r="E90" s="1" t="n">
        <v>46220</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s="2" t="inlineStr"/>
    </row>
    <row r="91" ht="15" customHeight="1">
      <c r="A91" t="inlineStr">
        <is>
          <t>A 33609-2022</t>
        </is>
      </c>
      <c r="B91" t="inlineStr">
        <is>
          <t>avverkningsanmälan</t>
        </is>
      </c>
      <c r="C91" t="inlineStr">
        <is>
          <t>Föryngringsavverkning</t>
        </is>
      </c>
      <c r="D91" s="1" t="n">
        <v>44782</v>
      </c>
      <c r="E91" s="1" t="n">
        <v>46220</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s="2" t="inlineStr"/>
    </row>
    <row r="92" ht="15" customHeight="1">
      <c r="A92" t="inlineStr">
        <is>
          <t>A 59485-2022</t>
        </is>
      </c>
      <c r="B92" t="inlineStr">
        <is>
          <t>avverkningsanmälan</t>
        </is>
      </c>
      <c r="C92" t="inlineStr">
        <is>
          <t>Föryngringsavverkning</t>
        </is>
      </c>
      <c r="D92" s="1" t="n">
        <v>44907</v>
      </c>
      <c r="E92" s="1" t="n">
        <v>46220</v>
      </c>
      <c r="F92" t="inlineStr">
        <is>
          <t>ÖREBRO LÄN</t>
        </is>
      </c>
      <c r="G92" t="inlineStr">
        <is>
          <t>HÄLLEFORS</t>
        </is>
      </c>
      <c r="H92" t="inlineStr">
        <is>
          <t>Bergvik skog väst AB</t>
        </is>
      </c>
      <c r="I92" t="n">
        <v>1.3</v>
      </c>
      <c r="J92" t="n">
        <v>0</v>
      </c>
      <c r="K92" t="n">
        <v>0</v>
      </c>
      <c r="L92" t="n">
        <v>0</v>
      </c>
      <c r="M92" t="n">
        <v>0</v>
      </c>
      <c r="N92" t="n">
        <v>0</v>
      </c>
      <c r="O92" t="n">
        <v>0</v>
      </c>
      <c r="P92" t="n">
        <v>0</v>
      </c>
      <c r="Q92" t="n">
        <v>0</v>
      </c>
      <c r="R92" t="n">
        <v>0</v>
      </c>
      <c r="S92" t="n">
        <v>0</v>
      </c>
      <c r="T92" t="n">
        <v>0</v>
      </c>
      <c r="U92" s="2" t="inlineStr"/>
    </row>
    <row r="93" ht="15" customHeight="1">
      <c r="A93" t="inlineStr">
        <is>
          <t>A 56298-2024</t>
        </is>
      </c>
      <c r="B93" t="inlineStr">
        <is>
          <t>avverkningsanmälan</t>
        </is>
      </c>
      <c r="C93" t="inlineStr">
        <is>
          <t>Föryngringsavverkning</t>
        </is>
      </c>
      <c r="D93" s="1" t="n">
        <v>45624</v>
      </c>
      <c r="E93" s="1" t="n">
        <v>46220</v>
      </c>
      <c r="F93" t="inlineStr">
        <is>
          <t>ÖREBRO LÄN</t>
        </is>
      </c>
      <c r="G93" t="inlineStr">
        <is>
          <t>HÄLLEFORS</t>
        </is>
      </c>
      <c r="H93" t="inlineStr">
        <is>
          <t>Bergvik skog väst AB</t>
        </is>
      </c>
      <c r="I93" t="n">
        <v>4.6</v>
      </c>
      <c r="J93" t="n">
        <v>0</v>
      </c>
      <c r="K93" t="n">
        <v>0</v>
      </c>
      <c r="L93" t="n">
        <v>0</v>
      </c>
      <c r="M93" t="n">
        <v>0</v>
      </c>
      <c r="N93" t="n">
        <v>0</v>
      </c>
      <c r="O93" t="n">
        <v>0</v>
      </c>
      <c r="P93" t="n">
        <v>0</v>
      </c>
      <c r="Q93" t="n">
        <v>0</v>
      </c>
      <c r="R93" t="n">
        <v>0</v>
      </c>
      <c r="S93" t="n">
        <v>0</v>
      </c>
      <c r="T93" t="n">
        <v>0</v>
      </c>
      <c r="U93" s="2" t="inlineStr"/>
    </row>
    <row r="94" ht="15" customHeight="1">
      <c r="A94" t="inlineStr">
        <is>
          <t>A 44052-2024</t>
        </is>
      </c>
      <c r="B94" t="inlineStr">
        <is>
          <t>avverkningsanmälan</t>
        </is>
      </c>
      <c r="C94" t="inlineStr">
        <is>
          <t>Föryngringsavverkning</t>
        </is>
      </c>
      <c r="D94" s="1" t="n">
        <v>45572</v>
      </c>
      <c r="E94" s="1" t="n">
        <v>46220</v>
      </c>
      <c r="F94" t="inlineStr">
        <is>
          <t>ÖREBRO LÄN</t>
        </is>
      </c>
      <c r="G94" t="inlineStr">
        <is>
          <t>HÄLLEFORS</t>
        </is>
      </c>
      <c r="I94" t="n">
        <v>2.2</v>
      </c>
      <c r="J94" t="n">
        <v>0</v>
      </c>
      <c r="K94" t="n">
        <v>0</v>
      </c>
      <c r="L94" t="n">
        <v>0</v>
      </c>
      <c r="M94" t="n">
        <v>0</v>
      </c>
      <c r="N94" t="n">
        <v>0</v>
      </c>
      <c r="O94" t="n">
        <v>0</v>
      </c>
      <c r="P94" t="n">
        <v>0</v>
      </c>
      <c r="Q94" t="n">
        <v>0</v>
      </c>
      <c r="R94" t="n">
        <v>0</v>
      </c>
      <c r="S94" t="n">
        <v>0</v>
      </c>
      <c r="T94" t="n">
        <v>0</v>
      </c>
      <c r="U94" s="2" t="inlineStr"/>
    </row>
    <row r="95" ht="15" customHeight="1">
      <c r="A95" t="inlineStr">
        <is>
          <t>A 74464-2021</t>
        </is>
      </c>
      <c r="B95" t="inlineStr">
        <is>
          <t>avverkningsanmälan</t>
        </is>
      </c>
      <c r="C95" t="inlineStr">
        <is>
          <t>Föryngringsavverkning</t>
        </is>
      </c>
      <c r="D95" s="1" t="n">
        <v>44560</v>
      </c>
      <c r="E95" s="1" t="n">
        <v>46220</v>
      </c>
      <c r="F95" t="inlineStr">
        <is>
          <t>ÖREBRO LÄN</t>
        </is>
      </c>
      <c r="G95" t="inlineStr">
        <is>
          <t>HÄLLEFORS</t>
        </is>
      </c>
      <c r="H95" t="inlineStr">
        <is>
          <t>Bergvik skog väst AB</t>
        </is>
      </c>
      <c r="I95" t="n">
        <v>3.2</v>
      </c>
      <c r="J95" t="n">
        <v>0</v>
      </c>
      <c r="K95" t="n">
        <v>0</v>
      </c>
      <c r="L95" t="n">
        <v>0</v>
      </c>
      <c r="M95" t="n">
        <v>0</v>
      </c>
      <c r="N95" t="n">
        <v>0</v>
      </c>
      <c r="O95" t="n">
        <v>0</v>
      </c>
      <c r="P95" t="n">
        <v>0</v>
      </c>
      <c r="Q95" t="n">
        <v>0</v>
      </c>
      <c r="R95" t="n">
        <v>0</v>
      </c>
      <c r="S95" t="n">
        <v>0</v>
      </c>
      <c r="T95" t="n">
        <v>0</v>
      </c>
      <c r="U95" s="2" t="inlineStr"/>
    </row>
    <row r="96" ht="15" customHeight="1">
      <c r="A96" t="inlineStr">
        <is>
          <t>A 13758-2023</t>
        </is>
      </c>
      <c r="B96" t="inlineStr">
        <is>
          <t>avverkningsanmälan</t>
        </is>
      </c>
      <c r="C96" t="inlineStr">
        <is>
          <t>Föryngringsavverkning</t>
        </is>
      </c>
      <c r="D96" s="1" t="n">
        <v>45007</v>
      </c>
      <c r="E96" s="1" t="n">
        <v>46220</v>
      </c>
      <c r="F96" t="inlineStr">
        <is>
          <t>ÖREBRO LÄN</t>
        </is>
      </c>
      <c r="G96" t="inlineStr">
        <is>
          <t>HÄLLEFORS</t>
        </is>
      </c>
      <c r="H96" t="inlineStr">
        <is>
          <t>Bergvik skog väst AB</t>
        </is>
      </c>
      <c r="I96" t="n">
        <v>3.6</v>
      </c>
      <c r="J96" t="n">
        <v>0</v>
      </c>
      <c r="K96" t="n">
        <v>0</v>
      </c>
      <c r="L96" t="n">
        <v>0</v>
      </c>
      <c r="M96" t="n">
        <v>0</v>
      </c>
      <c r="N96" t="n">
        <v>0</v>
      </c>
      <c r="O96" t="n">
        <v>0</v>
      </c>
      <c r="P96" t="n">
        <v>0</v>
      </c>
      <c r="Q96" t="n">
        <v>0</v>
      </c>
      <c r="R96" t="n">
        <v>0</v>
      </c>
      <c r="S96" t="n">
        <v>0</v>
      </c>
      <c r="T96" t="n">
        <v>0</v>
      </c>
      <c r="U96" s="2" t="inlineStr"/>
    </row>
    <row r="97" ht="15" customHeight="1">
      <c r="A97" t="inlineStr">
        <is>
          <t>A 5762-2024</t>
        </is>
      </c>
      <c r="B97" t="inlineStr">
        <is>
          <t>avverkningsanmälan</t>
        </is>
      </c>
      <c r="C97" t="inlineStr">
        <is>
          <t>Föryngringsavverkning</t>
        </is>
      </c>
      <c r="D97" s="1" t="n">
        <v>45335</v>
      </c>
      <c r="E97" s="1" t="n">
        <v>46220</v>
      </c>
      <c r="F97" t="inlineStr">
        <is>
          <t>ÖREBRO LÄN</t>
        </is>
      </c>
      <c r="G97" t="inlineStr">
        <is>
          <t>HÄLLEFORS</t>
        </is>
      </c>
      <c r="I97" t="n">
        <v>12.1</v>
      </c>
      <c r="J97" t="n">
        <v>0</v>
      </c>
      <c r="K97" t="n">
        <v>0</v>
      </c>
      <c r="L97" t="n">
        <v>0</v>
      </c>
      <c r="M97" t="n">
        <v>0</v>
      </c>
      <c r="N97" t="n">
        <v>0</v>
      </c>
      <c r="O97" t="n">
        <v>0</v>
      </c>
      <c r="P97" t="n">
        <v>0</v>
      </c>
      <c r="Q97" t="n">
        <v>0</v>
      </c>
      <c r="R97" t="n">
        <v>0</v>
      </c>
      <c r="S97" t="n">
        <v>0</v>
      </c>
      <c r="T97" t="n">
        <v>0</v>
      </c>
      <c r="U97" s="2" t="inlineStr"/>
    </row>
    <row r="98" ht="15" customHeight="1">
      <c r="A98" t="inlineStr">
        <is>
          <t>A 46912-2023</t>
        </is>
      </c>
      <c r="B98" t="inlineStr">
        <is>
          <t>avverkningsanmälan</t>
        </is>
      </c>
      <c r="C98" t="inlineStr">
        <is>
          <t>Föryngringsavverkning</t>
        </is>
      </c>
      <c r="D98" s="1" t="n">
        <v>45201</v>
      </c>
      <c r="E98" s="1" t="n">
        <v>46220</v>
      </c>
      <c r="F98" t="inlineStr">
        <is>
          <t>ÖREBRO LÄN</t>
        </is>
      </c>
      <c r="G98" t="inlineStr">
        <is>
          <t>HÄLLEFORS</t>
        </is>
      </c>
      <c r="I98" t="n">
        <v>1</v>
      </c>
      <c r="J98" t="n">
        <v>0</v>
      </c>
      <c r="K98" t="n">
        <v>0</v>
      </c>
      <c r="L98" t="n">
        <v>0</v>
      </c>
      <c r="M98" t="n">
        <v>0</v>
      </c>
      <c r="N98" t="n">
        <v>0</v>
      </c>
      <c r="O98" t="n">
        <v>0</v>
      </c>
      <c r="P98" t="n">
        <v>0</v>
      </c>
      <c r="Q98" t="n">
        <v>0</v>
      </c>
      <c r="R98" t="n">
        <v>0</v>
      </c>
      <c r="S98" t="n">
        <v>0</v>
      </c>
      <c r="T98" t="n">
        <v>0</v>
      </c>
      <c r="U98" s="2" t="inlineStr"/>
    </row>
    <row r="99" ht="15" customHeight="1">
      <c r="A99" t="inlineStr">
        <is>
          <t>A 55453-2023</t>
        </is>
      </c>
      <c r="B99" t="inlineStr">
        <is>
          <t>avverkningsanmälan</t>
        </is>
      </c>
      <c r="C99" t="inlineStr">
        <is>
          <t>Avverkning för annat ändamål</t>
        </is>
      </c>
      <c r="D99" s="1" t="n">
        <v>45238</v>
      </c>
      <c r="E99" s="1" t="n">
        <v>46220</v>
      </c>
      <c r="F99" t="inlineStr">
        <is>
          <t>ÖREBRO LÄN</t>
        </is>
      </c>
      <c r="G99" t="inlineStr">
        <is>
          <t>HÄLLEFORS</t>
        </is>
      </c>
      <c r="I99" t="n">
        <v>0.8</v>
      </c>
      <c r="J99" t="n">
        <v>0</v>
      </c>
      <c r="K99" t="n">
        <v>0</v>
      </c>
      <c r="L99" t="n">
        <v>0</v>
      </c>
      <c r="M99" t="n">
        <v>0</v>
      </c>
      <c r="N99" t="n">
        <v>0</v>
      </c>
      <c r="O99" t="n">
        <v>0</v>
      </c>
      <c r="P99" t="n">
        <v>0</v>
      </c>
      <c r="Q99" t="n">
        <v>0</v>
      </c>
      <c r="R99" t="n">
        <v>0</v>
      </c>
      <c r="S99" t="n">
        <v>0</v>
      </c>
      <c r="T99" t="n">
        <v>0</v>
      </c>
      <c r="U99" s="2" t="inlineStr"/>
    </row>
    <row r="100" ht="15" customHeight="1">
      <c r="A100" t="inlineStr">
        <is>
          <t>A 16053-2023</t>
        </is>
      </c>
      <c r="B100" t="inlineStr">
        <is>
          <t>avverkningsanmälan</t>
        </is>
      </c>
      <c r="C100" t="inlineStr">
        <is>
          <t>Föryngringsavverkning</t>
        </is>
      </c>
      <c r="D100" s="1" t="n">
        <v>45027</v>
      </c>
      <c r="E100" s="1" t="n">
        <v>46220</v>
      </c>
      <c r="F100" t="inlineStr">
        <is>
          <t>ÖREBRO LÄN</t>
        </is>
      </c>
      <c r="G100" t="inlineStr">
        <is>
          <t>HÄLLEFORS</t>
        </is>
      </c>
      <c r="H100" t="inlineStr">
        <is>
          <t>Bergvik skog väst AB</t>
        </is>
      </c>
      <c r="I100" t="n">
        <v>14.7</v>
      </c>
      <c r="J100" t="n">
        <v>0</v>
      </c>
      <c r="K100" t="n">
        <v>0</v>
      </c>
      <c r="L100" t="n">
        <v>0</v>
      </c>
      <c r="M100" t="n">
        <v>0</v>
      </c>
      <c r="N100" t="n">
        <v>0</v>
      </c>
      <c r="O100" t="n">
        <v>0</v>
      </c>
      <c r="P100" t="n">
        <v>0</v>
      </c>
      <c r="Q100" t="n">
        <v>0</v>
      </c>
      <c r="R100" t="n">
        <v>0</v>
      </c>
      <c r="S100" t="n">
        <v>0</v>
      </c>
      <c r="T100" t="n">
        <v>0</v>
      </c>
      <c r="U100" s="2" t="inlineStr"/>
    </row>
    <row r="101" ht="15" customHeight="1">
      <c r="A101" t="inlineStr">
        <is>
          <t>A 29340-2024</t>
        </is>
      </c>
      <c r="B101" t="inlineStr">
        <is>
          <t>avverkningsanmälan</t>
        </is>
      </c>
      <c r="C101" t="inlineStr">
        <is>
          <t>Föryngringsavverkning</t>
        </is>
      </c>
      <c r="D101" s="1" t="n">
        <v>45483</v>
      </c>
      <c r="E101" s="1" t="n">
        <v>46220</v>
      </c>
      <c r="F101" t="inlineStr">
        <is>
          <t>ÖREBRO LÄN</t>
        </is>
      </c>
      <c r="G101" t="inlineStr">
        <is>
          <t>HÄLLEFORS</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7066-2024</t>
        </is>
      </c>
      <c r="B102" t="inlineStr">
        <is>
          <t>avverkningsanmälan</t>
        </is>
      </c>
      <c r="C102" t="inlineStr">
        <is>
          <t>Avverkning för annat ändamål</t>
        </is>
      </c>
      <c r="D102" s="1" t="n">
        <v>45343</v>
      </c>
      <c r="E102" s="1" t="n">
        <v>46220</v>
      </c>
      <c r="F102" t="inlineStr">
        <is>
          <t>ÖREBRO LÄN</t>
        </is>
      </c>
      <c r="G102" t="inlineStr">
        <is>
          <t>HÄLLEFORS</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71766-2021</t>
        </is>
      </c>
      <c r="B103" t="inlineStr">
        <is>
          <t>avverkningsanmälan</t>
        </is>
      </c>
      <c r="C103" t="inlineStr">
        <is>
          <t>Föryngringsavverkning</t>
        </is>
      </c>
      <c r="D103" s="1" t="n">
        <v>44543</v>
      </c>
      <c r="E103" s="1" t="n">
        <v>46220</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s="2" t="inlineStr"/>
    </row>
    <row r="104" ht="15" customHeight="1">
      <c r="A104" t="inlineStr">
        <is>
          <t>A 37027-2022</t>
        </is>
      </c>
      <c r="B104" t="inlineStr">
        <is>
          <t>avverkningsanmälan</t>
        </is>
      </c>
      <c r="C104" t="inlineStr">
        <is>
          <t>Föryngringsavverkning</t>
        </is>
      </c>
      <c r="D104" s="1" t="n">
        <v>44806</v>
      </c>
      <c r="E104" s="1" t="n">
        <v>46220</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s="2" t="inlineStr"/>
    </row>
    <row r="105" ht="15" customHeight="1">
      <c r="A105" t="inlineStr">
        <is>
          <t>A 12648-2025</t>
        </is>
      </c>
      <c r="B105" t="inlineStr">
        <is>
          <t>avverkningsanmälan</t>
        </is>
      </c>
      <c r="C105" t="inlineStr">
        <is>
          <t>Föryngringsavverkning</t>
        </is>
      </c>
      <c r="D105" s="1" t="n">
        <v>45733</v>
      </c>
      <c r="E105" s="1" t="n">
        <v>46220</v>
      </c>
      <c r="F105" t="inlineStr">
        <is>
          <t>ÖREBRO LÄN</t>
        </is>
      </c>
      <c r="G105" t="inlineStr">
        <is>
          <t>HÄLLEFORS</t>
        </is>
      </c>
      <c r="H105" t="inlineStr">
        <is>
          <t>Bergvik skog väst AB</t>
        </is>
      </c>
      <c r="I105" t="n">
        <v>5</v>
      </c>
      <c r="J105" t="n">
        <v>0</v>
      </c>
      <c r="K105" t="n">
        <v>0</v>
      </c>
      <c r="L105" t="n">
        <v>0</v>
      </c>
      <c r="M105" t="n">
        <v>0</v>
      </c>
      <c r="N105" t="n">
        <v>0</v>
      </c>
      <c r="O105" t="n">
        <v>0</v>
      </c>
      <c r="P105" t="n">
        <v>0</v>
      </c>
      <c r="Q105" t="n">
        <v>0</v>
      </c>
      <c r="R105" t="n">
        <v>0</v>
      </c>
      <c r="S105" t="n">
        <v>0</v>
      </c>
      <c r="T105" t="n">
        <v>0</v>
      </c>
      <c r="U105" s="2" t="inlineStr"/>
    </row>
    <row r="106" ht="15" customHeight="1">
      <c r="A106" t="inlineStr">
        <is>
          <t>A 35861-2024</t>
        </is>
      </c>
      <c r="B106" t="inlineStr">
        <is>
          <t>avverkningsanmälan</t>
        </is>
      </c>
      <c r="C106" t="inlineStr">
        <is>
          <t>Föryngringsavverkning</t>
        </is>
      </c>
      <c r="D106" s="1" t="n">
        <v>45533</v>
      </c>
      <c r="E106" s="1" t="n">
        <v>46220</v>
      </c>
      <c r="F106" t="inlineStr">
        <is>
          <t>ÖREBRO LÄN</t>
        </is>
      </c>
      <c r="G106" t="inlineStr">
        <is>
          <t>HÄLLEFORS</t>
        </is>
      </c>
      <c r="H106" t="inlineStr">
        <is>
          <t>Bergvik skog väst AB</t>
        </is>
      </c>
      <c r="I106" t="n">
        <v>25.9</v>
      </c>
      <c r="J106" t="n">
        <v>0</v>
      </c>
      <c r="K106" t="n">
        <v>0</v>
      </c>
      <c r="L106" t="n">
        <v>0</v>
      </c>
      <c r="M106" t="n">
        <v>0</v>
      </c>
      <c r="N106" t="n">
        <v>0</v>
      </c>
      <c r="O106" t="n">
        <v>0</v>
      </c>
      <c r="P106" t="n">
        <v>0</v>
      </c>
      <c r="Q106" t="n">
        <v>0</v>
      </c>
      <c r="R106" t="n">
        <v>0</v>
      </c>
      <c r="S106" t="n">
        <v>0</v>
      </c>
      <c r="T106" t="n">
        <v>0</v>
      </c>
      <c r="U106" s="2" t="inlineStr"/>
    </row>
    <row r="107" ht="15" customHeight="1">
      <c r="A107" t="inlineStr">
        <is>
          <t>A 44122-2024</t>
        </is>
      </c>
      <c r="B107" t="inlineStr">
        <is>
          <t>avverkningsanmälan</t>
        </is>
      </c>
      <c r="C107" t="inlineStr">
        <is>
          <t>Föryngringsavverkning</t>
        </is>
      </c>
      <c r="D107" s="1" t="n">
        <v>45572</v>
      </c>
      <c r="E107" s="1" t="n">
        <v>46220</v>
      </c>
      <c r="F107" t="inlineStr">
        <is>
          <t>ÖREBRO LÄN</t>
        </is>
      </c>
      <c r="G107" t="inlineStr">
        <is>
          <t>HÄLLEFORS</t>
        </is>
      </c>
      <c r="H107" t="inlineStr">
        <is>
          <t>Bergvik skog väst AB</t>
        </is>
      </c>
      <c r="I107" t="n">
        <v>2.9</v>
      </c>
      <c r="J107" t="n">
        <v>0</v>
      </c>
      <c r="K107" t="n">
        <v>0</v>
      </c>
      <c r="L107" t="n">
        <v>0</v>
      </c>
      <c r="M107" t="n">
        <v>0</v>
      </c>
      <c r="N107" t="n">
        <v>0</v>
      </c>
      <c r="O107" t="n">
        <v>0</v>
      </c>
      <c r="P107" t="n">
        <v>0</v>
      </c>
      <c r="Q107" t="n">
        <v>0</v>
      </c>
      <c r="R107" t="n">
        <v>0</v>
      </c>
      <c r="S107" t="n">
        <v>0</v>
      </c>
      <c r="T107" t="n">
        <v>0</v>
      </c>
      <c r="U107" s="2" t="inlineStr"/>
    </row>
    <row r="108" ht="15" customHeight="1">
      <c r="A108" t="inlineStr">
        <is>
          <t>A 54995-2024</t>
        </is>
      </c>
      <c r="B108" t="inlineStr">
        <is>
          <t>avverkningsanmälan</t>
        </is>
      </c>
      <c r="C108" t="inlineStr">
        <is>
          <t>Föryngringsavverkning</t>
        </is>
      </c>
      <c r="D108" s="1" t="n">
        <v>45621</v>
      </c>
      <c r="E108" s="1" t="n">
        <v>46220</v>
      </c>
      <c r="F108" t="inlineStr">
        <is>
          <t>ÖREBRO LÄN</t>
        </is>
      </c>
      <c r="G108" t="inlineStr">
        <is>
          <t>HÄLLEFORS</t>
        </is>
      </c>
      <c r="H108" t="inlineStr">
        <is>
          <t>Bergvik skog väst AB</t>
        </is>
      </c>
      <c r="I108" t="n">
        <v>3.4</v>
      </c>
      <c r="J108" t="n">
        <v>0</v>
      </c>
      <c r="K108" t="n">
        <v>0</v>
      </c>
      <c r="L108" t="n">
        <v>0</v>
      </c>
      <c r="M108" t="n">
        <v>0</v>
      </c>
      <c r="N108" t="n">
        <v>0</v>
      </c>
      <c r="O108" t="n">
        <v>0</v>
      </c>
      <c r="P108" t="n">
        <v>0</v>
      </c>
      <c r="Q108" t="n">
        <v>0</v>
      </c>
      <c r="R108" t="n">
        <v>0</v>
      </c>
      <c r="S108" t="n">
        <v>0</v>
      </c>
      <c r="T108" t="n">
        <v>0</v>
      </c>
      <c r="U108" s="2" t="inlineStr"/>
    </row>
    <row r="109" ht="15" customHeight="1">
      <c r="A109" t="inlineStr">
        <is>
          <t>A 5237-2025</t>
        </is>
      </c>
      <c r="B109" t="inlineStr">
        <is>
          <t>avverkningsanmälan</t>
        </is>
      </c>
      <c r="C109" t="inlineStr">
        <is>
          <t>Föryngringsavverkning</t>
        </is>
      </c>
      <c r="D109" s="1" t="n">
        <v>45692</v>
      </c>
      <c r="E109" s="1" t="n">
        <v>46220</v>
      </c>
      <c r="F109" t="inlineStr">
        <is>
          <t>ÖREBRO LÄN</t>
        </is>
      </c>
      <c r="G109" t="inlineStr">
        <is>
          <t>HÄLLEFORS</t>
        </is>
      </c>
      <c r="H109" t="inlineStr">
        <is>
          <t>Bergvik skog väst AB</t>
        </is>
      </c>
      <c r="I109" t="n">
        <v>4.6</v>
      </c>
      <c r="J109" t="n">
        <v>0</v>
      </c>
      <c r="K109" t="n">
        <v>0</v>
      </c>
      <c r="L109" t="n">
        <v>0</v>
      </c>
      <c r="M109" t="n">
        <v>0</v>
      </c>
      <c r="N109" t="n">
        <v>0</v>
      </c>
      <c r="O109" t="n">
        <v>0</v>
      </c>
      <c r="P109" t="n">
        <v>0</v>
      </c>
      <c r="Q109" t="n">
        <v>0</v>
      </c>
      <c r="R109" t="n">
        <v>0</v>
      </c>
      <c r="S109" t="n">
        <v>0</v>
      </c>
      <c r="T109" t="n">
        <v>0</v>
      </c>
      <c r="U109" s="2" t="inlineStr"/>
    </row>
    <row r="110" ht="15" customHeight="1">
      <c r="A110" t="inlineStr">
        <is>
          <t>A 5042-2025</t>
        </is>
      </c>
      <c r="B110" t="inlineStr">
        <is>
          <t>avverkningsanmälan</t>
        </is>
      </c>
      <c r="C110" t="inlineStr">
        <is>
          <t>Föryngringsavverkning</t>
        </is>
      </c>
      <c r="D110" s="1" t="n">
        <v>45691</v>
      </c>
      <c r="E110" s="1" t="n">
        <v>46220</v>
      </c>
      <c r="F110" t="inlineStr">
        <is>
          <t>ÖREBRO LÄN</t>
        </is>
      </c>
      <c r="G110" t="inlineStr">
        <is>
          <t>HÄLLEFORS</t>
        </is>
      </c>
      <c r="H110" t="inlineStr">
        <is>
          <t>Bergvik skog väst AB</t>
        </is>
      </c>
      <c r="I110" t="n">
        <v>3.3</v>
      </c>
      <c r="J110" t="n">
        <v>0</v>
      </c>
      <c r="K110" t="n">
        <v>0</v>
      </c>
      <c r="L110" t="n">
        <v>0</v>
      </c>
      <c r="M110" t="n">
        <v>0</v>
      </c>
      <c r="N110" t="n">
        <v>0</v>
      </c>
      <c r="O110" t="n">
        <v>0</v>
      </c>
      <c r="P110" t="n">
        <v>0</v>
      </c>
      <c r="Q110" t="n">
        <v>0</v>
      </c>
      <c r="R110" t="n">
        <v>0</v>
      </c>
      <c r="S110" t="n">
        <v>0</v>
      </c>
      <c r="T110" t="n">
        <v>0</v>
      </c>
      <c r="U110" s="2" t="inlineStr"/>
    </row>
    <row r="111" ht="15" customHeight="1">
      <c r="A111" t="inlineStr">
        <is>
          <t>A 16927-2025</t>
        </is>
      </c>
      <c r="B111" t="inlineStr">
        <is>
          <t>avverkningsanmälan</t>
        </is>
      </c>
      <c r="C111" t="inlineStr">
        <is>
          <t>Föryngringsavverkning</t>
        </is>
      </c>
      <c r="D111" s="1" t="n">
        <v>45755</v>
      </c>
      <c r="E111" s="1" t="n">
        <v>46220</v>
      </c>
      <c r="F111" t="inlineStr">
        <is>
          <t>ÖREBRO LÄN</t>
        </is>
      </c>
      <c r="G111" t="inlineStr">
        <is>
          <t>HÄLLEFORS</t>
        </is>
      </c>
      <c r="H111" t="inlineStr">
        <is>
          <t>Bergvik skog väst AB</t>
        </is>
      </c>
      <c r="I111" t="n">
        <v>4.1</v>
      </c>
      <c r="J111" t="n">
        <v>0</v>
      </c>
      <c r="K111" t="n">
        <v>0</v>
      </c>
      <c r="L111" t="n">
        <v>0</v>
      </c>
      <c r="M111" t="n">
        <v>0</v>
      </c>
      <c r="N111" t="n">
        <v>0</v>
      </c>
      <c r="O111" t="n">
        <v>0</v>
      </c>
      <c r="P111" t="n">
        <v>0</v>
      </c>
      <c r="Q111" t="n">
        <v>0</v>
      </c>
      <c r="R111" t="n">
        <v>0</v>
      </c>
      <c r="S111" t="n">
        <v>0</v>
      </c>
      <c r="T111" t="n">
        <v>0</v>
      </c>
      <c r="U111" s="2" t="inlineStr"/>
    </row>
    <row r="112" ht="15" customHeight="1">
      <c r="A112" t="inlineStr">
        <is>
          <t>A 38010-2024</t>
        </is>
      </c>
      <c r="B112" t="inlineStr">
        <is>
          <t>avverkningsanmälan</t>
        </is>
      </c>
      <c r="C112" t="inlineStr">
        <is>
          <t>Föryngringsavverkning</t>
        </is>
      </c>
      <c r="D112" s="1" t="n">
        <v>45544</v>
      </c>
      <c r="E112" s="1" t="n">
        <v>46220</v>
      </c>
      <c r="F112" t="inlineStr">
        <is>
          <t>ÖREBRO LÄN</t>
        </is>
      </c>
      <c r="G112" t="inlineStr">
        <is>
          <t>HÄLLEFORS</t>
        </is>
      </c>
      <c r="I112" t="n">
        <v>22.7</v>
      </c>
      <c r="J112" t="n">
        <v>0</v>
      </c>
      <c r="K112" t="n">
        <v>0</v>
      </c>
      <c r="L112" t="n">
        <v>0</v>
      </c>
      <c r="M112" t="n">
        <v>0</v>
      </c>
      <c r="N112" t="n">
        <v>0</v>
      </c>
      <c r="O112" t="n">
        <v>0</v>
      </c>
      <c r="P112" t="n">
        <v>0</v>
      </c>
      <c r="Q112" t="n">
        <v>0</v>
      </c>
      <c r="R112" t="n">
        <v>0</v>
      </c>
      <c r="S112" t="n">
        <v>0</v>
      </c>
      <c r="T112" t="n">
        <v>0</v>
      </c>
      <c r="U112" s="2" t="inlineStr"/>
    </row>
    <row r="113" ht="15" customHeight="1">
      <c r="A113" t="inlineStr">
        <is>
          <t>A 35191-2023</t>
        </is>
      </c>
      <c r="B113" t="inlineStr">
        <is>
          <t>avverkningsanmälan</t>
        </is>
      </c>
      <c r="C113" t="inlineStr">
        <is>
          <t>Föryngringsavverkning</t>
        </is>
      </c>
      <c r="D113" s="1" t="n">
        <v>45145</v>
      </c>
      <c r="E113" s="1" t="n">
        <v>46220</v>
      </c>
      <c r="F113" t="inlineStr">
        <is>
          <t>ÖREBRO LÄN</t>
        </is>
      </c>
      <c r="G113" t="inlineStr">
        <is>
          <t>HÄLLEFORS</t>
        </is>
      </c>
      <c r="H113" t="inlineStr">
        <is>
          <t>Bergvik skog väst AB</t>
        </is>
      </c>
      <c r="I113" t="n">
        <v>3.8</v>
      </c>
      <c r="J113" t="n">
        <v>0</v>
      </c>
      <c r="K113" t="n">
        <v>0</v>
      </c>
      <c r="L113" t="n">
        <v>0</v>
      </c>
      <c r="M113" t="n">
        <v>0</v>
      </c>
      <c r="N113" t="n">
        <v>0</v>
      </c>
      <c r="O113" t="n">
        <v>0</v>
      </c>
      <c r="P113" t="n">
        <v>0</v>
      </c>
      <c r="Q113" t="n">
        <v>0</v>
      </c>
      <c r="R113" t="n">
        <v>0</v>
      </c>
      <c r="S113" t="n">
        <v>0</v>
      </c>
      <c r="T113" t="n">
        <v>0</v>
      </c>
      <c r="U113" s="2" t="inlineStr"/>
    </row>
    <row r="114" ht="15" customHeight="1">
      <c r="A114" t="inlineStr">
        <is>
          <t>A 23037-2024</t>
        </is>
      </c>
      <c r="B114" t="inlineStr">
        <is>
          <t>avverkningsanmälan</t>
        </is>
      </c>
      <c r="C114" t="inlineStr">
        <is>
          <t>Föryngringsavverkning</t>
        </is>
      </c>
      <c r="D114" s="1" t="n">
        <v>45450</v>
      </c>
      <c r="E114" s="1" t="n">
        <v>46220</v>
      </c>
      <c r="F114" t="inlineStr">
        <is>
          <t>ÖREBRO LÄN</t>
        </is>
      </c>
      <c r="G114" t="inlineStr">
        <is>
          <t>HÄLLEFORS</t>
        </is>
      </c>
      <c r="I114" t="n">
        <v>2.4</v>
      </c>
      <c r="J114" t="n">
        <v>0</v>
      </c>
      <c r="K114" t="n">
        <v>0</v>
      </c>
      <c r="L114" t="n">
        <v>0</v>
      </c>
      <c r="M114" t="n">
        <v>0</v>
      </c>
      <c r="N114" t="n">
        <v>0</v>
      </c>
      <c r="O114" t="n">
        <v>0</v>
      </c>
      <c r="P114" t="n">
        <v>0</v>
      </c>
      <c r="Q114" t="n">
        <v>0</v>
      </c>
      <c r="R114" t="n">
        <v>0</v>
      </c>
      <c r="S114" t="n">
        <v>0</v>
      </c>
      <c r="T114" t="n">
        <v>0</v>
      </c>
      <c r="U114" s="2" t="inlineStr"/>
    </row>
    <row r="115" ht="15" customHeight="1">
      <c r="A115" t="inlineStr">
        <is>
          <t>A 5045-2025</t>
        </is>
      </c>
      <c r="B115" t="inlineStr">
        <is>
          <t>avverkningsanmälan</t>
        </is>
      </c>
      <c r="C115" t="inlineStr">
        <is>
          <t>Föryngringsavverkning</t>
        </is>
      </c>
      <c r="D115" s="1" t="n">
        <v>45691</v>
      </c>
      <c r="E115" s="1" t="n">
        <v>46220</v>
      </c>
      <c r="F115" t="inlineStr">
        <is>
          <t>ÖREBRO LÄN</t>
        </is>
      </c>
      <c r="G115" t="inlineStr">
        <is>
          <t>HÄLLEFORS</t>
        </is>
      </c>
      <c r="H115" t="inlineStr">
        <is>
          <t>Bergvik skog väst AB</t>
        </is>
      </c>
      <c r="I115" t="n">
        <v>6.4</v>
      </c>
      <c r="J115" t="n">
        <v>0</v>
      </c>
      <c r="K115" t="n">
        <v>0</v>
      </c>
      <c r="L115" t="n">
        <v>0</v>
      </c>
      <c r="M115" t="n">
        <v>0</v>
      </c>
      <c r="N115" t="n">
        <v>0</v>
      </c>
      <c r="O115" t="n">
        <v>0</v>
      </c>
      <c r="P115" t="n">
        <v>0</v>
      </c>
      <c r="Q115" t="n">
        <v>0</v>
      </c>
      <c r="R115" t="n">
        <v>0</v>
      </c>
      <c r="S115" t="n">
        <v>0</v>
      </c>
      <c r="T115" t="n">
        <v>0</v>
      </c>
      <c r="U115" s="2" t="inlineStr"/>
    </row>
    <row r="116" ht="15" customHeight="1">
      <c r="A116" t="inlineStr">
        <is>
          <t>A 44088-2024</t>
        </is>
      </c>
      <c r="B116" t="inlineStr">
        <is>
          <t>avverkningsanmälan</t>
        </is>
      </c>
      <c r="C116" t="inlineStr">
        <is>
          <t>Föryngringsavverkning</t>
        </is>
      </c>
      <c r="D116" s="1" t="n">
        <v>45572</v>
      </c>
      <c r="E116" s="1" t="n">
        <v>46220</v>
      </c>
      <c r="F116" t="inlineStr">
        <is>
          <t>ÖREBRO LÄN</t>
        </is>
      </c>
      <c r="G116" t="inlineStr">
        <is>
          <t>HÄLLEFORS</t>
        </is>
      </c>
      <c r="I116" t="n">
        <v>4</v>
      </c>
      <c r="J116" t="n">
        <v>0</v>
      </c>
      <c r="K116" t="n">
        <v>0</v>
      </c>
      <c r="L116" t="n">
        <v>0</v>
      </c>
      <c r="M116" t="n">
        <v>0</v>
      </c>
      <c r="N116" t="n">
        <v>0</v>
      </c>
      <c r="O116" t="n">
        <v>0</v>
      </c>
      <c r="P116" t="n">
        <v>0</v>
      </c>
      <c r="Q116" t="n">
        <v>0</v>
      </c>
      <c r="R116" t="n">
        <v>0</v>
      </c>
      <c r="S116" t="n">
        <v>0</v>
      </c>
      <c r="T116" t="n">
        <v>0</v>
      </c>
      <c r="U116" s="2" t="inlineStr"/>
    </row>
    <row r="117" ht="15" customHeight="1">
      <c r="A117" t="inlineStr">
        <is>
          <t>A 39031-2022</t>
        </is>
      </c>
      <c r="B117" t="inlineStr">
        <is>
          <t>avverkningsanmälan</t>
        </is>
      </c>
      <c r="C117" t="inlineStr">
        <is>
          <t>Avverkning för att bevara och utveckla /försöksver</t>
        </is>
      </c>
      <c r="D117" s="1" t="n">
        <v>44817</v>
      </c>
      <c r="E117" s="1" t="n">
        <v>46220</v>
      </c>
      <c r="F117" t="inlineStr">
        <is>
          <t>ÖREBRO LÄN</t>
        </is>
      </c>
      <c r="G117" t="inlineStr">
        <is>
          <t>HÄLLEFORS</t>
        </is>
      </c>
      <c r="H117" t="inlineStr">
        <is>
          <t>Sveaskog</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41089-2022</t>
        </is>
      </c>
      <c r="B118" t="inlineStr">
        <is>
          <t>avverkningsanmälan</t>
        </is>
      </c>
      <c r="C118" t="inlineStr">
        <is>
          <t>Föryngringsavverkning</t>
        </is>
      </c>
      <c r="D118" s="1" t="n">
        <v>44825</v>
      </c>
      <c r="E118" s="1" t="n">
        <v>46220</v>
      </c>
      <c r="F118" t="inlineStr">
        <is>
          <t>ÖREBRO LÄN</t>
        </is>
      </c>
      <c r="G118" t="inlineStr">
        <is>
          <t>HÄLLEFORS</t>
        </is>
      </c>
      <c r="H118" t="inlineStr">
        <is>
          <t>Sveaskog</t>
        </is>
      </c>
      <c r="I118" t="n">
        <v>3.6</v>
      </c>
      <c r="J118" t="n">
        <v>0</v>
      </c>
      <c r="K118" t="n">
        <v>0</v>
      </c>
      <c r="L118" t="n">
        <v>0</v>
      </c>
      <c r="M118" t="n">
        <v>0</v>
      </c>
      <c r="N118" t="n">
        <v>0</v>
      </c>
      <c r="O118" t="n">
        <v>0</v>
      </c>
      <c r="P118" t="n">
        <v>0</v>
      </c>
      <c r="Q118" t="n">
        <v>0</v>
      </c>
      <c r="R118" t="n">
        <v>0</v>
      </c>
      <c r="S118" t="n">
        <v>0</v>
      </c>
      <c r="T118" t="n">
        <v>0</v>
      </c>
      <c r="U118" s="2" t="inlineStr"/>
    </row>
    <row r="119" ht="15" customHeight="1">
      <c r="A119" t="inlineStr">
        <is>
          <t>A 29662-2022</t>
        </is>
      </c>
      <c r="B119" t="inlineStr">
        <is>
          <t>avverkningsanmälan</t>
        </is>
      </c>
      <c r="C119" t="inlineStr">
        <is>
          <t>Föryngringsavverkning</t>
        </is>
      </c>
      <c r="D119" s="1" t="n">
        <v>44754</v>
      </c>
      <c r="E119" s="1" t="n">
        <v>46220</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20170-2023</t>
        </is>
      </c>
      <c r="B120" t="inlineStr">
        <is>
          <t>avverkningsanmälan</t>
        </is>
      </c>
      <c r="C120" t="inlineStr">
        <is>
          <t>Föryngringsavverkning</t>
        </is>
      </c>
      <c r="D120" s="1" t="n">
        <v>45055</v>
      </c>
      <c r="E120" s="1" t="n">
        <v>46220</v>
      </c>
      <c r="F120" t="inlineStr">
        <is>
          <t>ÖREBRO LÄN</t>
        </is>
      </c>
      <c r="G120" t="inlineStr">
        <is>
          <t>HÄLLEFORS</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17098-2025</t>
        </is>
      </c>
      <c r="B121" t="inlineStr">
        <is>
          <t>avverkningsanmälan</t>
        </is>
      </c>
      <c r="C121" t="inlineStr">
        <is>
          <t>Föryngringsavverkning</t>
        </is>
      </c>
      <c r="D121" s="1" t="n">
        <v>45755</v>
      </c>
      <c r="E121" s="1" t="n">
        <v>46220</v>
      </c>
      <c r="F121" t="inlineStr">
        <is>
          <t>ÖREBRO LÄN</t>
        </is>
      </c>
      <c r="G121" t="inlineStr">
        <is>
          <t>HÄLLEFORS</t>
        </is>
      </c>
      <c r="H121" t="inlineStr">
        <is>
          <t>Bergvik skog väst AB</t>
        </is>
      </c>
      <c r="I121" t="n">
        <v>1.8</v>
      </c>
      <c r="J121" t="n">
        <v>0</v>
      </c>
      <c r="K121" t="n">
        <v>0</v>
      </c>
      <c r="L121" t="n">
        <v>0</v>
      </c>
      <c r="M121" t="n">
        <v>0</v>
      </c>
      <c r="N121" t="n">
        <v>0</v>
      </c>
      <c r="O121" t="n">
        <v>0</v>
      </c>
      <c r="P121" t="n">
        <v>0</v>
      </c>
      <c r="Q121" t="n">
        <v>0</v>
      </c>
      <c r="R121" t="n">
        <v>0</v>
      </c>
      <c r="S121" t="n">
        <v>0</v>
      </c>
      <c r="T121" t="n">
        <v>0</v>
      </c>
      <c r="U121" s="2" t="inlineStr"/>
    </row>
    <row r="122" ht="15" customHeight="1">
      <c r="A122" t="inlineStr">
        <is>
          <t>A 3643-2025</t>
        </is>
      </c>
      <c r="B122" t="inlineStr">
        <is>
          <t>avverkningsanmälan</t>
        </is>
      </c>
      <c r="C122" t="inlineStr">
        <is>
          <t>Föryngringsavverkning</t>
        </is>
      </c>
      <c r="D122" s="1" t="n">
        <v>45681</v>
      </c>
      <c r="E122" s="1" t="n">
        <v>46220</v>
      </c>
      <c r="F122" t="inlineStr">
        <is>
          <t>ÖREBRO LÄN</t>
        </is>
      </c>
      <c r="G122" t="inlineStr">
        <is>
          <t>HÄLLEFORS</t>
        </is>
      </c>
      <c r="I122" t="n">
        <v>20.8</v>
      </c>
      <c r="J122" t="n">
        <v>0</v>
      </c>
      <c r="K122" t="n">
        <v>0</v>
      </c>
      <c r="L122" t="n">
        <v>0</v>
      </c>
      <c r="M122" t="n">
        <v>0</v>
      </c>
      <c r="N122" t="n">
        <v>0</v>
      </c>
      <c r="O122" t="n">
        <v>0</v>
      </c>
      <c r="P122" t="n">
        <v>0</v>
      </c>
      <c r="Q122" t="n">
        <v>0</v>
      </c>
      <c r="R122" t="n">
        <v>0</v>
      </c>
      <c r="S122" t="n">
        <v>0</v>
      </c>
      <c r="T122" t="n">
        <v>0</v>
      </c>
      <c r="U122" s="2" t="inlineStr"/>
    </row>
    <row r="123" ht="15" customHeight="1">
      <c r="A123" t="inlineStr">
        <is>
          <t>A 15073-2022</t>
        </is>
      </c>
      <c r="B123" t="inlineStr">
        <is>
          <t>avverkningsanmälan</t>
        </is>
      </c>
      <c r="C123" t="inlineStr">
        <is>
          <t>Föryngringsavverkning</t>
        </is>
      </c>
      <c r="D123" s="1" t="n">
        <v>44657</v>
      </c>
      <c r="E123" s="1" t="n">
        <v>46220</v>
      </c>
      <c r="F123" t="inlineStr">
        <is>
          <t>ÖREBRO LÄN</t>
        </is>
      </c>
      <c r="G123" t="inlineStr">
        <is>
          <t>HÄLLEFORS</t>
        </is>
      </c>
      <c r="I123" t="n">
        <v>2.3</v>
      </c>
      <c r="J123" t="n">
        <v>0</v>
      </c>
      <c r="K123" t="n">
        <v>0</v>
      </c>
      <c r="L123" t="n">
        <v>0</v>
      </c>
      <c r="M123" t="n">
        <v>0</v>
      </c>
      <c r="N123" t="n">
        <v>0</v>
      </c>
      <c r="O123" t="n">
        <v>0</v>
      </c>
      <c r="P123" t="n">
        <v>0</v>
      </c>
      <c r="Q123" t="n">
        <v>0</v>
      </c>
      <c r="R123" t="n">
        <v>0</v>
      </c>
      <c r="S123" t="n">
        <v>0</v>
      </c>
      <c r="T123" t="n">
        <v>0</v>
      </c>
      <c r="U123" s="2" t="inlineStr"/>
    </row>
    <row r="124" ht="15" customHeight="1">
      <c r="A124" t="inlineStr">
        <is>
          <t>A 62501-2022</t>
        </is>
      </c>
      <c r="B124" t="inlineStr">
        <is>
          <t>avverkningsanmälan</t>
        </is>
      </c>
      <c r="C124" t="inlineStr">
        <is>
          <t>Föryngringsavverkning</t>
        </is>
      </c>
      <c r="D124" s="1" t="n">
        <v>44924</v>
      </c>
      <c r="E124" s="1" t="n">
        <v>46220</v>
      </c>
      <c r="F124" t="inlineStr">
        <is>
          <t>ÖREBRO LÄN</t>
        </is>
      </c>
      <c r="G124" t="inlineStr">
        <is>
          <t>HÄLLEFORS</t>
        </is>
      </c>
      <c r="I124" t="n">
        <v>3</v>
      </c>
      <c r="J124" t="n">
        <v>0</v>
      </c>
      <c r="K124" t="n">
        <v>0</v>
      </c>
      <c r="L124" t="n">
        <v>0</v>
      </c>
      <c r="M124" t="n">
        <v>0</v>
      </c>
      <c r="N124" t="n">
        <v>0</v>
      </c>
      <c r="O124" t="n">
        <v>0</v>
      </c>
      <c r="P124" t="n">
        <v>0</v>
      </c>
      <c r="Q124" t="n">
        <v>0</v>
      </c>
      <c r="R124" t="n">
        <v>0</v>
      </c>
      <c r="S124" t="n">
        <v>0</v>
      </c>
      <c r="T124" t="n">
        <v>0</v>
      </c>
      <c r="U124" s="2" t="inlineStr"/>
    </row>
    <row r="125" ht="15" customHeight="1">
      <c r="A125" t="inlineStr">
        <is>
          <t>A 28975-2025</t>
        </is>
      </c>
      <c r="B125" t="inlineStr">
        <is>
          <t>avverkningsanmälan</t>
        </is>
      </c>
      <c r="C125" t="inlineStr">
        <is>
          <t>Föryngringsavverkning</t>
        </is>
      </c>
      <c r="D125" s="1" t="n">
        <v>45821</v>
      </c>
      <c r="E125" s="1" t="n">
        <v>46220</v>
      </c>
      <c r="F125" t="inlineStr">
        <is>
          <t>ÖREBRO LÄN</t>
        </is>
      </c>
      <c r="G125" t="inlineStr">
        <is>
          <t>HÄLLEFORS</t>
        </is>
      </c>
      <c r="I125" t="n">
        <v>1.9</v>
      </c>
      <c r="J125" t="n">
        <v>0</v>
      </c>
      <c r="K125" t="n">
        <v>0</v>
      </c>
      <c r="L125" t="n">
        <v>0</v>
      </c>
      <c r="M125" t="n">
        <v>0</v>
      </c>
      <c r="N125" t="n">
        <v>0</v>
      </c>
      <c r="O125" t="n">
        <v>0</v>
      </c>
      <c r="P125" t="n">
        <v>0</v>
      </c>
      <c r="Q125" t="n">
        <v>0</v>
      </c>
      <c r="R125" t="n">
        <v>0</v>
      </c>
      <c r="S125" t="n">
        <v>0</v>
      </c>
      <c r="T125" t="n">
        <v>0</v>
      </c>
      <c r="U125" s="2" t="inlineStr"/>
    </row>
    <row r="126" ht="15" customHeight="1">
      <c r="A126" t="inlineStr">
        <is>
          <t>A 67843-2021</t>
        </is>
      </c>
      <c r="B126" t="inlineStr">
        <is>
          <t>avverkningsanmälan</t>
        </is>
      </c>
      <c r="C126" t="inlineStr">
        <is>
          <t>Föryngringsavverkning</t>
        </is>
      </c>
      <c r="D126" s="1" t="n">
        <v>44525</v>
      </c>
      <c r="E126" s="1" t="n">
        <v>46220</v>
      </c>
      <c r="F126" t="inlineStr">
        <is>
          <t>ÖREBRO LÄN</t>
        </is>
      </c>
      <c r="G126" t="inlineStr">
        <is>
          <t>HÄLLEFORS</t>
        </is>
      </c>
      <c r="H126" t="inlineStr">
        <is>
          <t>Bergvik skog väst AB</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28979-2025</t>
        </is>
      </c>
      <c r="B127" t="inlineStr">
        <is>
          <t>avverkningsanmälan</t>
        </is>
      </c>
      <c r="C127" t="inlineStr">
        <is>
          <t>Föryngringsavverkning</t>
        </is>
      </c>
      <c r="D127" s="1" t="n">
        <v>45821</v>
      </c>
      <c r="E127" s="1" t="n">
        <v>46220</v>
      </c>
      <c r="F127" t="inlineStr">
        <is>
          <t>ÖREBRO LÄN</t>
        </is>
      </c>
      <c r="G127" t="inlineStr">
        <is>
          <t>HÄLLEFORS</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12511-2025</t>
        </is>
      </c>
      <c r="B128" t="inlineStr">
        <is>
          <t>avverkningsanmälan</t>
        </is>
      </c>
      <c r="C128" t="inlineStr">
        <is>
          <t>Föryngringsavverkning</t>
        </is>
      </c>
      <c r="D128" s="1" t="n">
        <v>45730</v>
      </c>
      <c r="E128" s="1" t="n">
        <v>46220</v>
      </c>
      <c r="F128" t="inlineStr">
        <is>
          <t>ÖREBRO LÄN</t>
        </is>
      </c>
      <c r="G128" t="inlineStr">
        <is>
          <t>HÄLLEFORS</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17764-2023</t>
        </is>
      </c>
      <c r="B129" t="inlineStr">
        <is>
          <t>avverkningsanmälan</t>
        </is>
      </c>
      <c r="C129" t="inlineStr">
        <is>
          <t>Föryngringsavverkning</t>
        </is>
      </c>
      <c r="D129" s="1" t="n">
        <v>45037</v>
      </c>
      <c r="E129" s="1" t="n">
        <v>46220</v>
      </c>
      <c r="F129" t="inlineStr">
        <is>
          <t>ÖREBRO LÄN</t>
        </is>
      </c>
      <c r="G129" t="inlineStr">
        <is>
          <t>HÄLLEFORS</t>
        </is>
      </c>
      <c r="H129" t="inlineStr">
        <is>
          <t>Bergvik skog väst AB</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65054-2021</t>
        </is>
      </c>
      <c r="B130" t="inlineStr">
        <is>
          <t>avverkningsanmälan</t>
        </is>
      </c>
      <c r="C130" t="inlineStr">
        <is>
          <t>Föryngringsavverkning</t>
        </is>
      </c>
      <c r="D130" s="1" t="n">
        <v>44515</v>
      </c>
      <c r="E130" s="1" t="n">
        <v>46220</v>
      </c>
      <c r="F130" t="inlineStr">
        <is>
          <t>ÖREBRO LÄN</t>
        </is>
      </c>
      <c r="G130" t="inlineStr">
        <is>
          <t>HÄLLEFORS</t>
        </is>
      </c>
      <c r="H130" t="inlineStr">
        <is>
          <t>Bergvik skog väst AB</t>
        </is>
      </c>
      <c r="I130" t="n">
        <v>3.8</v>
      </c>
      <c r="J130" t="n">
        <v>0</v>
      </c>
      <c r="K130" t="n">
        <v>0</v>
      </c>
      <c r="L130" t="n">
        <v>0</v>
      </c>
      <c r="M130" t="n">
        <v>0</v>
      </c>
      <c r="N130" t="n">
        <v>0</v>
      </c>
      <c r="O130" t="n">
        <v>0</v>
      </c>
      <c r="P130" t="n">
        <v>0</v>
      </c>
      <c r="Q130" t="n">
        <v>0</v>
      </c>
      <c r="R130" t="n">
        <v>0</v>
      </c>
      <c r="S130" t="n">
        <v>0</v>
      </c>
      <c r="T130" t="n">
        <v>0</v>
      </c>
      <c r="U130" s="2" t="inlineStr"/>
    </row>
    <row r="131" ht="15" customHeight="1">
      <c r="A131" t="inlineStr">
        <is>
          <t>A 43941-2023</t>
        </is>
      </c>
      <c r="B131" t="inlineStr">
        <is>
          <t>avverkningsanmälan</t>
        </is>
      </c>
      <c r="C131" t="inlineStr">
        <is>
          <t>Föryngringsavverkning</t>
        </is>
      </c>
      <c r="D131" s="1" t="n">
        <v>45187</v>
      </c>
      <c r="E131" s="1" t="n">
        <v>46220</v>
      </c>
      <c r="F131" t="inlineStr">
        <is>
          <t>ÖREBRO LÄN</t>
        </is>
      </c>
      <c r="G131" t="inlineStr">
        <is>
          <t>HÄLLEFORS</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50754-2023</t>
        </is>
      </c>
      <c r="B132" t="inlineStr">
        <is>
          <t>avverkningsanmälan</t>
        </is>
      </c>
      <c r="C132" t="inlineStr">
        <is>
          <t>Föryngringsavverkning</t>
        </is>
      </c>
      <c r="D132" s="1" t="n">
        <v>45217</v>
      </c>
      <c r="E132" s="1" t="n">
        <v>46220</v>
      </c>
      <c r="F132" t="inlineStr">
        <is>
          <t>ÖREBRO LÄN</t>
        </is>
      </c>
      <c r="G132" t="inlineStr">
        <is>
          <t>HÄLLEFORS</t>
        </is>
      </c>
      <c r="H132" t="inlineStr">
        <is>
          <t>Bergvik skog väst AB</t>
        </is>
      </c>
      <c r="I132" t="n">
        <v>5.8</v>
      </c>
      <c r="J132" t="n">
        <v>0</v>
      </c>
      <c r="K132" t="n">
        <v>0</v>
      </c>
      <c r="L132" t="n">
        <v>0</v>
      </c>
      <c r="M132" t="n">
        <v>0</v>
      </c>
      <c r="N132" t="n">
        <v>0</v>
      </c>
      <c r="O132" t="n">
        <v>0</v>
      </c>
      <c r="P132" t="n">
        <v>0</v>
      </c>
      <c r="Q132" t="n">
        <v>0</v>
      </c>
      <c r="R132" t="n">
        <v>0</v>
      </c>
      <c r="S132" t="n">
        <v>0</v>
      </c>
      <c r="T132" t="n">
        <v>0</v>
      </c>
      <c r="U132" s="2" t="inlineStr"/>
    </row>
    <row r="133" ht="15" customHeight="1">
      <c r="A133" t="inlineStr">
        <is>
          <t>A 44400-2025</t>
        </is>
      </c>
      <c r="B133" t="inlineStr">
        <is>
          <t>avverkningsanmälan</t>
        </is>
      </c>
      <c r="C133" t="inlineStr">
        <is>
          <t>Föryngringsavverkning</t>
        </is>
      </c>
      <c r="D133" s="1" t="n">
        <v>45916</v>
      </c>
      <c r="E133" s="1" t="n">
        <v>46220</v>
      </c>
      <c r="F133" t="inlineStr">
        <is>
          <t>ÖREBRO LÄN</t>
        </is>
      </c>
      <c r="G133" t="inlineStr">
        <is>
          <t>HÄLLEFORS</t>
        </is>
      </c>
      <c r="H133" t="inlineStr">
        <is>
          <t>Bergvik skog väst AB</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38429-2023</t>
        </is>
      </c>
      <c r="B134" t="inlineStr">
        <is>
          <t>avverkningsanmälan</t>
        </is>
      </c>
      <c r="C134" t="inlineStr">
        <is>
          <t>Föryngringsavverkning</t>
        </is>
      </c>
      <c r="D134" s="1" t="n">
        <v>45162</v>
      </c>
      <c r="E134" s="1" t="n">
        <v>46220</v>
      </c>
      <c r="F134" t="inlineStr">
        <is>
          <t>ÖREBRO LÄN</t>
        </is>
      </c>
      <c r="G134" t="inlineStr">
        <is>
          <t>HÄLLEFORS</t>
        </is>
      </c>
      <c r="H134" t="inlineStr">
        <is>
          <t>Bergvik skog väst AB</t>
        </is>
      </c>
      <c r="I134" t="n">
        <v>6</v>
      </c>
      <c r="J134" t="n">
        <v>0</v>
      </c>
      <c r="K134" t="n">
        <v>0</v>
      </c>
      <c r="L134" t="n">
        <v>0</v>
      </c>
      <c r="M134" t="n">
        <v>0</v>
      </c>
      <c r="N134" t="n">
        <v>0</v>
      </c>
      <c r="O134" t="n">
        <v>0</v>
      </c>
      <c r="P134" t="n">
        <v>0</v>
      </c>
      <c r="Q134" t="n">
        <v>0</v>
      </c>
      <c r="R134" t="n">
        <v>0</v>
      </c>
      <c r="S134" t="n">
        <v>0</v>
      </c>
      <c r="T134" t="n">
        <v>0</v>
      </c>
      <c r="U134" s="2" t="inlineStr"/>
    </row>
    <row r="135" ht="15" customHeight="1">
      <c r="A135" t="inlineStr">
        <is>
          <t>A 50714-2022</t>
        </is>
      </c>
      <c r="B135" t="inlineStr">
        <is>
          <t>avverkningsanmälan</t>
        </is>
      </c>
      <c r="C135" t="inlineStr">
        <is>
          <t>Föryngringsavverkning</t>
        </is>
      </c>
      <c r="D135" s="1" t="n">
        <v>44867</v>
      </c>
      <c r="E135" s="1" t="n">
        <v>46220</v>
      </c>
      <c r="F135" t="inlineStr">
        <is>
          <t>ÖREBRO LÄN</t>
        </is>
      </c>
      <c r="G135" t="inlineStr">
        <is>
          <t>HÄLLEFORS</t>
        </is>
      </c>
      <c r="H135" t="inlineStr">
        <is>
          <t>Bergvik skog väst AB</t>
        </is>
      </c>
      <c r="I135" t="n">
        <v>2.4</v>
      </c>
      <c r="J135" t="n">
        <v>0</v>
      </c>
      <c r="K135" t="n">
        <v>0</v>
      </c>
      <c r="L135" t="n">
        <v>0</v>
      </c>
      <c r="M135" t="n">
        <v>0</v>
      </c>
      <c r="N135" t="n">
        <v>0</v>
      </c>
      <c r="O135" t="n">
        <v>0</v>
      </c>
      <c r="P135" t="n">
        <v>0</v>
      </c>
      <c r="Q135" t="n">
        <v>0</v>
      </c>
      <c r="R135" t="n">
        <v>0</v>
      </c>
      <c r="S135" t="n">
        <v>0</v>
      </c>
      <c r="T135" t="n">
        <v>0</v>
      </c>
      <c r="U135" s="2" t="inlineStr"/>
    </row>
    <row r="136" ht="15" customHeight="1">
      <c r="A136" t="inlineStr">
        <is>
          <t>A 42863-2022</t>
        </is>
      </c>
      <c r="B136" t="inlineStr">
        <is>
          <t>avverkningsanmälan</t>
        </is>
      </c>
      <c r="C136" t="inlineStr">
        <is>
          <t>Föryngringsavverkning</t>
        </is>
      </c>
      <c r="D136" s="1" t="n">
        <v>44832</v>
      </c>
      <c r="E136" s="1" t="n">
        <v>46220</v>
      </c>
      <c r="F136" t="inlineStr">
        <is>
          <t>ÖREBRO LÄN</t>
        </is>
      </c>
      <c r="G136" t="inlineStr">
        <is>
          <t>HÄLLEFORS</t>
        </is>
      </c>
      <c r="I136" t="n">
        <v>7.2</v>
      </c>
      <c r="J136" t="n">
        <v>0</v>
      </c>
      <c r="K136" t="n">
        <v>0</v>
      </c>
      <c r="L136" t="n">
        <v>0</v>
      </c>
      <c r="M136" t="n">
        <v>0</v>
      </c>
      <c r="N136" t="n">
        <v>0</v>
      </c>
      <c r="O136" t="n">
        <v>0</v>
      </c>
      <c r="P136" t="n">
        <v>0</v>
      </c>
      <c r="Q136" t="n">
        <v>0</v>
      </c>
      <c r="R136" t="n">
        <v>0</v>
      </c>
      <c r="S136" t="n">
        <v>0</v>
      </c>
      <c r="T136" t="n">
        <v>0</v>
      </c>
      <c r="U136" s="2" t="inlineStr"/>
    </row>
    <row r="137" ht="15" customHeight="1">
      <c r="A137" t="inlineStr">
        <is>
          <t>A 4353-2023</t>
        </is>
      </c>
      <c r="B137" t="inlineStr">
        <is>
          <t>avverkningsanmälan</t>
        </is>
      </c>
      <c r="C137" t="inlineStr">
        <is>
          <t>Föryngringsavverkning</t>
        </is>
      </c>
      <c r="D137" s="1" t="n">
        <v>44954</v>
      </c>
      <c r="E137" s="1" t="n">
        <v>46220</v>
      </c>
      <c r="F137" t="inlineStr">
        <is>
          <t>ÖREBRO LÄN</t>
        </is>
      </c>
      <c r="G137" t="inlineStr">
        <is>
          <t>HÄLLEFORS</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34020-2025</t>
        </is>
      </c>
      <c r="B138" t="inlineStr">
        <is>
          <t>avverkningsanmälan</t>
        </is>
      </c>
      <c r="C138" t="inlineStr">
        <is>
          <t>Föryngringsavverkning</t>
        </is>
      </c>
      <c r="D138" s="1" t="n">
        <v>45845</v>
      </c>
      <c r="E138" s="1" t="n">
        <v>46220</v>
      </c>
      <c r="F138" t="inlineStr">
        <is>
          <t>ÖREBRO LÄN</t>
        </is>
      </c>
      <c r="G138" t="inlineStr">
        <is>
          <t>HÄLLEFORS</t>
        </is>
      </c>
      <c r="H138" t="inlineStr">
        <is>
          <t>Bergvik skog väst AB</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34052-2025</t>
        </is>
      </c>
      <c r="B139" t="inlineStr">
        <is>
          <t>avverkningsanmälan</t>
        </is>
      </c>
      <c r="C139" t="inlineStr">
        <is>
          <t>Föryngringsavverkning</t>
        </is>
      </c>
      <c r="D139" s="1" t="n">
        <v>45845</v>
      </c>
      <c r="E139" s="1" t="n">
        <v>46220</v>
      </c>
      <c r="F139" t="inlineStr">
        <is>
          <t>ÖREBRO LÄN</t>
        </is>
      </c>
      <c r="G139" t="inlineStr">
        <is>
          <t>HÄLLEFORS</t>
        </is>
      </c>
      <c r="I139" t="n">
        <v>8.300000000000001</v>
      </c>
      <c r="J139" t="n">
        <v>0</v>
      </c>
      <c r="K139" t="n">
        <v>0</v>
      </c>
      <c r="L139" t="n">
        <v>0</v>
      </c>
      <c r="M139" t="n">
        <v>0</v>
      </c>
      <c r="N139" t="n">
        <v>0</v>
      </c>
      <c r="O139" t="n">
        <v>0</v>
      </c>
      <c r="P139" t="n">
        <v>0</v>
      </c>
      <c r="Q139" t="n">
        <v>0</v>
      </c>
      <c r="R139" t="n">
        <v>0</v>
      </c>
      <c r="S139" t="n">
        <v>0</v>
      </c>
      <c r="T139" t="n">
        <v>0</v>
      </c>
      <c r="U139" s="2" t="inlineStr"/>
    </row>
    <row r="140" ht="15" customHeight="1">
      <c r="A140" t="inlineStr">
        <is>
          <t>A 34059-2025</t>
        </is>
      </c>
      <c r="B140" t="inlineStr">
        <is>
          <t>avverkningsanmälan</t>
        </is>
      </c>
      <c r="C140" t="inlineStr">
        <is>
          <t>Föryngringsavverkning</t>
        </is>
      </c>
      <c r="D140" s="1" t="n">
        <v>45845</v>
      </c>
      <c r="E140" s="1" t="n">
        <v>46220</v>
      </c>
      <c r="F140" t="inlineStr">
        <is>
          <t>ÖREBRO LÄN</t>
        </is>
      </c>
      <c r="G140" t="inlineStr">
        <is>
          <t>HÄLLEFORS</t>
        </is>
      </c>
      <c r="I140" t="n">
        <v>9.199999999999999</v>
      </c>
      <c r="J140" t="n">
        <v>0</v>
      </c>
      <c r="K140" t="n">
        <v>0</v>
      </c>
      <c r="L140" t="n">
        <v>0</v>
      </c>
      <c r="M140" t="n">
        <v>0</v>
      </c>
      <c r="N140" t="n">
        <v>0</v>
      </c>
      <c r="O140" t="n">
        <v>0</v>
      </c>
      <c r="P140" t="n">
        <v>0</v>
      </c>
      <c r="Q140" t="n">
        <v>0</v>
      </c>
      <c r="R140" t="n">
        <v>0</v>
      </c>
      <c r="S140" t="n">
        <v>0</v>
      </c>
      <c r="T140" t="n">
        <v>0</v>
      </c>
      <c r="U140" s="2" t="inlineStr"/>
    </row>
    <row r="141" ht="15" customHeight="1">
      <c r="A141" t="inlineStr">
        <is>
          <t>A 34057-2025</t>
        </is>
      </c>
      <c r="B141" t="inlineStr">
        <is>
          <t>avverkningsanmälan</t>
        </is>
      </c>
      <c r="C141" t="inlineStr">
        <is>
          <t>Föryngringsavverkning</t>
        </is>
      </c>
      <c r="D141" s="1" t="n">
        <v>45845</v>
      </c>
      <c r="E141" s="1" t="n">
        <v>46220</v>
      </c>
      <c r="F141" t="inlineStr">
        <is>
          <t>ÖREBRO LÄN</t>
        </is>
      </c>
      <c r="G141" t="inlineStr">
        <is>
          <t>HÄLLEFORS</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34022-2025</t>
        </is>
      </c>
      <c r="B142" t="inlineStr">
        <is>
          <t>avverkningsanmälan</t>
        </is>
      </c>
      <c r="C142" t="inlineStr">
        <is>
          <t>Föryngringsavverkning</t>
        </is>
      </c>
      <c r="D142" s="1" t="n">
        <v>45845</v>
      </c>
      <c r="E142" s="1" t="n">
        <v>46220</v>
      </c>
      <c r="F142" t="inlineStr">
        <is>
          <t>ÖREBRO LÄN</t>
        </is>
      </c>
      <c r="G142" t="inlineStr">
        <is>
          <t>HÄLLEFORS</t>
        </is>
      </c>
      <c r="H142" t="inlineStr">
        <is>
          <t>Bergvik skog väst AB</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34093-2025</t>
        </is>
      </c>
      <c r="B143" t="inlineStr">
        <is>
          <t>avverkningsanmälan</t>
        </is>
      </c>
      <c r="C143" t="inlineStr">
        <is>
          <t>Föryngringsavverkning</t>
        </is>
      </c>
      <c r="D143" s="1" t="n">
        <v>45845</v>
      </c>
      <c r="E143" s="1" t="n">
        <v>46220</v>
      </c>
      <c r="F143" t="inlineStr">
        <is>
          <t>ÖREBRO LÄN</t>
        </is>
      </c>
      <c r="G143" t="inlineStr">
        <is>
          <t>HÄLLEFORS</t>
        </is>
      </c>
      <c r="H143" t="inlineStr">
        <is>
          <t>Bergvik skog väst AB</t>
        </is>
      </c>
      <c r="I143" t="n">
        <v>1.5</v>
      </c>
      <c r="J143" t="n">
        <v>0</v>
      </c>
      <c r="K143" t="n">
        <v>0</v>
      </c>
      <c r="L143" t="n">
        <v>0</v>
      </c>
      <c r="M143" t="n">
        <v>0</v>
      </c>
      <c r="N143" t="n">
        <v>0</v>
      </c>
      <c r="O143" t="n">
        <v>0</v>
      </c>
      <c r="P143" t="n">
        <v>0</v>
      </c>
      <c r="Q143" t="n">
        <v>0</v>
      </c>
      <c r="R143" t="n">
        <v>0</v>
      </c>
      <c r="S143" t="n">
        <v>0</v>
      </c>
      <c r="T143" t="n">
        <v>0</v>
      </c>
      <c r="U143" s="2" t="inlineStr"/>
    </row>
    <row r="144" ht="15" customHeight="1">
      <c r="A144" t="inlineStr">
        <is>
          <t>A 34062-2025</t>
        </is>
      </c>
      <c r="B144" t="inlineStr">
        <is>
          <t>avverkningsanmälan</t>
        </is>
      </c>
      <c r="C144" t="inlineStr">
        <is>
          <t>Föryngringsavverkning</t>
        </is>
      </c>
      <c r="D144" s="1" t="n">
        <v>45845</v>
      </c>
      <c r="E144" s="1" t="n">
        <v>46220</v>
      </c>
      <c r="F144" t="inlineStr">
        <is>
          <t>ÖREBRO LÄN</t>
        </is>
      </c>
      <c r="G144" t="inlineStr">
        <is>
          <t>HÄLLEFORS</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16999-2024</t>
        </is>
      </c>
      <c r="B145" t="inlineStr">
        <is>
          <t>avverkningsanmälan</t>
        </is>
      </c>
      <c r="C145" t="inlineStr">
        <is>
          <t>Föryngringsavverkning</t>
        </is>
      </c>
      <c r="D145" s="1" t="n">
        <v>45412</v>
      </c>
      <c r="E145" s="1" t="n">
        <v>46220</v>
      </c>
      <c r="F145" t="inlineStr">
        <is>
          <t>ÖREBRO LÄN</t>
        </is>
      </c>
      <c r="G145" t="inlineStr">
        <is>
          <t>HÄLLEFORS</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59955-2024</t>
        </is>
      </c>
      <c r="B146" t="inlineStr">
        <is>
          <t>avverkningsanmälan</t>
        </is>
      </c>
      <c r="C146" t="inlineStr">
        <is>
          <t>Föryngringsavverkning</t>
        </is>
      </c>
      <c r="D146" s="1" t="n">
        <v>45642</v>
      </c>
      <c r="E146" s="1" t="n">
        <v>46220</v>
      </c>
      <c r="F146" t="inlineStr">
        <is>
          <t>ÖREBRO LÄN</t>
        </is>
      </c>
      <c r="G146" t="inlineStr">
        <is>
          <t>HÄLLEFORS</t>
        </is>
      </c>
      <c r="H146" t="inlineStr">
        <is>
          <t>Bergvik skog väst AB</t>
        </is>
      </c>
      <c r="I146" t="n">
        <v>3.4</v>
      </c>
      <c r="J146" t="n">
        <v>0</v>
      </c>
      <c r="K146" t="n">
        <v>0</v>
      </c>
      <c r="L146" t="n">
        <v>0</v>
      </c>
      <c r="M146" t="n">
        <v>0</v>
      </c>
      <c r="N146" t="n">
        <v>0</v>
      </c>
      <c r="O146" t="n">
        <v>0</v>
      </c>
      <c r="P146" t="n">
        <v>0</v>
      </c>
      <c r="Q146" t="n">
        <v>0</v>
      </c>
      <c r="R146" t="n">
        <v>0</v>
      </c>
      <c r="S146" t="n">
        <v>0</v>
      </c>
      <c r="T146" t="n">
        <v>0</v>
      </c>
      <c r="U146" s="2" t="inlineStr"/>
    </row>
    <row r="147" ht="15" customHeight="1">
      <c r="A147" t="inlineStr">
        <is>
          <t>A 39327-2022</t>
        </is>
      </c>
      <c r="B147" t="inlineStr">
        <is>
          <t>avverkningsanmälan</t>
        </is>
      </c>
      <c r="C147" t="inlineStr">
        <is>
          <t>Föryngringsavverkning</t>
        </is>
      </c>
      <c r="D147" s="1" t="n">
        <v>44817</v>
      </c>
      <c r="E147" s="1" t="n">
        <v>46220</v>
      </c>
      <c r="F147" t="inlineStr">
        <is>
          <t>ÖREBRO LÄN</t>
        </is>
      </c>
      <c r="G147" t="inlineStr">
        <is>
          <t>HÄLLEFORS</t>
        </is>
      </c>
      <c r="H147" t="inlineStr">
        <is>
          <t>Bergvik skog väst AB</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17075-2025</t>
        </is>
      </c>
      <c r="B148" t="inlineStr">
        <is>
          <t>avverkningsanmälan</t>
        </is>
      </c>
      <c r="C148" t="inlineStr">
        <is>
          <t>Föryngringsavverkning</t>
        </is>
      </c>
      <c r="D148" s="1" t="n">
        <v>45755</v>
      </c>
      <c r="E148" s="1" t="n">
        <v>46220</v>
      </c>
      <c r="F148" t="inlineStr">
        <is>
          <t>ÖREBRO LÄN</t>
        </is>
      </c>
      <c r="G148" t="inlineStr">
        <is>
          <t>HÄLLEFORS</t>
        </is>
      </c>
      <c r="H148" t="inlineStr">
        <is>
          <t>Bergvik skog väst AB</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9411-2022</t>
        </is>
      </c>
      <c r="B149" t="inlineStr">
        <is>
          <t>avverkningsanmälan</t>
        </is>
      </c>
      <c r="C149" t="inlineStr">
        <is>
          <t>Föryngringsavverkning</t>
        </is>
      </c>
      <c r="D149" s="1" t="n">
        <v>44616</v>
      </c>
      <c r="E149" s="1" t="n">
        <v>46220</v>
      </c>
      <c r="F149" t="inlineStr">
        <is>
          <t>ÖREBRO LÄN</t>
        </is>
      </c>
      <c r="G149" t="inlineStr">
        <is>
          <t>HÄLLEFORS</t>
        </is>
      </c>
      <c r="I149" t="n">
        <v>2.4</v>
      </c>
      <c r="J149" t="n">
        <v>0</v>
      </c>
      <c r="K149" t="n">
        <v>0</v>
      </c>
      <c r="L149" t="n">
        <v>0</v>
      </c>
      <c r="M149" t="n">
        <v>0</v>
      </c>
      <c r="N149" t="n">
        <v>0</v>
      </c>
      <c r="O149" t="n">
        <v>0</v>
      </c>
      <c r="P149" t="n">
        <v>0</v>
      </c>
      <c r="Q149" t="n">
        <v>0</v>
      </c>
      <c r="R149" t="n">
        <v>0</v>
      </c>
      <c r="S149" t="n">
        <v>0</v>
      </c>
      <c r="T149" t="n">
        <v>0</v>
      </c>
      <c r="U149" s="2" t="inlineStr"/>
    </row>
    <row r="150" ht="15" customHeight="1">
      <c r="A150" t="inlineStr">
        <is>
          <t>A 33944-2024</t>
        </is>
      </c>
      <c r="B150" t="inlineStr">
        <is>
          <t>avverkningsanmälan</t>
        </is>
      </c>
      <c r="C150" t="inlineStr">
        <is>
          <t>Avverkning för att bevara och utveckla /försöksver</t>
        </is>
      </c>
      <c r="D150" s="1" t="n">
        <v>45523</v>
      </c>
      <c r="E150" s="1" t="n">
        <v>46220</v>
      </c>
      <c r="F150" t="inlineStr">
        <is>
          <t>ÖREBRO LÄN</t>
        </is>
      </c>
      <c r="G150" t="inlineStr">
        <is>
          <t>HÄLLEFORS</t>
        </is>
      </c>
      <c r="I150" t="n">
        <v>5.9</v>
      </c>
      <c r="J150" t="n">
        <v>0</v>
      </c>
      <c r="K150" t="n">
        <v>0</v>
      </c>
      <c r="L150" t="n">
        <v>0</v>
      </c>
      <c r="M150" t="n">
        <v>0</v>
      </c>
      <c r="N150" t="n">
        <v>0</v>
      </c>
      <c r="O150" t="n">
        <v>0</v>
      </c>
      <c r="P150" t="n">
        <v>0</v>
      </c>
      <c r="Q150" t="n">
        <v>0</v>
      </c>
      <c r="R150" t="n">
        <v>0</v>
      </c>
      <c r="S150" t="n">
        <v>0</v>
      </c>
      <c r="T150" t="n">
        <v>0</v>
      </c>
      <c r="U150" s="2" t="inlineStr"/>
    </row>
    <row r="151" ht="15" customHeight="1">
      <c r="A151" t="inlineStr">
        <is>
          <t>A 35183-2023</t>
        </is>
      </c>
      <c r="B151" t="inlineStr">
        <is>
          <t>avverkningsanmälan</t>
        </is>
      </c>
      <c r="C151" t="inlineStr">
        <is>
          <t>Föryngringsavverkning</t>
        </is>
      </c>
      <c r="D151" s="1" t="n">
        <v>45145</v>
      </c>
      <c r="E151" s="1" t="n">
        <v>46220</v>
      </c>
      <c r="F151" t="inlineStr">
        <is>
          <t>ÖREBRO LÄN</t>
        </is>
      </c>
      <c r="G151" t="inlineStr">
        <is>
          <t>HÄLLEFORS</t>
        </is>
      </c>
      <c r="H151" t="inlineStr">
        <is>
          <t>Bergvik skog väst AB</t>
        </is>
      </c>
      <c r="I151" t="n">
        <v>6.6</v>
      </c>
      <c r="J151" t="n">
        <v>0</v>
      </c>
      <c r="K151" t="n">
        <v>0</v>
      </c>
      <c r="L151" t="n">
        <v>0</v>
      </c>
      <c r="M151" t="n">
        <v>0</v>
      </c>
      <c r="N151" t="n">
        <v>0</v>
      </c>
      <c r="O151" t="n">
        <v>0</v>
      </c>
      <c r="P151" t="n">
        <v>0</v>
      </c>
      <c r="Q151" t="n">
        <v>0</v>
      </c>
      <c r="R151" t="n">
        <v>0</v>
      </c>
      <c r="S151" t="n">
        <v>0</v>
      </c>
      <c r="T151" t="n">
        <v>0</v>
      </c>
      <c r="U151" s="2" t="inlineStr"/>
    </row>
    <row r="152" ht="15" customHeight="1">
      <c r="A152" t="inlineStr">
        <is>
          <t>A 9537-2025</t>
        </is>
      </c>
      <c r="B152" t="inlineStr">
        <is>
          <t>avverkningsanmälan</t>
        </is>
      </c>
      <c r="C152" t="inlineStr">
        <is>
          <t>Föryngringsavverkning</t>
        </is>
      </c>
      <c r="D152" s="1" t="n">
        <v>45715</v>
      </c>
      <c r="E152" s="1" t="n">
        <v>46220</v>
      </c>
      <c r="F152" t="inlineStr">
        <is>
          <t>ÖREBRO LÄN</t>
        </is>
      </c>
      <c r="G152" t="inlineStr">
        <is>
          <t>HÄLLEFORS</t>
        </is>
      </c>
      <c r="I152" t="n">
        <v>2.7</v>
      </c>
      <c r="J152" t="n">
        <v>0</v>
      </c>
      <c r="K152" t="n">
        <v>0</v>
      </c>
      <c r="L152" t="n">
        <v>0</v>
      </c>
      <c r="M152" t="n">
        <v>0</v>
      </c>
      <c r="N152" t="n">
        <v>0</v>
      </c>
      <c r="O152" t="n">
        <v>0</v>
      </c>
      <c r="P152" t="n">
        <v>0</v>
      </c>
      <c r="Q152" t="n">
        <v>0</v>
      </c>
      <c r="R152" t="n">
        <v>0</v>
      </c>
      <c r="S152" t="n">
        <v>0</v>
      </c>
      <c r="T152" t="n">
        <v>0</v>
      </c>
      <c r="U152" s="2" t="inlineStr"/>
    </row>
    <row r="153" ht="15" customHeight="1">
      <c r="A153" t="inlineStr">
        <is>
          <t>A 12558-2025</t>
        </is>
      </c>
      <c r="B153" t="inlineStr">
        <is>
          <t>avverkningsanmälan</t>
        </is>
      </c>
      <c r="C153" t="inlineStr">
        <is>
          <t>Föryngringsavverkning</t>
        </is>
      </c>
      <c r="D153" s="1" t="n">
        <v>45731</v>
      </c>
      <c r="E153" s="1" t="n">
        <v>46220</v>
      </c>
      <c r="F153" t="inlineStr">
        <is>
          <t>ÖREBRO LÄN</t>
        </is>
      </c>
      <c r="G153" t="inlineStr">
        <is>
          <t>HÄLLEFORS</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48961-2025</t>
        </is>
      </c>
      <c r="B154" t="inlineStr">
        <is>
          <t>avverkningsanmälan</t>
        </is>
      </c>
      <c r="C154" t="inlineStr">
        <is>
          <t>Föryngringsavverkning</t>
        </is>
      </c>
      <c r="D154" s="1" t="n">
        <v>45936</v>
      </c>
      <c r="E154" s="1" t="n">
        <v>46220</v>
      </c>
      <c r="F154" t="inlineStr">
        <is>
          <t>ÖREBRO LÄN</t>
        </is>
      </c>
      <c r="G154" t="inlineStr">
        <is>
          <t>HÄLLEFORS</t>
        </is>
      </c>
      <c r="I154" t="n">
        <v>3.7</v>
      </c>
      <c r="J154" t="n">
        <v>0</v>
      </c>
      <c r="K154" t="n">
        <v>0</v>
      </c>
      <c r="L154" t="n">
        <v>0</v>
      </c>
      <c r="M154" t="n">
        <v>0</v>
      </c>
      <c r="N154" t="n">
        <v>0</v>
      </c>
      <c r="O154" t="n">
        <v>0</v>
      </c>
      <c r="P154" t="n">
        <v>0</v>
      </c>
      <c r="Q154" t="n">
        <v>0</v>
      </c>
      <c r="R154" t="n">
        <v>0</v>
      </c>
      <c r="S154" t="n">
        <v>0</v>
      </c>
      <c r="T154" t="n">
        <v>0</v>
      </c>
      <c r="U154" s="2" t="inlineStr"/>
    </row>
    <row r="155" ht="15" customHeight="1">
      <c r="A155" t="inlineStr">
        <is>
          <t>A 20128-2024</t>
        </is>
      </c>
      <c r="B155" t="inlineStr">
        <is>
          <t>avverkningsanmälan</t>
        </is>
      </c>
      <c r="C155" t="inlineStr">
        <is>
          <t>Föryngringsavverkning</t>
        </is>
      </c>
      <c r="D155" s="1" t="n">
        <v>45434</v>
      </c>
      <c r="E155" s="1" t="n">
        <v>46220</v>
      </c>
      <c r="F155" t="inlineStr">
        <is>
          <t>ÖREBRO LÄN</t>
        </is>
      </c>
      <c r="G155" t="inlineStr">
        <is>
          <t>HÄLLEFORS</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15771-2022</t>
        </is>
      </c>
      <c r="B156" t="inlineStr">
        <is>
          <t>avverkningsanmälan</t>
        </is>
      </c>
      <c r="C156" t="inlineStr">
        <is>
          <t>Föryngringsavverkning</t>
        </is>
      </c>
      <c r="D156" s="1" t="n">
        <v>44663</v>
      </c>
      <c r="E156" s="1" t="n">
        <v>46220</v>
      </c>
      <c r="F156" t="inlineStr">
        <is>
          <t>ÖREBRO LÄN</t>
        </is>
      </c>
      <c r="G156" t="inlineStr">
        <is>
          <t>HÄLLEFORS</t>
        </is>
      </c>
      <c r="H156" t="inlineStr">
        <is>
          <t>Bergvik skog väst AB</t>
        </is>
      </c>
      <c r="I156" t="n">
        <v>4.4</v>
      </c>
      <c r="J156" t="n">
        <v>0</v>
      </c>
      <c r="K156" t="n">
        <v>0</v>
      </c>
      <c r="L156" t="n">
        <v>0</v>
      </c>
      <c r="M156" t="n">
        <v>0</v>
      </c>
      <c r="N156" t="n">
        <v>0</v>
      </c>
      <c r="O156" t="n">
        <v>0</v>
      </c>
      <c r="P156" t="n">
        <v>0</v>
      </c>
      <c r="Q156" t="n">
        <v>0</v>
      </c>
      <c r="R156" t="n">
        <v>0</v>
      </c>
      <c r="S156" t="n">
        <v>0</v>
      </c>
      <c r="T156" t="n">
        <v>0</v>
      </c>
      <c r="U156" s="2" t="inlineStr"/>
    </row>
    <row r="157" ht="15" customHeight="1">
      <c r="A157" t="inlineStr">
        <is>
          <t>A 5245-2025</t>
        </is>
      </c>
      <c r="B157" t="inlineStr">
        <is>
          <t>avverkningsanmälan</t>
        </is>
      </c>
      <c r="C157" t="inlineStr">
        <is>
          <t>Föryngringsavverkning</t>
        </is>
      </c>
      <c r="D157" s="1" t="n">
        <v>45692</v>
      </c>
      <c r="E157" s="1" t="n">
        <v>46220</v>
      </c>
      <c r="F157" t="inlineStr">
        <is>
          <t>ÖREBRO LÄN</t>
        </is>
      </c>
      <c r="G157" t="inlineStr">
        <is>
          <t>HÄLLEFORS</t>
        </is>
      </c>
      <c r="H157" t="inlineStr">
        <is>
          <t>Bergvik skog väst AB</t>
        </is>
      </c>
      <c r="I157" t="n">
        <v>8.699999999999999</v>
      </c>
      <c r="J157" t="n">
        <v>0</v>
      </c>
      <c r="K157" t="n">
        <v>0</v>
      </c>
      <c r="L157" t="n">
        <v>0</v>
      </c>
      <c r="M157" t="n">
        <v>0</v>
      </c>
      <c r="N157" t="n">
        <v>0</v>
      </c>
      <c r="O157" t="n">
        <v>0</v>
      </c>
      <c r="P157" t="n">
        <v>0</v>
      </c>
      <c r="Q157" t="n">
        <v>0</v>
      </c>
      <c r="R157" t="n">
        <v>0</v>
      </c>
      <c r="S157" t="n">
        <v>0</v>
      </c>
      <c r="T157" t="n">
        <v>0</v>
      </c>
      <c r="U157" s="2" t="inlineStr"/>
    </row>
    <row r="158" ht="15" customHeight="1">
      <c r="A158" t="inlineStr">
        <is>
          <t>A 58768-2024</t>
        </is>
      </c>
      <c r="B158" t="inlineStr">
        <is>
          <t>avverkningsanmälan</t>
        </is>
      </c>
      <c r="C158" t="inlineStr">
        <is>
          <t>Föryngringsavverkning</t>
        </is>
      </c>
      <c r="D158" s="1" t="n">
        <v>45635</v>
      </c>
      <c r="E158" s="1" t="n">
        <v>46220</v>
      </c>
      <c r="F158" t="inlineStr">
        <is>
          <t>ÖREBRO LÄN</t>
        </is>
      </c>
      <c r="G158" t="inlineStr">
        <is>
          <t>HÄLLEFORS</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3837-2026</t>
        </is>
      </c>
      <c r="B159" t="inlineStr">
        <is>
          <t>avverkningsanmälan</t>
        </is>
      </c>
      <c r="C159" t="inlineStr">
        <is>
          <t>Föryngringsavverkning</t>
        </is>
      </c>
      <c r="D159" s="1" t="n">
        <v>46043</v>
      </c>
      <c r="E159" s="1" t="n">
        <v>46220</v>
      </c>
      <c r="F159" t="inlineStr">
        <is>
          <t>ÖREBRO LÄN</t>
        </is>
      </c>
      <c r="G159" t="inlineStr">
        <is>
          <t>HÄLLEFORS</t>
        </is>
      </c>
      <c r="I159" t="n">
        <v>3.5</v>
      </c>
      <c r="J159" t="n">
        <v>0</v>
      </c>
      <c r="K159" t="n">
        <v>0</v>
      </c>
      <c r="L159" t="n">
        <v>0</v>
      </c>
      <c r="M159" t="n">
        <v>0</v>
      </c>
      <c r="N159" t="n">
        <v>0</v>
      </c>
      <c r="O159" t="n">
        <v>0</v>
      </c>
      <c r="P159" t="n">
        <v>0</v>
      </c>
      <c r="Q159" t="n">
        <v>0</v>
      </c>
      <c r="R159" t="n">
        <v>0</v>
      </c>
      <c r="S159" t="n">
        <v>0</v>
      </c>
      <c r="T159" t="n">
        <v>0</v>
      </c>
      <c r="U159" s="2" t="inlineStr"/>
    </row>
    <row r="160" ht="15" customHeight="1">
      <c r="A160" t="inlineStr">
        <is>
          <t>A 51159-2023</t>
        </is>
      </c>
      <c r="B160" t="inlineStr">
        <is>
          <t>avverkningsanmälan</t>
        </is>
      </c>
      <c r="C160" t="inlineStr">
        <is>
          <t>Föryngringsavverkning</t>
        </is>
      </c>
      <c r="D160" s="1" t="n">
        <v>45219</v>
      </c>
      <c r="E160" s="1" t="n">
        <v>46220</v>
      </c>
      <c r="F160" t="inlineStr">
        <is>
          <t>ÖREBRO LÄN</t>
        </is>
      </c>
      <c r="G160" t="inlineStr">
        <is>
          <t>HÄLLEFORS</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3365-2026</t>
        </is>
      </c>
      <c r="B161" t="inlineStr">
        <is>
          <t>avverkningsanmälan</t>
        </is>
      </c>
      <c r="C161" t="inlineStr">
        <is>
          <t>Föryngringsavverkning</t>
        </is>
      </c>
      <c r="D161" s="1" t="n">
        <v>46042</v>
      </c>
      <c r="E161" s="1" t="n">
        <v>46220</v>
      </c>
      <c r="F161" t="inlineStr">
        <is>
          <t>ÖREBRO LÄN</t>
        </is>
      </c>
      <c r="G161" t="inlineStr">
        <is>
          <t>HÄLLEFORS</t>
        </is>
      </c>
      <c r="H161" t="inlineStr">
        <is>
          <t>Bergvik skog väst AB</t>
        </is>
      </c>
      <c r="I161" t="n">
        <v>4.1</v>
      </c>
      <c r="J161" t="n">
        <v>0</v>
      </c>
      <c r="K161" t="n">
        <v>0</v>
      </c>
      <c r="L161" t="n">
        <v>0</v>
      </c>
      <c r="M161" t="n">
        <v>0</v>
      </c>
      <c r="N161" t="n">
        <v>0</v>
      </c>
      <c r="O161" t="n">
        <v>0</v>
      </c>
      <c r="P161" t="n">
        <v>0</v>
      </c>
      <c r="Q161" t="n">
        <v>0</v>
      </c>
      <c r="R161" t="n">
        <v>0</v>
      </c>
      <c r="S161" t="n">
        <v>0</v>
      </c>
      <c r="T161" t="n">
        <v>0</v>
      </c>
      <c r="U161" s="2" t="inlineStr"/>
    </row>
    <row r="162" ht="15" customHeight="1">
      <c r="A162" t="inlineStr">
        <is>
          <t>A 39513-2024</t>
        </is>
      </c>
      <c r="B162" t="inlineStr">
        <is>
          <t>avverkningsanmälan</t>
        </is>
      </c>
      <c r="C162" t="inlineStr">
        <is>
          <t>Avverkning för annat ändamål</t>
        </is>
      </c>
      <c r="D162" s="1" t="n">
        <v>45551</v>
      </c>
      <c r="E162" s="1" t="n">
        <v>46220</v>
      </c>
      <c r="F162" t="inlineStr">
        <is>
          <t>ÖREBRO LÄN</t>
        </is>
      </c>
      <c r="G162" t="inlineStr">
        <is>
          <t>HÄLLEFORS</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62265-2022</t>
        </is>
      </c>
      <c r="B163" t="inlineStr">
        <is>
          <t>avverkningsanmälan</t>
        </is>
      </c>
      <c r="C163" t="inlineStr">
        <is>
          <t>Föryngringsavverkning</t>
        </is>
      </c>
      <c r="D163" s="1" t="n">
        <v>44923</v>
      </c>
      <c r="E163" s="1" t="n">
        <v>46220</v>
      </c>
      <c r="F163" t="inlineStr">
        <is>
          <t>ÖREBRO LÄN</t>
        </is>
      </c>
      <c r="G163" t="inlineStr">
        <is>
          <t>HÄLLEFORS</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50881-2025</t>
        </is>
      </c>
      <c r="B164" t="inlineStr">
        <is>
          <t>avverkningsanmälan</t>
        </is>
      </c>
      <c r="C164" t="inlineStr">
        <is>
          <t>Föryngringsavverkning</t>
        </is>
      </c>
      <c r="D164" s="1" t="n">
        <v>45946</v>
      </c>
      <c r="E164" s="1" t="n">
        <v>46220</v>
      </c>
      <c r="F164" t="inlineStr">
        <is>
          <t>ÖREBRO LÄN</t>
        </is>
      </c>
      <c r="G164" t="inlineStr">
        <is>
          <t>HÄLLEFORS</t>
        </is>
      </c>
      <c r="H164" t="inlineStr">
        <is>
          <t>Bergvik skog väst AB</t>
        </is>
      </c>
      <c r="I164" t="n">
        <v>2.6</v>
      </c>
      <c r="J164" t="n">
        <v>0</v>
      </c>
      <c r="K164" t="n">
        <v>0</v>
      </c>
      <c r="L164" t="n">
        <v>0</v>
      </c>
      <c r="M164" t="n">
        <v>0</v>
      </c>
      <c r="N164" t="n">
        <v>0</v>
      </c>
      <c r="O164" t="n">
        <v>0</v>
      </c>
      <c r="P164" t="n">
        <v>0</v>
      </c>
      <c r="Q164" t="n">
        <v>0</v>
      </c>
      <c r="R164" t="n">
        <v>0</v>
      </c>
      <c r="S164" t="n">
        <v>0</v>
      </c>
      <c r="T164" t="n">
        <v>0</v>
      </c>
      <c r="U164" s="2" t="inlineStr"/>
    </row>
    <row r="165" ht="15" customHeight="1">
      <c r="A165" t="inlineStr">
        <is>
          <t>A 50794-2025</t>
        </is>
      </c>
      <c r="B165" t="inlineStr">
        <is>
          <t>avverkningsanmälan</t>
        </is>
      </c>
      <c r="C165" t="inlineStr">
        <is>
          <t>Föryngringsavverkning</t>
        </is>
      </c>
      <c r="D165" s="1" t="n">
        <v>45946</v>
      </c>
      <c r="E165" s="1" t="n">
        <v>46220</v>
      </c>
      <c r="F165" t="inlineStr">
        <is>
          <t>ÖREBRO LÄN</t>
        </is>
      </c>
      <c r="G165" t="inlineStr">
        <is>
          <t>HÄLLEFORS</t>
        </is>
      </c>
      <c r="H165" t="inlineStr">
        <is>
          <t>Bergvik skog väst AB</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50798-2025</t>
        </is>
      </c>
      <c r="B166" t="inlineStr">
        <is>
          <t>avverkningsanmälan</t>
        </is>
      </c>
      <c r="C166" t="inlineStr">
        <is>
          <t>Föryngringsavverkning</t>
        </is>
      </c>
      <c r="D166" s="1" t="n">
        <v>45946</v>
      </c>
      <c r="E166" s="1" t="n">
        <v>46220</v>
      </c>
      <c r="F166" t="inlineStr">
        <is>
          <t>ÖREBRO LÄN</t>
        </is>
      </c>
      <c r="G166" t="inlineStr">
        <is>
          <t>HÄLLEFORS</t>
        </is>
      </c>
      <c r="H166" t="inlineStr">
        <is>
          <t>Bergvik skog väst AB</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4125-2026</t>
        </is>
      </c>
      <c r="B167" t="inlineStr">
        <is>
          <t>avverkningsanmälan</t>
        </is>
      </c>
      <c r="C167" t="inlineStr">
        <is>
          <t>Föryngringsavverkning</t>
        </is>
      </c>
      <c r="D167" s="1" t="n">
        <v>46044</v>
      </c>
      <c r="E167" s="1" t="n">
        <v>46220</v>
      </c>
      <c r="F167" t="inlineStr">
        <is>
          <t>ÖREBRO LÄN</t>
        </is>
      </c>
      <c r="G167" t="inlineStr">
        <is>
          <t>HÄLLEFORS</t>
        </is>
      </c>
      <c r="I167" t="n">
        <v>3.5</v>
      </c>
      <c r="J167" t="n">
        <v>0</v>
      </c>
      <c r="K167" t="n">
        <v>0</v>
      </c>
      <c r="L167" t="n">
        <v>0</v>
      </c>
      <c r="M167" t="n">
        <v>0</v>
      </c>
      <c r="N167" t="n">
        <v>0</v>
      </c>
      <c r="O167" t="n">
        <v>0</v>
      </c>
      <c r="P167" t="n">
        <v>0</v>
      </c>
      <c r="Q167" t="n">
        <v>0</v>
      </c>
      <c r="R167" t="n">
        <v>0</v>
      </c>
      <c r="S167" t="n">
        <v>0</v>
      </c>
      <c r="T167" t="n">
        <v>0</v>
      </c>
      <c r="U167" s="2" t="inlineStr"/>
    </row>
    <row r="168" ht="15" customHeight="1">
      <c r="A168" t="inlineStr">
        <is>
          <t>A 60518-2021</t>
        </is>
      </c>
      <c r="B168" t="inlineStr">
        <is>
          <t>avverkningsanmälan</t>
        </is>
      </c>
      <c r="C168" t="inlineStr">
        <is>
          <t>Föryngringsavverkning</t>
        </is>
      </c>
      <c r="D168" s="1" t="n">
        <v>44496</v>
      </c>
      <c r="E168" s="1" t="n">
        <v>46220</v>
      </c>
      <c r="F168" t="inlineStr">
        <is>
          <t>ÖREBRO LÄN</t>
        </is>
      </c>
      <c r="G168" t="inlineStr">
        <is>
          <t>HÄLLEFORS</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21901-2023</t>
        </is>
      </c>
      <c r="B169" t="inlineStr">
        <is>
          <t>avverkningsanmälan</t>
        </is>
      </c>
      <c r="C169" t="inlineStr">
        <is>
          <t>Föryngringsavverkning</t>
        </is>
      </c>
      <c r="D169" s="1" t="n">
        <v>45068</v>
      </c>
      <c r="E169" s="1" t="n">
        <v>46220</v>
      </c>
      <c r="F169" t="inlineStr">
        <is>
          <t>ÖREBRO LÄN</t>
        </is>
      </c>
      <c r="G169" t="inlineStr">
        <is>
          <t>HÄLLEFORS</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29027-2024</t>
        </is>
      </c>
      <c r="B170" t="inlineStr">
        <is>
          <t>avverkningsanmälan</t>
        </is>
      </c>
      <c r="C170" t="inlineStr">
        <is>
          <t>Föryngringsavverkning</t>
        </is>
      </c>
      <c r="D170" s="1" t="n">
        <v>45481</v>
      </c>
      <c r="E170" s="1" t="n">
        <v>46220</v>
      </c>
      <c r="F170" t="inlineStr">
        <is>
          <t>ÖREBRO LÄN</t>
        </is>
      </c>
      <c r="G170" t="inlineStr">
        <is>
          <t>HÄLLEFORS</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46980-2023</t>
        </is>
      </c>
      <c r="B171" t="inlineStr">
        <is>
          <t>avverkningsanmälan</t>
        </is>
      </c>
      <c r="C171" t="inlineStr">
        <is>
          <t>Föryngringsavverkning</t>
        </is>
      </c>
      <c r="D171" s="1" t="n">
        <v>45201</v>
      </c>
      <c r="E171" s="1" t="n">
        <v>46220</v>
      </c>
      <c r="F171" t="inlineStr">
        <is>
          <t>ÖREBRO LÄN</t>
        </is>
      </c>
      <c r="G171" t="inlineStr">
        <is>
          <t>HÄLLEFORS</t>
        </is>
      </c>
      <c r="H171" t="inlineStr">
        <is>
          <t>Bergvik skog väst AB</t>
        </is>
      </c>
      <c r="I171" t="n">
        <v>7.5</v>
      </c>
      <c r="J171" t="n">
        <v>0</v>
      </c>
      <c r="K171" t="n">
        <v>0</v>
      </c>
      <c r="L171" t="n">
        <v>0</v>
      </c>
      <c r="M171" t="n">
        <v>0</v>
      </c>
      <c r="N171" t="n">
        <v>0</v>
      </c>
      <c r="O171" t="n">
        <v>0</v>
      </c>
      <c r="P171" t="n">
        <v>0</v>
      </c>
      <c r="Q171" t="n">
        <v>0</v>
      </c>
      <c r="R171" t="n">
        <v>0</v>
      </c>
      <c r="S171" t="n">
        <v>0</v>
      </c>
      <c r="T171" t="n">
        <v>0</v>
      </c>
      <c r="U171" s="2" t="inlineStr"/>
    </row>
    <row r="172" ht="15" customHeight="1">
      <c r="A172" t="inlineStr">
        <is>
          <t>A 9539-2025</t>
        </is>
      </c>
      <c r="B172" t="inlineStr">
        <is>
          <t>avverkningsanmälan</t>
        </is>
      </c>
      <c r="C172" t="inlineStr">
        <is>
          <t>Föryngringsavverkning</t>
        </is>
      </c>
      <c r="D172" s="1" t="n">
        <v>45715</v>
      </c>
      <c r="E172" s="1" t="n">
        <v>46220</v>
      </c>
      <c r="F172" t="inlineStr">
        <is>
          <t>ÖREBRO LÄN</t>
        </is>
      </c>
      <c r="G172" t="inlineStr">
        <is>
          <t>HÄLLEFORS</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52449-2025</t>
        </is>
      </c>
      <c r="B173" t="inlineStr">
        <is>
          <t>avverkningsanmälan</t>
        </is>
      </c>
      <c r="C173" t="inlineStr">
        <is>
          <t>Avverkning för att bevara och utveckla /försöksver</t>
        </is>
      </c>
      <c r="D173" s="1" t="n">
        <v>45954</v>
      </c>
      <c r="E173" s="1" t="n">
        <v>46220</v>
      </c>
      <c r="F173" t="inlineStr">
        <is>
          <t>ÖREBRO LÄN</t>
        </is>
      </c>
      <c r="G173" t="inlineStr">
        <is>
          <t>HÄLLEFORS</t>
        </is>
      </c>
      <c r="H173" t="inlineStr">
        <is>
          <t>Bergvik skog väst AB</t>
        </is>
      </c>
      <c r="I173" t="n">
        <v>3.1</v>
      </c>
      <c r="J173" t="n">
        <v>0</v>
      </c>
      <c r="K173" t="n">
        <v>0</v>
      </c>
      <c r="L173" t="n">
        <v>0</v>
      </c>
      <c r="M173" t="n">
        <v>0</v>
      </c>
      <c r="N173" t="n">
        <v>0</v>
      </c>
      <c r="O173" t="n">
        <v>0</v>
      </c>
      <c r="P173" t="n">
        <v>0</v>
      </c>
      <c r="Q173" t="n">
        <v>0</v>
      </c>
      <c r="R173" t="n">
        <v>0</v>
      </c>
      <c r="S173" t="n">
        <v>0</v>
      </c>
      <c r="T173" t="n">
        <v>0</v>
      </c>
      <c r="U173" s="2" t="inlineStr"/>
    </row>
    <row r="174" ht="15" customHeight="1">
      <c r="A174" t="inlineStr">
        <is>
          <t>A 52453-2025</t>
        </is>
      </c>
      <c r="B174" t="inlineStr">
        <is>
          <t>avverkningsanmälan</t>
        </is>
      </c>
      <c r="C174" t="inlineStr">
        <is>
          <t>Föryngringsavverkning</t>
        </is>
      </c>
      <c r="D174" s="1" t="n">
        <v>45954</v>
      </c>
      <c r="E174" s="1" t="n">
        <v>46220</v>
      </c>
      <c r="F174" t="inlineStr">
        <is>
          <t>ÖREBRO LÄN</t>
        </is>
      </c>
      <c r="G174" t="inlineStr">
        <is>
          <t>HÄLLEFORS</t>
        </is>
      </c>
      <c r="H174" t="inlineStr">
        <is>
          <t>Bergvik skog väst AB</t>
        </is>
      </c>
      <c r="I174" t="n">
        <v>2.7</v>
      </c>
      <c r="J174" t="n">
        <v>0</v>
      </c>
      <c r="K174" t="n">
        <v>0</v>
      </c>
      <c r="L174" t="n">
        <v>0</v>
      </c>
      <c r="M174" t="n">
        <v>0</v>
      </c>
      <c r="N174" t="n">
        <v>0</v>
      </c>
      <c r="O174" t="n">
        <v>0</v>
      </c>
      <c r="P174" t="n">
        <v>0</v>
      </c>
      <c r="Q174" t="n">
        <v>0</v>
      </c>
      <c r="R174" t="n">
        <v>0</v>
      </c>
      <c r="S174" t="n">
        <v>0</v>
      </c>
      <c r="T174" t="n">
        <v>0</v>
      </c>
      <c r="U174" s="2" t="inlineStr"/>
    </row>
    <row r="175" ht="15" customHeight="1">
      <c r="A175" t="inlineStr">
        <is>
          <t>A 53335-2025</t>
        </is>
      </c>
      <c r="B175" t="inlineStr">
        <is>
          <t>avverkningsanmälan</t>
        </is>
      </c>
      <c r="C175" t="inlineStr">
        <is>
          <t>Föryngringsavverkning</t>
        </is>
      </c>
      <c r="D175" s="1" t="n">
        <v>45959</v>
      </c>
      <c r="E175" s="1" t="n">
        <v>46220</v>
      </c>
      <c r="F175" t="inlineStr">
        <is>
          <t>ÖREBRO LÄN</t>
        </is>
      </c>
      <c r="G175" t="inlineStr">
        <is>
          <t>HÄLLEFORS</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53337-2025</t>
        </is>
      </c>
      <c r="B176" t="inlineStr">
        <is>
          <t>avverkningsanmälan</t>
        </is>
      </c>
      <c r="C176" t="inlineStr">
        <is>
          <t>Föryngringsavverkning</t>
        </is>
      </c>
      <c r="D176" s="1" t="n">
        <v>45959</v>
      </c>
      <c r="E176" s="1" t="n">
        <v>46220</v>
      </c>
      <c r="F176" t="inlineStr">
        <is>
          <t>ÖREBRO LÄN</t>
        </is>
      </c>
      <c r="G176" t="inlineStr">
        <is>
          <t>HÄLLEFORS</t>
        </is>
      </c>
      <c r="I176" t="n">
        <v>4.8</v>
      </c>
      <c r="J176" t="n">
        <v>0</v>
      </c>
      <c r="K176" t="n">
        <v>0</v>
      </c>
      <c r="L176" t="n">
        <v>0</v>
      </c>
      <c r="M176" t="n">
        <v>0</v>
      </c>
      <c r="N176" t="n">
        <v>0</v>
      </c>
      <c r="O176" t="n">
        <v>0</v>
      </c>
      <c r="P176" t="n">
        <v>0</v>
      </c>
      <c r="Q176" t="n">
        <v>0</v>
      </c>
      <c r="R176" t="n">
        <v>0</v>
      </c>
      <c r="S176" t="n">
        <v>0</v>
      </c>
      <c r="T176" t="n">
        <v>0</v>
      </c>
      <c r="U176" s="2" t="inlineStr"/>
    </row>
    <row r="177" ht="15" customHeight="1">
      <c r="A177" t="inlineStr">
        <is>
          <t>A 53952-2025</t>
        </is>
      </c>
      <c r="B177" t="inlineStr">
        <is>
          <t>avverkningsanmälan</t>
        </is>
      </c>
      <c r="C177" t="inlineStr">
        <is>
          <t>Föryngringsavverkning</t>
        </is>
      </c>
      <c r="D177" s="1" t="n">
        <v>45961</v>
      </c>
      <c r="E177" s="1" t="n">
        <v>46220</v>
      </c>
      <c r="F177" t="inlineStr">
        <is>
          <t>ÖREBRO LÄN</t>
        </is>
      </c>
      <c r="G177" t="inlineStr">
        <is>
          <t>HÄLLEFORS</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6126-2026</t>
        </is>
      </c>
      <c r="B178" t="inlineStr">
        <is>
          <t>avverkningsanmälan</t>
        </is>
      </c>
      <c r="C178" t="inlineStr">
        <is>
          <t>Föryngringsavverkning</t>
        </is>
      </c>
      <c r="D178" s="1" t="n">
        <v>46053</v>
      </c>
      <c r="E178" s="1" t="n">
        <v>46220</v>
      </c>
      <c r="F178" t="inlineStr">
        <is>
          <t>ÖREBRO LÄN</t>
        </is>
      </c>
      <c r="G178" t="inlineStr">
        <is>
          <t>HÄLLEFORS</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53331-2025</t>
        </is>
      </c>
      <c r="B179" t="inlineStr">
        <is>
          <t>avverkningsanmälan</t>
        </is>
      </c>
      <c r="C179" t="inlineStr">
        <is>
          <t>Föryngringsavverkning</t>
        </is>
      </c>
      <c r="D179" s="1" t="n">
        <v>45959</v>
      </c>
      <c r="E179" s="1" t="n">
        <v>46220</v>
      </c>
      <c r="F179" t="inlineStr">
        <is>
          <t>ÖREBRO LÄN</t>
        </is>
      </c>
      <c r="G179" t="inlineStr">
        <is>
          <t>HÄLLEFORS</t>
        </is>
      </c>
      <c r="I179" t="n">
        <v>3.2</v>
      </c>
      <c r="J179" t="n">
        <v>0</v>
      </c>
      <c r="K179" t="n">
        <v>0</v>
      </c>
      <c r="L179" t="n">
        <v>0</v>
      </c>
      <c r="M179" t="n">
        <v>0</v>
      </c>
      <c r="N179" t="n">
        <v>0</v>
      </c>
      <c r="O179" t="n">
        <v>0</v>
      </c>
      <c r="P179" t="n">
        <v>0</v>
      </c>
      <c r="Q179" t="n">
        <v>0</v>
      </c>
      <c r="R179" t="n">
        <v>0</v>
      </c>
      <c r="S179" t="n">
        <v>0</v>
      </c>
      <c r="T179" t="n">
        <v>0</v>
      </c>
      <c r="U179" s="2" t="inlineStr"/>
    </row>
    <row r="180" ht="15" customHeight="1">
      <c r="A180" t="inlineStr">
        <is>
          <t>A 29884-2022</t>
        </is>
      </c>
      <c r="B180" t="inlineStr">
        <is>
          <t>avverkningsanmälan</t>
        </is>
      </c>
      <c r="C180" t="inlineStr">
        <is>
          <t>Föryngringsavverkning</t>
        </is>
      </c>
      <c r="D180" s="1" t="n">
        <v>44756</v>
      </c>
      <c r="E180" s="1" t="n">
        <v>46220</v>
      </c>
      <c r="F180" t="inlineStr">
        <is>
          <t>ÖREBRO LÄN</t>
        </is>
      </c>
      <c r="G180" t="inlineStr">
        <is>
          <t>HÄLLEFORS</t>
        </is>
      </c>
      <c r="H180" t="inlineStr">
        <is>
          <t>Bergvik skog väst AB</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2079-2024</t>
        </is>
      </c>
      <c r="B181" t="inlineStr">
        <is>
          <t>avverkningsanmälan</t>
        </is>
      </c>
      <c r="C181" t="inlineStr">
        <is>
          <t>Föryngringsavverkning</t>
        </is>
      </c>
      <c r="D181" s="1" t="n">
        <v>45309</v>
      </c>
      <c r="E181" s="1" t="n">
        <v>46220</v>
      </c>
      <c r="F181" t="inlineStr">
        <is>
          <t>ÖREBRO LÄN</t>
        </is>
      </c>
      <c r="G181" t="inlineStr">
        <is>
          <t>HÄLLEFORS</t>
        </is>
      </c>
      <c r="I181" t="n">
        <v>0.4</v>
      </c>
      <c r="J181" t="n">
        <v>0</v>
      </c>
      <c r="K181" t="n">
        <v>0</v>
      </c>
      <c r="L181" t="n">
        <v>0</v>
      </c>
      <c r="M181" t="n">
        <v>0</v>
      </c>
      <c r="N181" t="n">
        <v>0</v>
      </c>
      <c r="O181" t="n">
        <v>0</v>
      </c>
      <c r="P181" t="n">
        <v>0</v>
      </c>
      <c r="Q181" t="n">
        <v>0</v>
      </c>
      <c r="R181" t="n">
        <v>0</v>
      </c>
      <c r="S181" t="n">
        <v>0</v>
      </c>
      <c r="T181" t="n">
        <v>0</v>
      </c>
      <c r="U181" s="2" t="inlineStr"/>
    </row>
    <row r="182" ht="15" customHeight="1">
      <c r="A182" t="inlineStr">
        <is>
          <t>A 23561-2023</t>
        </is>
      </c>
      <c r="B182" t="inlineStr">
        <is>
          <t>avverkningsanmälan</t>
        </is>
      </c>
      <c r="C182" t="inlineStr">
        <is>
          <t>Föryngringsavverkning</t>
        </is>
      </c>
      <c r="D182" s="1" t="n">
        <v>45077</v>
      </c>
      <c r="E182" s="1" t="n">
        <v>46220</v>
      </c>
      <c r="F182" t="inlineStr">
        <is>
          <t>ÖREBRO LÄN</t>
        </is>
      </c>
      <c r="G182" t="inlineStr">
        <is>
          <t>HÄLLEFORS</t>
        </is>
      </c>
      <c r="H182" t="inlineStr">
        <is>
          <t>Bergvik skog väst AB</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51088-2022</t>
        </is>
      </c>
      <c r="B183" t="inlineStr">
        <is>
          <t>avverkningsanmälan</t>
        </is>
      </c>
      <c r="C183" t="inlineStr">
        <is>
          <t>Föryngringsavverkning</t>
        </is>
      </c>
      <c r="D183" s="1" t="n">
        <v>44868</v>
      </c>
      <c r="E183" s="1" t="n">
        <v>46220</v>
      </c>
      <c r="F183" t="inlineStr">
        <is>
          <t>ÖREBRO LÄN</t>
        </is>
      </c>
      <c r="G183" t="inlineStr">
        <is>
          <t>HÄLLEFORS</t>
        </is>
      </c>
      <c r="H183" t="inlineStr">
        <is>
          <t>Bergvik skog väst AB</t>
        </is>
      </c>
      <c r="I183" t="n">
        <v>3.1</v>
      </c>
      <c r="J183" t="n">
        <v>0</v>
      </c>
      <c r="K183" t="n">
        <v>0</v>
      </c>
      <c r="L183" t="n">
        <v>0</v>
      </c>
      <c r="M183" t="n">
        <v>0</v>
      </c>
      <c r="N183" t="n">
        <v>0</v>
      </c>
      <c r="O183" t="n">
        <v>0</v>
      </c>
      <c r="P183" t="n">
        <v>0</v>
      </c>
      <c r="Q183" t="n">
        <v>0</v>
      </c>
      <c r="R183" t="n">
        <v>0</v>
      </c>
      <c r="S183" t="n">
        <v>0</v>
      </c>
      <c r="T183" t="n">
        <v>0</v>
      </c>
      <c r="U183" s="2" t="inlineStr"/>
    </row>
    <row r="184" ht="15" customHeight="1">
      <c r="A184" t="inlineStr">
        <is>
          <t>A 8095-2026</t>
        </is>
      </c>
      <c r="B184" t="inlineStr">
        <is>
          <t>avverkningsanmälan</t>
        </is>
      </c>
      <c r="C184" t="inlineStr">
        <is>
          <t>Föryngringsavverkning</t>
        </is>
      </c>
      <c r="D184" s="1" t="n">
        <v>46063</v>
      </c>
      <c r="E184" s="1" t="n">
        <v>46220</v>
      </c>
      <c r="F184" t="inlineStr">
        <is>
          <t>ÖREBRO LÄN</t>
        </is>
      </c>
      <c r="G184" t="inlineStr">
        <is>
          <t>HÄLLEFORS</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8099-2026</t>
        </is>
      </c>
      <c r="B185" t="inlineStr">
        <is>
          <t>avverkningsanmälan</t>
        </is>
      </c>
      <c r="C185" t="inlineStr">
        <is>
          <t>Föryngringsavverkning</t>
        </is>
      </c>
      <c r="D185" s="1" t="n">
        <v>46063</v>
      </c>
      <c r="E185" s="1" t="n">
        <v>46220</v>
      </c>
      <c r="F185" t="inlineStr">
        <is>
          <t>ÖREBRO LÄN</t>
        </is>
      </c>
      <c r="G185" t="inlineStr">
        <is>
          <t>HÄLLEFORS</t>
        </is>
      </c>
      <c r="I185" t="n">
        <v>1.6</v>
      </c>
      <c r="J185" t="n">
        <v>0</v>
      </c>
      <c r="K185" t="n">
        <v>0</v>
      </c>
      <c r="L185" t="n">
        <v>0</v>
      </c>
      <c r="M185" t="n">
        <v>0</v>
      </c>
      <c r="N185" t="n">
        <v>0</v>
      </c>
      <c r="O185" t="n">
        <v>0</v>
      </c>
      <c r="P185" t="n">
        <v>0</v>
      </c>
      <c r="Q185" t="n">
        <v>0</v>
      </c>
      <c r="R185" t="n">
        <v>0</v>
      </c>
      <c r="S185" t="n">
        <v>0</v>
      </c>
      <c r="T185" t="n">
        <v>0</v>
      </c>
      <c r="U185" s="2" t="inlineStr"/>
    </row>
    <row r="186" ht="15" customHeight="1">
      <c r="A186" t="inlineStr">
        <is>
          <t>A 8615-2025</t>
        </is>
      </c>
      <c r="B186" t="inlineStr">
        <is>
          <t>avverkningsanmälan</t>
        </is>
      </c>
      <c r="C186" t="inlineStr">
        <is>
          <t>Föryngringsavverkning</t>
        </is>
      </c>
      <c r="D186" s="1" t="n">
        <v>45710</v>
      </c>
      <c r="E186" s="1" t="n">
        <v>46220</v>
      </c>
      <c r="F186" t="inlineStr">
        <is>
          <t>ÖREBRO LÄN</t>
        </is>
      </c>
      <c r="G186" t="inlineStr">
        <is>
          <t>HÄLLEFORS</t>
        </is>
      </c>
      <c r="I186" t="n">
        <v>6.2</v>
      </c>
      <c r="J186" t="n">
        <v>0</v>
      </c>
      <c r="K186" t="n">
        <v>0</v>
      </c>
      <c r="L186" t="n">
        <v>0</v>
      </c>
      <c r="M186" t="n">
        <v>0</v>
      </c>
      <c r="N186" t="n">
        <v>0</v>
      </c>
      <c r="O186" t="n">
        <v>0</v>
      </c>
      <c r="P186" t="n">
        <v>0</v>
      </c>
      <c r="Q186" t="n">
        <v>0</v>
      </c>
      <c r="R186" t="n">
        <v>0</v>
      </c>
      <c r="S186" t="n">
        <v>0</v>
      </c>
      <c r="T186" t="n">
        <v>0</v>
      </c>
      <c r="U186" s="2" t="inlineStr"/>
    </row>
    <row r="187" ht="15" customHeight="1">
      <c r="A187" t="inlineStr">
        <is>
          <t>A 8064-2026</t>
        </is>
      </c>
      <c r="B187" t="inlineStr">
        <is>
          <t>avverkningsanmälan</t>
        </is>
      </c>
      <c r="C187" t="inlineStr">
        <is>
          <t>Föryngringsavverkning</t>
        </is>
      </c>
      <c r="D187" s="1" t="n">
        <v>46063</v>
      </c>
      <c r="E187" s="1" t="n">
        <v>46220</v>
      </c>
      <c r="F187" t="inlineStr">
        <is>
          <t>ÖREBRO LÄN</t>
        </is>
      </c>
      <c r="G187" t="inlineStr">
        <is>
          <t>HÄLLEFORS</t>
        </is>
      </c>
      <c r="I187" t="n">
        <v>6</v>
      </c>
      <c r="J187" t="n">
        <v>0</v>
      </c>
      <c r="K187" t="n">
        <v>0</v>
      </c>
      <c r="L187" t="n">
        <v>0</v>
      </c>
      <c r="M187" t="n">
        <v>0</v>
      </c>
      <c r="N187" t="n">
        <v>0</v>
      </c>
      <c r="O187" t="n">
        <v>0</v>
      </c>
      <c r="P187" t="n">
        <v>0</v>
      </c>
      <c r="Q187" t="n">
        <v>0</v>
      </c>
      <c r="R187" t="n">
        <v>0</v>
      </c>
      <c r="S187" t="n">
        <v>0</v>
      </c>
      <c r="T187" t="n">
        <v>0</v>
      </c>
      <c r="U187" s="2" t="inlineStr"/>
    </row>
    <row r="188" ht="15" customHeight="1">
      <c r="A188" t="inlineStr">
        <is>
          <t>A 58942-2025</t>
        </is>
      </c>
      <c r="B188" t="inlineStr">
        <is>
          <t>avverkningsanmälan</t>
        </is>
      </c>
      <c r="C188" t="inlineStr">
        <is>
          <t>Föryngringsavverkning</t>
        </is>
      </c>
      <c r="D188" s="1" t="n">
        <v>45987</v>
      </c>
      <c r="E188" s="1" t="n">
        <v>46220</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58947-2025</t>
        </is>
      </c>
      <c r="B189" t="inlineStr">
        <is>
          <t>avverkningsanmälan</t>
        </is>
      </c>
      <c r="C189" t="inlineStr">
        <is>
          <t>Föryngringsavverkning</t>
        </is>
      </c>
      <c r="D189" s="1" t="n">
        <v>45987</v>
      </c>
      <c r="E189" s="1" t="n">
        <v>46220</v>
      </c>
      <c r="F189" t="inlineStr">
        <is>
          <t>ÖREBRO LÄN</t>
        </is>
      </c>
      <c r="G189" t="inlineStr">
        <is>
          <t>HÄLLEFORS</t>
        </is>
      </c>
      <c r="H189" t="inlineStr">
        <is>
          <t>Bergvik skog väst AB</t>
        </is>
      </c>
      <c r="I189" t="n">
        <v>3.8</v>
      </c>
      <c r="J189" t="n">
        <v>0</v>
      </c>
      <c r="K189" t="n">
        <v>0</v>
      </c>
      <c r="L189" t="n">
        <v>0</v>
      </c>
      <c r="M189" t="n">
        <v>0</v>
      </c>
      <c r="N189" t="n">
        <v>0</v>
      </c>
      <c r="O189" t="n">
        <v>0</v>
      </c>
      <c r="P189" t="n">
        <v>0</v>
      </c>
      <c r="Q189" t="n">
        <v>0</v>
      </c>
      <c r="R189" t="n">
        <v>0</v>
      </c>
      <c r="S189" t="n">
        <v>0</v>
      </c>
      <c r="T189" t="n">
        <v>0</v>
      </c>
      <c r="U189" s="2" t="inlineStr"/>
    </row>
    <row r="190" ht="15" customHeight="1">
      <c r="A190" t="inlineStr">
        <is>
          <t>A 36635-2022</t>
        </is>
      </c>
      <c r="B190" t="inlineStr">
        <is>
          <t>avverkningsanmälan</t>
        </is>
      </c>
      <c r="C190" t="inlineStr">
        <is>
          <t>Föryngringsavverkning</t>
        </is>
      </c>
      <c r="D190" s="1" t="n">
        <v>44804</v>
      </c>
      <c r="E190" s="1" t="n">
        <v>46220</v>
      </c>
      <c r="F190" t="inlineStr">
        <is>
          <t>ÖREBRO LÄN</t>
        </is>
      </c>
      <c r="G190" t="inlineStr">
        <is>
          <t>HÄLLEFORS</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9009-2023</t>
        </is>
      </c>
      <c r="B191" t="inlineStr">
        <is>
          <t>avverkningsanmälan</t>
        </is>
      </c>
      <c r="C191" t="inlineStr">
        <is>
          <t>Föryngringsavverkning</t>
        </is>
      </c>
      <c r="D191" s="1" t="n">
        <v>44979</v>
      </c>
      <c r="E191" s="1" t="n">
        <v>46220</v>
      </c>
      <c r="F191" t="inlineStr">
        <is>
          <t>ÖREBRO LÄN</t>
        </is>
      </c>
      <c r="G191" t="inlineStr">
        <is>
          <t>HÄLLEFORS</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5657-2024</t>
        </is>
      </c>
      <c r="B192" t="inlineStr">
        <is>
          <t>avverkningsanmälan</t>
        </is>
      </c>
      <c r="C192" t="inlineStr">
        <is>
          <t>Föryngringsavverkning</t>
        </is>
      </c>
      <c r="D192" s="1" t="n">
        <v>45334</v>
      </c>
      <c r="E192" s="1" t="n">
        <v>46220</v>
      </c>
      <c r="F192" t="inlineStr">
        <is>
          <t>ÖREBRO LÄN</t>
        </is>
      </c>
      <c r="G192" t="inlineStr">
        <is>
          <t>HÄLLEFORS</t>
        </is>
      </c>
      <c r="I192" t="n">
        <v>0.3</v>
      </c>
      <c r="J192" t="n">
        <v>0</v>
      </c>
      <c r="K192" t="n">
        <v>0</v>
      </c>
      <c r="L192" t="n">
        <v>0</v>
      </c>
      <c r="M192" t="n">
        <v>0</v>
      </c>
      <c r="N192" t="n">
        <v>0</v>
      </c>
      <c r="O192" t="n">
        <v>0</v>
      </c>
      <c r="P192" t="n">
        <v>0</v>
      </c>
      <c r="Q192" t="n">
        <v>0</v>
      </c>
      <c r="R192" t="n">
        <v>0</v>
      </c>
      <c r="S192" t="n">
        <v>0</v>
      </c>
      <c r="T192" t="n">
        <v>0</v>
      </c>
      <c r="U192" s="2" t="inlineStr"/>
    </row>
    <row r="193" ht="15" customHeight="1">
      <c r="A193" t="inlineStr">
        <is>
          <t>A 60852-2025</t>
        </is>
      </c>
      <c r="B193" t="inlineStr">
        <is>
          <t>avverkningsanmälan</t>
        </is>
      </c>
      <c r="C193" t="inlineStr">
        <is>
          <t>Föryngringsavverkning</t>
        </is>
      </c>
      <c r="D193" s="1" t="n">
        <v>45999</v>
      </c>
      <c r="E193" s="1" t="n">
        <v>46220</v>
      </c>
      <c r="F193" t="inlineStr">
        <is>
          <t>ÖREBRO LÄN</t>
        </is>
      </c>
      <c r="G193" t="inlineStr">
        <is>
          <t>HÄLLEFORS</t>
        </is>
      </c>
      <c r="H193" t="inlineStr">
        <is>
          <t>Bergvik skog väst AB</t>
        </is>
      </c>
      <c r="I193" t="n">
        <v>4</v>
      </c>
      <c r="J193" t="n">
        <v>0</v>
      </c>
      <c r="K193" t="n">
        <v>0</v>
      </c>
      <c r="L193" t="n">
        <v>0</v>
      </c>
      <c r="M193" t="n">
        <v>0</v>
      </c>
      <c r="N193" t="n">
        <v>0</v>
      </c>
      <c r="O193" t="n">
        <v>0</v>
      </c>
      <c r="P193" t="n">
        <v>0</v>
      </c>
      <c r="Q193" t="n">
        <v>0</v>
      </c>
      <c r="R193" t="n">
        <v>0</v>
      </c>
      <c r="S193" t="n">
        <v>0</v>
      </c>
      <c r="T193" t="n">
        <v>0</v>
      </c>
      <c r="U193" s="2" t="inlineStr"/>
    </row>
    <row r="194" ht="15" customHeight="1">
      <c r="A194" t="inlineStr">
        <is>
          <t>A 61084-2025</t>
        </is>
      </c>
      <c r="B194" t="inlineStr">
        <is>
          <t>avverkningsanmälan</t>
        </is>
      </c>
      <c r="C194" t="inlineStr">
        <is>
          <t>Föryngringsavverkning</t>
        </is>
      </c>
      <c r="D194" s="1" t="n">
        <v>46000</v>
      </c>
      <c r="E194" s="1" t="n">
        <v>46220</v>
      </c>
      <c r="F194" t="inlineStr">
        <is>
          <t>ÖREBRO LÄN</t>
        </is>
      </c>
      <c r="G194" t="inlineStr">
        <is>
          <t>HÄLLEFORS</t>
        </is>
      </c>
      <c r="H194" t="inlineStr">
        <is>
          <t>Bergvik skog väst AB</t>
        </is>
      </c>
      <c r="I194" t="n">
        <v>7.7</v>
      </c>
      <c r="J194" t="n">
        <v>0</v>
      </c>
      <c r="K194" t="n">
        <v>0</v>
      </c>
      <c r="L194" t="n">
        <v>0</v>
      </c>
      <c r="M194" t="n">
        <v>0</v>
      </c>
      <c r="N194" t="n">
        <v>0</v>
      </c>
      <c r="O194" t="n">
        <v>0</v>
      </c>
      <c r="P194" t="n">
        <v>0</v>
      </c>
      <c r="Q194" t="n">
        <v>0</v>
      </c>
      <c r="R194" t="n">
        <v>0</v>
      </c>
      <c r="S194" t="n">
        <v>0</v>
      </c>
      <c r="T194" t="n">
        <v>0</v>
      </c>
      <c r="U194" s="2" t="inlineStr"/>
    </row>
    <row r="195" ht="15" customHeight="1">
      <c r="A195" t="inlineStr">
        <is>
          <t>A 47190-2022</t>
        </is>
      </c>
      <c r="B195" t="inlineStr">
        <is>
          <t>avverkningsanmälan</t>
        </is>
      </c>
      <c r="C195" t="inlineStr">
        <is>
          <t>Föryngringsavverkning</t>
        </is>
      </c>
      <c r="D195" s="1" t="n">
        <v>44852</v>
      </c>
      <c r="E195" s="1" t="n">
        <v>46220</v>
      </c>
      <c r="F195" t="inlineStr">
        <is>
          <t>ÖREBRO LÄN</t>
        </is>
      </c>
      <c r="G195" t="inlineStr">
        <is>
          <t>HÄLLEFORS</t>
        </is>
      </c>
      <c r="H195" t="inlineStr">
        <is>
          <t>Bergvik skog väst AB</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34478-2022</t>
        </is>
      </c>
      <c r="B196" t="inlineStr">
        <is>
          <t>avverkningsanmälan</t>
        </is>
      </c>
      <c r="C196" t="inlineStr">
        <is>
          <t>Föryngringsavverkning</t>
        </is>
      </c>
      <c r="D196" s="1" t="n">
        <v>44792</v>
      </c>
      <c r="E196" s="1" t="n">
        <v>46220</v>
      </c>
      <c r="F196" t="inlineStr">
        <is>
          <t>ÖREBRO LÄN</t>
        </is>
      </c>
      <c r="G196" t="inlineStr">
        <is>
          <t>HÄLLEFORS</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61366-2025</t>
        </is>
      </c>
      <c r="B197" t="inlineStr">
        <is>
          <t>avverkningsanmälan</t>
        </is>
      </c>
      <c r="C197" t="inlineStr">
        <is>
          <t>Avverkning för annat ändamål</t>
        </is>
      </c>
      <c r="D197" s="1" t="n">
        <v>46001</v>
      </c>
      <c r="E197" s="1" t="n">
        <v>46220</v>
      </c>
      <c r="F197" t="inlineStr">
        <is>
          <t>ÖREBRO LÄN</t>
        </is>
      </c>
      <c r="G197" t="inlineStr">
        <is>
          <t>HÄLLEFORS</t>
        </is>
      </c>
      <c r="H197" t="inlineStr">
        <is>
          <t>Bergvik skog väst AB</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61164-2025</t>
        </is>
      </c>
      <c r="B198" t="inlineStr">
        <is>
          <t>avverkningsanmälan</t>
        </is>
      </c>
      <c r="C198" t="inlineStr">
        <is>
          <t>Föryngringsavverkning</t>
        </is>
      </c>
      <c r="D198" s="1" t="n">
        <v>46000</v>
      </c>
      <c r="E198" s="1" t="n">
        <v>46220</v>
      </c>
      <c r="F198" t="inlineStr">
        <is>
          <t>ÖREBRO LÄN</t>
        </is>
      </c>
      <c r="G198" t="inlineStr">
        <is>
          <t>HÄLLEFORS</t>
        </is>
      </c>
      <c r="H198" t="inlineStr">
        <is>
          <t>Bergvik skog väst AB</t>
        </is>
      </c>
      <c r="I198" t="n">
        <v>3.1</v>
      </c>
      <c r="J198" t="n">
        <v>0</v>
      </c>
      <c r="K198" t="n">
        <v>0</v>
      </c>
      <c r="L198" t="n">
        <v>0</v>
      </c>
      <c r="M198" t="n">
        <v>0</v>
      </c>
      <c r="N198" t="n">
        <v>0</v>
      </c>
      <c r="O198" t="n">
        <v>0</v>
      </c>
      <c r="P198" t="n">
        <v>0</v>
      </c>
      <c r="Q198" t="n">
        <v>0</v>
      </c>
      <c r="R198" t="n">
        <v>0</v>
      </c>
      <c r="S198" t="n">
        <v>0</v>
      </c>
      <c r="T198" t="n">
        <v>0</v>
      </c>
      <c r="U198" s="2" t="inlineStr"/>
    </row>
    <row r="199" ht="15" customHeight="1">
      <c r="A199" t="inlineStr">
        <is>
          <t>A 15013-2024</t>
        </is>
      </c>
      <c r="B199" t="inlineStr">
        <is>
          <t>avverkningsanmälan</t>
        </is>
      </c>
      <c r="C199" t="inlineStr">
        <is>
          <t>Föryngringsavverkning</t>
        </is>
      </c>
      <c r="D199" s="1" t="n">
        <v>45399</v>
      </c>
      <c r="E199" s="1" t="n">
        <v>46220</v>
      </c>
      <c r="F199" t="inlineStr">
        <is>
          <t>ÖREBRO LÄN</t>
        </is>
      </c>
      <c r="G199" t="inlineStr">
        <is>
          <t>HÄLLEFORS</t>
        </is>
      </c>
      <c r="H199" t="inlineStr">
        <is>
          <t>Bergvik skog väst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46980-2023</t>
        </is>
      </c>
      <c r="B200" t="inlineStr">
        <is>
          <t>avverkningsanmälan</t>
        </is>
      </c>
      <c r="C200" t="inlineStr">
        <is>
          <t>Föryngringsavverkning</t>
        </is>
      </c>
      <c r="D200" s="1" t="n">
        <v>45201</v>
      </c>
      <c r="E200" s="1" t="n">
        <v>46220</v>
      </c>
      <c r="F200" t="inlineStr">
        <is>
          <t>ÖREBRO LÄN</t>
        </is>
      </c>
      <c r="G200" t="inlineStr">
        <is>
          <t>HÄLLEFORS</t>
        </is>
      </c>
      <c r="H200" t="inlineStr">
        <is>
          <t>Bergvik skog väst AB</t>
        </is>
      </c>
      <c r="I200" t="n">
        <v>7.5</v>
      </c>
      <c r="J200" t="n">
        <v>0</v>
      </c>
      <c r="K200" t="n">
        <v>0</v>
      </c>
      <c r="L200" t="n">
        <v>0</v>
      </c>
      <c r="M200" t="n">
        <v>0</v>
      </c>
      <c r="N200" t="n">
        <v>0</v>
      </c>
      <c r="O200" t="n">
        <v>0</v>
      </c>
      <c r="P200" t="n">
        <v>0</v>
      </c>
      <c r="Q200" t="n">
        <v>0</v>
      </c>
      <c r="R200" t="n">
        <v>0</v>
      </c>
      <c r="S200" t="n">
        <v>0</v>
      </c>
      <c r="T200" t="n">
        <v>0</v>
      </c>
      <c r="U200" s="2" t="inlineStr"/>
    </row>
    <row r="201" ht="15" customHeight="1">
      <c r="A201" t="inlineStr">
        <is>
          <t>A 62262-2025</t>
        </is>
      </c>
      <c r="B201" t="inlineStr">
        <is>
          <t>avverkningsanmälan</t>
        </is>
      </c>
      <c r="C201" t="inlineStr">
        <is>
          <t>Föryngringsavverkning</t>
        </is>
      </c>
      <c r="D201" s="1" t="n">
        <v>46006</v>
      </c>
      <c r="E201" s="1" t="n">
        <v>46220</v>
      </c>
      <c r="F201" t="inlineStr">
        <is>
          <t>ÖREBRO LÄN</t>
        </is>
      </c>
      <c r="G201" t="inlineStr">
        <is>
          <t>HÄLLEFORS</t>
        </is>
      </c>
      <c r="I201" t="n">
        <v>13.4</v>
      </c>
      <c r="J201" t="n">
        <v>0</v>
      </c>
      <c r="K201" t="n">
        <v>0</v>
      </c>
      <c r="L201" t="n">
        <v>0</v>
      </c>
      <c r="M201" t="n">
        <v>0</v>
      </c>
      <c r="N201" t="n">
        <v>0</v>
      </c>
      <c r="O201" t="n">
        <v>0</v>
      </c>
      <c r="P201" t="n">
        <v>0</v>
      </c>
      <c r="Q201" t="n">
        <v>0</v>
      </c>
      <c r="R201" t="n">
        <v>0</v>
      </c>
      <c r="S201" t="n">
        <v>0</v>
      </c>
      <c r="T201" t="n">
        <v>0</v>
      </c>
      <c r="U201" s="2" t="inlineStr"/>
    </row>
    <row r="202" ht="15" customHeight="1">
      <c r="A202" t="inlineStr">
        <is>
          <t>A 62846-2025</t>
        </is>
      </c>
      <c r="B202" t="inlineStr">
        <is>
          <t>avverkningsanmälan</t>
        </is>
      </c>
      <c r="C202" t="inlineStr">
        <is>
          <t>Föryngringsavverkning</t>
        </is>
      </c>
      <c r="D202" s="1" t="n">
        <v>46008</v>
      </c>
      <c r="E202" s="1" t="n">
        <v>46220</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s="2" t="inlineStr"/>
    </row>
    <row r="203" ht="15" customHeight="1">
      <c r="A203" t="inlineStr">
        <is>
          <t>A 62848-2025</t>
        </is>
      </c>
      <c r="B203" t="inlineStr">
        <is>
          <t>avverkningsanmälan</t>
        </is>
      </c>
      <c r="C203" t="inlineStr">
        <is>
          <t>Föryngringsavverkning</t>
        </is>
      </c>
      <c r="D203" s="1" t="n">
        <v>46008</v>
      </c>
      <c r="E203" s="1" t="n">
        <v>46220</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s="2" t="inlineStr"/>
    </row>
    <row r="204" ht="15" customHeight="1">
      <c r="A204" t="inlineStr">
        <is>
          <t>A 1019-2025</t>
        </is>
      </c>
      <c r="B204" t="inlineStr">
        <is>
          <t>avverkningsanmälan</t>
        </is>
      </c>
      <c r="C204" t="inlineStr">
        <is>
          <t>Föryngringsavverkning</t>
        </is>
      </c>
      <c r="D204" s="1" t="n">
        <v>45666</v>
      </c>
      <c r="E204" s="1" t="n">
        <v>46220</v>
      </c>
      <c r="F204" t="inlineStr">
        <is>
          <t>ÖREBRO LÄN</t>
        </is>
      </c>
      <c r="G204" t="inlineStr">
        <is>
          <t>HÄLLEFORS</t>
        </is>
      </c>
      <c r="I204" t="n">
        <v>0.4</v>
      </c>
      <c r="J204" t="n">
        <v>0</v>
      </c>
      <c r="K204" t="n">
        <v>0</v>
      </c>
      <c r="L204" t="n">
        <v>0</v>
      </c>
      <c r="M204" t="n">
        <v>0</v>
      </c>
      <c r="N204" t="n">
        <v>0</v>
      </c>
      <c r="O204" t="n">
        <v>0</v>
      </c>
      <c r="P204" t="n">
        <v>0</v>
      </c>
      <c r="Q204" t="n">
        <v>0</v>
      </c>
      <c r="R204" t="n">
        <v>0</v>
      </c>
      <c r="S204" t="n">
        <v>0</v>
      </c>
      <c r="T204" t="n">
        <v>0</v>
      </c>
      <c r="U204" s="2" t="inlineStr"/>
    </row>
    <row r="205" ht="15" customHeight="1">
      <c r="A205" t="inlineStr">
        <is>
          <t>A 55747-2024</t>
        </is>
      </c>
      <c r="B205" t="inlineStr">
        <is>
          <t>avverkningsanmälan</t>
        </is>
      </c>
      <c r="C205" t="inlineStr">
        <is>
          <t>Föryngringsavverkning</t>
        </is>
      </c>
      <c r="D205" s="1" t="n">
        <v>45623</v>
      </c>
      <c r="E205" s="1" t="n">
        <v>46220</v>
      </c>
      <c r="F205" t="inlineStr">
        <is>
          <t>ÖREBRO LÄN</t>
        </is>
      </c>
      <c r="G205" t="inlineStr">
        <is>
          <t>HÄLLEFORS</t>
        </is>
      </c>
      <c r="H205" t="inlineStr">
        <is>
          <t>Bergvik skog väst AB</t>
        </is>
      </c>
      <c r="I205" t="n">
        <v>2.7</v>
      </c>
      <c r="J205" t="n">
        <v>0</v>
      </c>
      <c r="K205" t="n">
        <v>0</v>
      </c>
      <c r="L205" t="n">
        <v>0</v>
      </c>
      <c r="M205" t="n">
        <v>0</v>
      </c>
      <c r="N205" t="n">
        <v>0</v>
      </c>
      <c r="O205" t="n">
        <v>0</v>
      </c>
      <c r="P205" t="n">
        <v>0</v>
      </c>
      <c r="Q205" t="n">
        <v>0</v>
      </c>
      <c r="R205" t="n">
        <v>0</v>
      </c>
      <c r="S205" t="n">
        <v>0</v>
      </c>
      <c r="T205" t="n">
        <v>0</v>
      </c>
      <c r="U205" s="2" t="inlineStr"/>
    </row>
    <row r="206" ht="15" customHeight="1">
      <c r="A206" t="inlineStr">
        <is>
          <t>A 39171-2024</t>
        </is>
      </c>
      <c r="B206" t="inlineStr">
        <is>
          <t>avverkningsanmälan</t>
        </is>
      </c>
      <c r="C206" t="inlineStr">
        <is>
          <t>Föryngringsavverkning</t>
        </is>
      </c>
      <c r="D206" s="1" t="n">
        <v>45548</v>
      </c>
      <c r="E206" s="1" t="n">
        <v>46220</v>
      </c>
      <c r="F206" t="inlineStr">
        <is>
          <t>ÖREBRO LÄN</t>
        </is>
      </c>
      <c r="G206" t="inlineStr">
        <is>
          <t>HÄLLEFORS</t>
        </is>
      </c>
      <c r="I206" t="n">
        <v>3.8</v>
      </c>
      <c r="J206" t="n">
        <v>0</v>
      </c>
      <c r="K206" t="n">
        <v>0</v>
      </c>
      <c r="L206" t="n">
        <v>0</v>
      </c>
      <c r="M206" t="n">
        <v>0</v>
      </c>
      <c r="N206" t="n">
        <v>0</v>
      </c>
      <c r="O206" t="n">
        <v>0</v>
      </c>
      <c r="P206" t="n">
        <v>0</v>
      </c>
      <c r="Q206" t="n">
        <v>0</v>
      </c>
      <c r="R206" t="n">
        <v>0</v>
      </c>
      <c r="S206" t="n">
        <v>0</v>
      </c>
      <c r="T206" t="n">
        <v>0</v>
      </c>
      <c r="U206" s="2" t="inlineStr"/>
    </row>
    <row r="207" ht="15" customHeight="1">
      <c r="A207" t="inlineStr">
        <is>
          <t>A 55397-2023</t>
        </is>
      </c>
      <c r="B207" t="inlineStr">
        <is>
          <t>avverkningsanmälan</t>
        </is>
      </c>
      <c r="C207" t="inlineStr">
        <is>
          <t>Föryngringsavverkning</t>
        </is>
      </c>
      <c r="D207" s="1" t="n">
        <v>45238</v>
      </c>
      <c r="E207" s="1" t="n">
        <v>46220</v>
      </c>
      <c r="F207" t="inlineStr">
        <is>
          <t>ÖREBRO LÄN</t>
        </is>
      </c>
      <c r="G207" t="inlineStr">
        <is>
          <t>HÄLLEFORS</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623-2023</t>
        </is>
      </c>
      <c r="B208" t="inlineStr">
        <is>
          <t>avverkningsanmälan</t>
        </is>
      </c>
      <c r="C208" t="inlineStr">
        <is>
          <t>Föryngringsavverkning</t>
        </is>
      </c>
      <c r="D208" s="1" t="n">
        <v>44930</v>
      </c>
      <c r="E208" s="1" t="n">
        <v>46220</v>
      </c>
      <c r="F208" t="inlineStr">
        <is>
          <t>ÖREBRO LÄN</t>
        </is>
      </c>
      <c r="G208" t="inlineStr">
        <is>
          <t>HÄLLEFORS</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60303-2024</t>
        </is>
      </c>
      <c r="B209" t="inlineStr">
        <is>
          <t>avverkningsanmälan</t>
        </is>
      </c>
      <c r="C209" t="inlineStr">
        <is>
          <t>Föryngringsavverkning</t>
        </is>
      </c>
      <c r="D209" s="1" t="n">
        <v>45643</v>
      </c>
      <c r="E209" s="1" t="n">
        <v>46220</v>
      </c>
      <c r="F209" t="inlineStr">
        <is>
          <t>ÖREBRO LÄN</t>
        </is>
      </c>
      <c r="G209" t="inlineStr">
        <is>
          <t>HÄLLEFORS</t>
        </is>
      </c>
      <c r="H209" t="inlineStr">
        <is>
          <t>Bergvik skog väst AB</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8503-2022</t>
        </is>
      </c>
      <c r="B210" t="inlineStr">
        <is>
          <t>avverkningsanmälan</t>
        </is>
      </c>
      <c r="C210" t="inlineStr">
        <is>
          <t>Föryngringsavverkning</t>
        </is>
      </c>
      <c r="D210" s="1" t="n">
        <v>44613</v>
      </c>
      <c r="E210" s="1" t="n">
        <v>46220</v>
      </c>
      <c r="F210" t="inlineStr">
        <is>
          <t>ÖREBRO LÄN</t>
        </is>
      </c>
      <c r="G210" t="inlineStr">
        <is>
          <t>HÄLLEFORS</t>
        </is>
      </c>
      <c r="H210" t="inlineStr">
        <is>
          <t>Bergvik skog väst AB</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17041-2025</t>
        </is>
      </c>
      <c r="B211" t="inlineStr">
        <is>
          <t>avverkningsanmälan</t>
        </is>
      </c>
      <c r="C211" t="inlineStr">
        <is>
          <t>Föryngringsavverkning</t>
        </is>
      </c>
      <c r="D211" s="1" t="n">
        <v>45755</v>
      </c>
      <c r="E211" s="1" t="n">
        <v>46220</v>
      </c>
      <c r="F211" t="inlineStr">
        <is>
          <t>ÖREBRO LÄN</t>
        </is>
      </c>
      <c r="G211" t="inlineStr">
        <is>
          <t>HÄLLEFORS</t>
        </is>
      </c>
      <c r="H211" t="inlineStr">
        <is>
          <t>Bergvik skog väst AB</t>
        </is>
      </c>
      <c r="I211" t="n">
        <v>3.7</v>
      </c>
      <c r="J211" t="n">
        <v>0</v>
      </c>
      <c r="K211" t="n">
        <v>0</v>
      </c>
      <c r="L211" t="n">
        <v>0</v>
      </c>
      <c r="M211" t="n">
        <v>0</v>
      </c>
      <c r="N211" t="n">
        <v>0</v>
      </c>
      <c r="O211" t="n">
        <v>0</v>
      </c>
      <c r="P211" t="n">
        <v>0</v>
      </c>
      <c r="Q211" t="n">
        <v>0</v>
      </c>
      <c r="R211" t="n">
        <v>0</v>
      </c>
      <c r="S211" t="n">
        <v>0</v>
      </c>
      <c r="T211" t="n">
        <v>0</v>
      </c>
      <c r="U211" s="2" t="inlineStr"/>
    </row>
    <row r="212" ht="15" customHeight="1">
      <c r="A212" t="inlineStr">
        <is>
          <t>A 8513-2022</t>
        </is>
      </c>
      <c r="B212" t="inlineStr">
        <is>
          <t>avverkningsanmälan</t>
        </is>
      </c>
      <c r="C212" t="inlineStr">
        <is>
          <t>Föryngringsavverkning</t>
        </is>
      </c>
      <c r="D212" s="1" t="n">
        <v>44613</v>
      </c>
      <c r="E212" s="1" t="n">
        <v>46220</v>
      </c>
      <c r="F212" t="inlineStr">
        <is>
          <t>ÖREBRO LÄN</t>
        </is>
      </c>
      <c r="G212" t="inlineStr">
        <is>
          <t>HÄLLEFORS</t>
        </is>
      </c>
      <c r="H212" t="inlineStr">
        <is>
          <t>Bergvik skog väst AB</t>
        </is>
      </c>
      <c r="I212" t="n">
        <v>3.3</v>
      </c>
      <c r="J212" t="n">
        <v>0</v>
      </c>
      <c r="K212" t="n">
        <v>0</v>
      </c>
      <c r="L212" t="n">
        <v>0</v>
      </c>
      <c r="M212" t="n">
        <v>0</v>
      </c>
      <c r="N212" t="n">
        <v>0</v>
      </c>
      <c r="O212" t="n">
        <v>0</v>
      </c>
      <c r="P212" t="n">
        <v>0</v>
      </c>
      <c r="Q212" t="n">
        <v>0</v>
      </c>
      <c r="R212" t="n">
        <v>0</v>
      </c>
      <c r="S212" t="n">
        <v>0</v>
      </c>
      <c r="T212" t="n">
        <v>0</v>
      </c>
      <c r="U212" s="2" t="inlineStr"/>
    </row>
    <row r="213" ht="15" customHeight="1">
      <c r="A213" t="inlineStr">
        <is>
          <t>A 11467-2024</t>
        </is>
      </c>
      <c r="B213" t="inlineStr">
        <is>
          <t>avverkningsanmälan</t>
        </is>
      </c>
      <c r="C213" t="inlineStr">
        <is>
          <t>Föryngringsavverkning</t>
        </is>
      </c>
      <c r="D213" s="1" t="n">
        <v>45372</v>
      </c>
      <c r="E213" s="1" t="n">
        <v>46220</v>
      </c>
      <c r="F213" t="inlineStr">
        <is>
          <t>ÖREBRO LÄN</t>
        </is>
      </c>
      <c r="G213" t="inlineStr">
        <is>
          <t>HÄLLEFORS</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30592-2024</t>
        </is>
      </c>
      <c r="B214" t="inlineStr">
        <is>
          <t>avverkningsanmälan</t>
        </is>
      </c>
      <c r="C214" t="inlineStr">
        <is>
          <t>Föryngringsavverkning</t>
        </is>
      </c>
      <c r="D214" s="1" t="n">
        <v>45493</v>
      </c>
      <c r="E214" s="1" t="n">
        <v>46220</v>
      </c>
      <c r="F214" t="inlineStr">
        <is>
          <t>ÖREBRO LÄN</t>
        </is>
      </c>
      <c r="G214" t="inlineStr">
        <is>
          <t>HÄLLEFORS</t>
        </is>
      </c>
      <c r="I214" t="n">
        <v>7.1</v>
      </c>
      <c r="J214" t="n">
        <v>0</v>
      </c>
      <c r="K214" t="n">
        <v>0</v>
      </c>
      <c r="L214" t="n">
        <v>0</v>
      </c>
      <c r="M214" t="n">
        <v>0</v>
      </c>
      <c r="N214" t="n">
        <v>0</v>
      </c>
      <c r="O214" t="n">
        <v>0</v>
      </c>
      <c r="P214" t="n">
        <v>0</v>
      </c>
      <c r="Q214" t="n">
        <v>0</v>
      </c>
      <c r="R214" t="n">
        <v>0</v>
      </c>
      <c r="S214" t="n">
        <v>0</v>
      </c>
      <c r="T214" t="n">
        <v>0</v>
      </c>
      <c r="U214" s="2" t="inlineStr"/>
    </row>
    <row r="215" ht="15" customHeight="1">
      <c r="A215" t="inlineStr">
        <is>
          <t>A 46987-2023</t>
        </is>
      </c>
      <c r="B215" t="inlineStr">
        <is>
          <t>avverkningsanmälan</t>
        </is>
      </c>
      <c r="C215" t="inlineStr">
        <is>
          <t>Föryngringsavverkning</t>
        </is>
      </c>
      <c r="D215" s="1" t="n">
        <v>45201</v>
      </c>
      <c r="E215" s="1" t="n">
        <v>46220</v>
      </c>
      <c r="F215" t="inlineStr">
        <is>
          <t>ÖREBRO LÄN</t>
        </is>
      </c>
      <c r="G215" t="inlineStr">
        <is>
          <t>HÄLLEFORS</t>
        </is>
      </c>
      <c r="H215" t="inlineStr">
        <is>
          <t>Bergvik skog väst AB</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35243-2022</t>
        </is>
      </c>
      <c r="B216" t="inlineStr">
        <is>
          <t>avverkningsanmälan</t>
        </is>
      </c>
      <c r="C216" t="inlineStr">
        <is>
          <t>Föryngringsavverkning</t>
        </is>
      </c>
      <c r="D216" s="1" t="n">
        <v>44798</v>
      </c>
      <c r="E216" s="1" t="n">
        <v>46220</v>
      </c>
      <c r="F216" t="inlineStr">
        <is>
          <t>ÖREBRO LÄN</t>
        </is>
      </c>
      <c r="G216" t="inlineStr">
        <is>
          <t>HÄLLEFORS</t>
        </is>
      </c>
      <c r="H216" t="inlineStr">
        <is>
          <t>Bergvik skog väst AB</t>
        </is>
      </c>
      <c r="I216" t="n">
        <v>3</v>
      </c>
      <c r="J216" t="n">
        <v>0</v>
      </c>
      <c r="K216" t="n">
        <v>0</v>
      </c>
      <c r="L216" t="n">
        <v>0</v>
      </c>
      <c r="M216" t="n">
        <v>0</v>
      </c>
      <c r="N216" t="n">
        <v>0</v>
      </c>
      <c r="O216" t="n">
        <v>0</v>
      </c>
      <c r="P216" t="n">
        <v>0</v>
      </c>
      <c r="Q216" t="n">
        <v>0</v>
      </c>
      <c r="R216" t="n">
        <v>0</v>
      </c>
      <c r="S216" t="n">
        <v>0</v>
      </c>
      <c r="T216" t="n">
        <v>0</v>
      </c>
      <c r="U216" s="2" t="inlineStr"/>
    </row>
    <row r="217" ht="15" customHeight="1">
      <c r="A217" t="inlineStr">
        <is>
          <t>A 17721-2026</t>
        </is>
      </c>
      <c r="B217" t="inlineStr">
        <is>
          <t>avverkningsanmälan</t>
        </is>
      </c>
      <c r="C217" t="inlineStr">
        <is>
          <t>Föryngringsavverkning</t>
        </is>
      </c>
      <c r="D217" s="1" t="n">
        <v>46121</v>
      </c>
      <c r="E217" s="1" t="n">
        <v>46220</v>
      </c>
      <c r="F217" t="inlineStr">
        <is>
          <t>ÖREBRO LÄN</t>
        </is>
      </c>
      <c r="G217" t="inlineStr">
        <is>
          <t>HÄLLEFORS</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3057-2024</t>
        </is>
      </c>
      <c r="B218" t="inlineStr">
        <is>
          <t>avverkningsanmälan</t>
        </is>
      </c>
      <c r="C218" t="inlineStr">
        <is>
          <t>Föryngringsavverkning</t>
        </is>
      </c>
      <c r="D218" s="1" t="n">
        <v>45316</v>
      </c>
      <c r="E218" s="1" t="n">
        <v>46220</v>
      </c>
      <c r="F218" t="inlineStr">
        <is>
          <t>ÖREBRO LÄN</t>
        </is>
      </c>
      <c r="G218" t="inlineStr">
        <is>
          <t>HÄLLEFORS</t>
        </is>
      </c>
      <c r="H218" t="inlineStr">
        <is>
          <t>Bergvik skog väst AB</t>
        </is>
      </c>
      <c r="I218" t="n">
        <v>12.2</v>
      </c>
      <c r="J218" t="n">
        <v>0</v>
      </c>
      <c r="K218" t="n">
        <v>0</v>
      </c>
      <c r="L218" t="n">
        <v>0</v>
      </c>
      <c r="M218" t="n">
        <v>0</v>
      </c>
      <c r="N218" t="n">
        <v>0</v>
      </c>
      <c r="O218" t="n">
        <v>0</v>
      </c>
      <c r="P218" t="n">
        <v>0</v>
      </c>
      <c r="Q218" t="n">
        <v>0</v>
      </c>
      <c r="R218" t="n">
        <v>0</v>
      </c>
      <c r="S218" t="n">
        <v>0</v>
      </c>
      <c r="T218" t="n">
        <v>0</v>
      </c>
      <c r="U218" s="2" t="inlineStr"/>
    </row>
    <row r="219" ht="15" customHeight="1">
      <c r="A219" t="inlineStr">
        <is>
          <t>A 55756-2023</t>
        </is>
      </c>
      <c r="B219" t="inlineStr">
        <is>
          <t>avverkningsanmälan</t>
        </is>
      </c>
      <c r="C219" t="inlineStr">
        <is>
          <t>Föryngringsavverkning</t>
        </is>
      </c>
      <c r="D219" s="1" t="n">
        <v>45239</v>
      </c>
      <c r="E219" s="1" t="n">
        <v>46220</v>
      </c>
      <c r="F219" t="inlineStr">
        <is>
          <t>ÖREBRO LÄN</t>
        </is>
      </c>
      <c r="G219" t="inlineStr">
        <is>
          <t>HÄLLEFORS</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19055-2024</t>
        </is>
      </c>
      <c r="B220" t="inlineStr">
        <is>
          <t>avverkningsanmälan</t>
        </is>
      </c>
      <c r="C220" t="inlineStr">
        <is>
          <t>Föryngringsavverkning</t>
        </is>
      </c>
      <c r="D220" s="1" t="n">
        <v>45427</v>
      </c>
      <c r="E220" s="1" t="n">
        <v>46220</v>
      </c>
      <c r="F220" t="inlineStr">
        <is>
          <t>ÖREBRO LÄN</t>
        </is>
      </c>
      <c r="G220" t="inlineStr">
        <is>
          <t>HÄLLEFORS</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44107-2024</t>
        </is>
      </c>
      <c r="B221" t="inlineStr">
        <is>
          <t>avverkningsanmälan</t>
        </is>
      </c>
      <c r="C221" t="inlineStr">
        <is>
          <t>Föryngringsavverkning</t>
        </is>
      </c>
      <c r="D221" s="1" t="n">
        <v>45572</v>
      </c>
      <c r="E221" s="1" t="n">
        <v>46220</v>
      </c>
      <c r="F221" t="inlineStr">
        <is>
          <t>ÖREBRO LÄN</t>
        </is>
      </c>
      <c r="G221" t="inlineStr">
        <is>
          <t>HÄLLEFORS</t>
        </is>
      </c>
      <c r="H221" t="inlineStr">
        <is>
          <t>Bergvik skog väst AB</t>
        </is>
      </c>
      <c r="I221" t="n">
        <v>4.9</v>
      </c>
      <c r="J221" t="n">
        <v>0</v>
      </c>
      <c r="K221" t="n">
        <v>0</v>
      </c>
      <c r="L221" t="n">
        <v>0</v>
      </c>
      <c r="M221" t="n">
        <v>0</v>
      </c>
      <c r="N221" t="n">
        <v>0</v>
      </c>
      <c r="O221" t="n">
        <v>0</v>
      </c>
      <c r="P221" t="n">
        <v>0</v>
      </c>
      <c r="Q221" t="n">
        <v>0</v>
      </c>
      <c r="R221" t="n">
        <v>0</v>
      </c>
      <c r="S221" t="n">
        <v>0</v>
      </c>
      <c r="T221" t="n">
        <v>0</v>
      </c>
      <c r="U221" s="2" t="inlineStr"/>
    </row>
    <row r="222" ht="15" customHeight="1">
      <c r="A222" t="inlineStr">
        <is>
          <t>A 25873-2026</t>
        </is>
      </c>
      <c r="B222" t="inlineStr">
        <is>
          <t>avverkningsanmälan</t>
        </is>
      </c>
      <c r="C222" t="inlineStr">
        <is>
          <t>Föryngringsavverkning</t>
        </is>
      </c>
      <c r="D222" s="1" t="n">
        <v>46178</v>
      </c>
      <c r="E222" s="1" t="n">
        <v>46220</v>
      </c>
      <c r="F222" t="inlineStr">
        <is>
          <t>ÖREBRO LÄN</t>
        </is>
      </c>
      <c r="G222" t="inlineStr">
        <is>
          <t>HÄLLEFORS</t>
        </is>
      </c>
      <c r="H222" t="inlineStr">
        <is>
          <t>Bergvik skog väst AB</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51212-2023</t>
        </is>
      </c>
      <c r="B223" t="inlineStr">
        <is>
          <t>avverkningsanmälan</t>
        </is>
      </c>
      <c r="C223" t="inlineStr">
        <is>
          <t>Föryngringsavverkning</t>
        </is>
      </c>
      <c r="D223" s="1" t="n">
        <v>45219</v>
      </c>
      <c r="E223" s="1" t="n">
        <v>46220</v>
      </c>
      <c r="F223" t="inlineStr">
        <is>
          <t>ÖREBRO LÄN</t>
        </is>
      </c>
      <c r="G223" t="inlineStr">
        <is>
          <t>HÄLLEFORS</t>
        </is>
      </c>
      <c r="H223" t="inlineStr">
        <is>
          <t>Bergvik skog väst AB</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45710-2023</t>
        </is>
      </c>
      <c r="B224" t="inlineStr">
        <is>
          <t>avverkningsanmälan</t>
        </is>
      </c>
      <c r="C224" t="inlineStr">
        <is>
          <t>Föryngringsavverkning</t>
        </is>
      </c>
      <c r="D224" s="1" t="n">
        <v>45195</v>
      </c>
      <c r="E224" s="1" t="n">
        <v>46220</v>
      </c>
      <c r="F224" t="inlineStr">
        <is>
          <t>ÖREBRO LÄN</t>
        </is>
      </c>
      <c r="G224" t="inlineStr">
        <is>
          <t>HÄLLEFORS</t>
        </is>
      </c>
      <c r="I224" t="n">
        <v>5.4</v>
      </c>
      <c r="J224" t="n">
        <v>0</v>
      </c>
      <c r="K224" t="n">
        <v>0</v>
      </c>
      <c r="L224" t="n">
        <v>0</v>
      </c>
      <c r="M224" t="n">
        <v>0</v>
      </c>
      <c r="N224" t="n">
        <v>0</v>
      </c>
      <c r="O224" t="n">
        <v>0</v>
      </c>
      <c r="P224" t="n">
        <v>0</v>
      </c>
      <c r="Q224" t="n">
        <v>0</v>
      </c>
      <c r="R224" t="n">
        <v>0</v>
      </c>
      <c r="S224" t="n">
        <v>0</v>
      </c>
      <c r="T224" t="n">
        <v>0</v>
      </c>
      <c r="U224" s="2" t="inlineStr"/>
    </row>
    <row r="225" ht="15" customHeight="1">
      <c r="A225" t="inlineStr">
        <is>
          <t>A 15941-2023</t>
        </is>
      </c>
      <c r="B225" t="inlineStr">
        <is>
          <t>avverkningsanmälan</t>
        </is>
      </c>
      <c r="C225" t="inlineStr">
        <is>
          <t>Föryngringsavverkning</t>
        </is>
      </c>
      <c r="D225" s="1" t="n">
        <v>45022</v>
      </c>
      <c r="E225" s="1" t="n">
        <v>46220</v>
      </c>
      <c r="F225" t="inlineStr">
        <is>
          <t>ÖREBRO LÄN</t>
        </is>
      </c>
      <c r="G225" t="inlineStr">
        <is>
          <t>HÄLLEFORS</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25872-2026</t>
        </is>
      </c>
      <c r="B226" t="inlineStr">
        <is>
          <t>avverkningsanmälan</t>
        </is>
      </c>
      <c r="C226" t="inlineStr">
        <is>
          <t>Föryngringsavverkning</t>
        </is>
      </c>
      <c r="D226" s="1" t="n">
        <v>46178</v>
      </c>
      <c r="E226" s="1" t="n">
        <v>46220</v>
      </c>
      <c r="F226" t="inlineStr">
        <is>
          <t>ÖREBRO LÄN</t>
        </is>
      </c>
      <c r="G226" t="inlineStr">
        <is>
          <t>HÄLLEFORS</t>
        </is>
      </c>
      <c r="H226" t="inlineStr">
        <is>
          <t>Bergvik skog väst AB</t>
        </is>
      </c>
      <c r="I226" t="n">
        <v>4.7</v>
      </c>
      <c r="J226" t="n">
        <v>0</v>
      </c>
      <c r="K226" t="n">
        <v>0</v>
      </c>
      <c r="L226" t="n">
        <v>0</v>
      </c>
      <c r="M226" t="n">
        <v>0</v>
      </c>
      <c r="N226" t="n">
        <v>0</v>
      </c>
      <c r="O226" t="n">
        <v>0</v>
      </c>
      <c r="P226" t="n">
        <v>0</v>
      </c>
      <c r="Q226" t="n">
        <v>0</v>
      </c>
      <c r="R226" t="n">
        <v>0</v>
      </c>
      <c r="S226" t="n">
        <v>0</v>
      </c>
      <c r="T226" t="n">
        <v>0</v>
      </c>
      <c r="U226" s="2" t="inlineStr"/>
    </row>
    <row r="227" ht="15" customHeight="1">
      <c r="A227" t="inlineStr">
        <is>
          <t>A 55745-2024</t>
        </is>
      </c>
      <c r="B227" t="inlineStr">
        <is>
          <t>avverkningsanmälan</t>
        </is>
      </c>
      <c r="C227" t="inlineStr">
        <is>
          <t>Föryngringsavverkning</t>
        </is>
      </c>
      <c r="D227" s="1" t="n">
        <v>45623</v>
      </c>
      <c r="E227" s="1" t="n">
        <v>46220</v>
      </c>
      <c r="F227" t="inlineStr">
        <is>
          <t>ÖREBRO LÄN</t>
        </is>
      </c>
      <c r="G227" t="inlineStr">
        <is>
          <t>HÄLLEFORS</t>
        </is>
      </c>
      <c r="H227" t="inlineStr">
        <is>
          <t>Bergvik skog väst AB</t>
        </is>
      </c>
      <c r="I227" t="n">
        <v>2.4</v>
      </c>
      <c r="J227" t="n">
        <v>0</v>
      </c>
      <c r="K227" t="n">
        <v>0</v>
      </c>
      <c r="L227" t="n">
        <v>0</v>
      </c>
      <c r="M227" t="n">
        <v>0</v>
      </c>
      <c r="N227" t="n">
        <v>0</v>
      </c>
      <c r="O227" t="n">
        <v>0</v>
      </c>
      <c r="P227" t="n">
        <v>0</v>
      </c>
      <c r="Q227" t="n">
        <v>0</v>
      </c>
      <c r="R227" t="n">
        <v>0</v>
      </c>
      <c r="S227" t="n">
        <v>0</v>
      </c>
      <c r="T227" t="n">
        <v>0</v>
      </c>
      <c r="U227" s="2" t="inlineStr"/>
    </row>
    <row r="228" ht="15" customHeight="1">
      <c r="A228" t="inlineStr">
        <is>
          <t>A 47847-2025</t>
        </is>
      </c>
      <c r="B228" t="inlineStr">
        <is>
          <t>avverkningsanmälan</t>
        </is>
      </c>
      <c r="C228" t="inlineStr">
        <is>
          <t>Föryngringsavverkning</t>
        </is>
      </c>
      <c r="D228" s="1" t="n">
        <v>45932</v>
      </c>
      <c r="E228" s="1" t="n">
        <v>46220</v>
      </c>
      <c r="F228" t="inlineStr">
        <is>
          <t>ÖREBRO LÄN</t>
        </is>
      </c>
      <c r="G228" t="inlineStr">
        <is>
          <t>HÄLLEFORS</t>
        </is>
      </c>
      <c r="H228" t="inlineStr">
        <is>
          <t>Bergvik skog väst AB</t>
        </is>
      </c>
      <c r="I228" t="n">
        <v>11.5</v>
      </c>
      <c r="J228" t="n">
        <v>0</v>
      </c>
      <c r="K228" t="n">
        <v>0</v>
      </c>
      <c r="L228" t="n">
        <v>0</v>
      </c>
      <c r="M228" t="n">
        <v>0</v>
      </c>
      <c r="N228" t="n">
        <v>0</v>
      </c>
      <c r="O228" t="n">
        <v>0</v>
      </c>
      <c r="P228" t="n">
        <v>0</v>
      </c>
      <c r="Q228" t="n">
        <v>0</v>
      </c>
      <c r="R228" t="n">
        <v>0</v>
      </c>
      <c r="S228" t="n">
        <v>0</v>
      </c>
      <c r="T228" t="n">
        <v>0</v>
      </c>
      <c r="U228" s="2" t="inlineStr"/>
    </row>
    <row r="229" ht="15" customHeight="1">
      <c r="A229" t="inlineStr">
        <is>
          <t>A 58940-2025</t>
        </is>
      </c>
      <c r="B229" t="inlineStr">
        <is>
          <t>avverkningsanmälan</t>
        </is>
      </c>
      <c r="C229" t="inlineStr">
        <is>
          <t>Föryngringsavverkning</t>
        </is>
      </c>
      <c r="D229" s="1" t="n">
        <v>45987</v>
      </c>
      <c r="E229" s="1" t="n">
        <v>46220</v>
      </c>
      <c r="F229" t="inlineStr">
        <is>
          <t>ÖREBRO LÄN</t>
        </is>
      </c>
      <c r="G229" t="inlineStr">
        <is>
          <t>HÄLLEFORS</t>
        </is>
      </c>
      <c r="H229" t="inlineStr">
        <is>
          <t>Bergvik skog väst AB</t>
        </is>
      </c>
      <c r="I229" t="n">
        <v>3.4</v>
      </c>
      <c r="J229" t="n">
        <v>0</v>
      </c>
      <c r="K229" t="n">
        <v>0</v>
      </c>
      <c r="L229" t="n">
        <v>0</v>
      </c>
      <c r="M229" t="n">
        <v>0</v>
      </c>
      <c r="N229" t="n">
        <v>0</v>
      </c>
      <c r="O229" t="n">
        <v>0</v>
      </c>
      <c r="P229" t="n">
        <v>0</v>
      </c>
      <c r="Q229" t="n">
        <v>0</v>
      </c>
      <c r="R229" t="n">
        <v>0</v>
      </c>
      <c r="S229" t="n">
        <v>0</v>
      </c>
      <c r="T229" t="n">
        <v>0</v>
      </c>
      <c r="U229" s="2" t="inlineStr"/>
    </row>
    <row r="230" ht="15" customHeight="1">
      <c r="A230" t="inlineStr">
        <is>
          <t>A 58949-2025</t>
        </is>
      </c>
      <c r="B230" t="inlineStr">
        <is>
          <t>avverkningsanmälan</t>
        </is>
      </c>
      <c r="C230" t="inlineStr">
        <is>
          <t>Föryngringsavverkning</t>
        </is>
      </c>
      <c r="D230" s="1" t="n">
        <v>45987</v>
      </c>
      <c r="E230" s="1" t="n">
        <v>46220</v>
      </c>
      <c r="F230" t="inlineStr">
        <is>
          <t>ÖREBRO LÄN</t>
        </is>
      </c>
      <c r="G230" t="inlineStr">
        <is>
          <t>HÄLLEFORS</t>
        </is>
      </c>
      <c r="H230" t="inlineStr">
        <is>
          <t>Bergvik skog väst AB</t>
        </is>
      </c>
      <c r="I230" t="n">
        <v>2.7</v>
      </c>
      <c r="J230" t="n">
        <v>0</v>
      </c>
      <c r="K230" t="n">
        <v>0</v>
      </c>
      <c r="L230" t="n">
        <v>0</v>
      </c>
      <c r="M230" t="n">
        <v>0</v>
      </c>
      <c r="N230" t="n">
        <v>0</v>
      </c>
      <c r="O230" t="n">
        <v>0</v>
      </c>
      <c r="P230" t="n">
        <v>0</v>
      </c>
      <c r="Q230" t="n">
        <v>0</v>
      </c>
      <c r="R230" t="n">
        <v>0</v>
      </c>
      <c r="S230" t="n">
        <v>0</v>
      </c>
      <c r="T230" t="n">
        <v>0</v>
      </c>
      <c r="U230" s="2" t="inlineStr"/>
    </row>
    <row r="231" ht="15" customHeight="1">
      <c r="A231" t="inlineStr">
        <is>
          <t>A 18927-2025</t>
        </is>
      </c>
      <c r="B231" t="inlineStr">
        <is>
          <t>avverkningsanmälan</t>
        </is>
      </c>
      <c r="C231" t="inlineStr">
        <is>
          <t>Föryngringsavverkning</t>
        </is>
      </c>
      <c r="D231" s="1" t="n">
        <v>45764</v>
      </c>
      <c r="E231" s="1" t="n">
        <v>46220</v>
      </c>
      <c r="F231" t="inlineStr">
        <is>
          <t>ÖREBRO LÄN</t>
        </is>
      </c>
      <c r="G231" t="inlineStr">
        <is>
          <t>HÄLLEFORS</t>
        </is>
      </c>
      <c r="H231" t="inlineStr">
        <is>
          <t>Bergvik skog väst AB</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18945-2025</t>
        </is>
      </c>
      <c r="B232" t="inlineStr">
        <is>
          <t>avverkningsanmälan</t>
        </is>
      </c>
      <c r="C232" t="inlineStr">
        <is>
          <t>Föryngringsavverkning</t>
        </is>
      </c>
      <c r="D232" s="1" t="n">
        <v>45764</v>
      </c>
      <c r="E232" s="1" t="n">
        <v>46220</v>
      </c>
      <c r="F232" t="inlineStr">
        <is>
          <t>ÖREBRO LÄN</t>
        </is>
      </c>
      <c r="G232" t="inlineStr">
        <is>
          <t>HÄLLEFORS</t>
        </is>
      </c>
      <c r="H232" t="inlineStr">
        <is>
          <t>Bergvik skog väst AB</t>
        </is>
      </c>
      <c r="I232" t="n">
        <v>5.1</v>
      </c>
      <c r="J232" t="n">
        <v>0</v>
      </c>
      <c r="K232" t="n">
        <v>0</v>
      </c>
      <c r="L232" t="n">
        <v>0</v>
      </c>
      <c r="M232" t="n">
        <v>0</v>
      </c>
      <c r="N232" t="n">
        <v>0</v>
      </c>
      <c r="O232" t="n">
        <v>0</v>
      </c>
      <c r="P232" t="n">
        <v>0</v>
      </c>
      <c r="Q232" t="n">
        <v>0</v>
      </c>
      <c r="R232" t="n">
        <v>0</v>
      </c>
      <c r="S232" t="n">
        <v>0</v>
      </c>
      <c r="T232" t="n">
        <v>0</v>
      </c>
      <c r="U232" s="2" t="inlineStr"/>
    </row>
    <row r="233" ht="15" customHeight="1">
      <c r="A233" t="inlineStr">
        <is>
          <t>A 54105-2023</t>
        </is>
      </c>
      <c r="B233" t="inlineStr">
        <is>
          <t>avverkningsanmälan</t>
        </is>
      </c>
      <c r="C233" t="inlineStr">
        <is>
          <t>Avverkning för annat ändamål</t>
        </is>
      </c>
      <c r="D233" s="1" t="n">
        <v>45232</v>
      </c>
      <c r="E233" s="1" t="n">
        <v>46220</v>
      </c>
      <c r="F233" t="inlineStr">
        <is>
          <t>ÖREBRO LÄN</t>
        </is>
      </c>
      <c r="G233" t="inlineStr">
        <is>
          <t>HÄLLEFORS</t>
        </is>
      </c>
      <c r="H233" t="inlineStr">
        <is>
          <t>Kommuner</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50571-2024</t>
        </is>
      </c>
      <c r="B234" t="inlineStr">
        <is>
          <t>avverkningsanmälan</t>
        </is>
      </c>
      <c r="C234" t="inlineStr">
        <is>
          <t>Föryngringsavverkning</t>
        </is>
      </c>
      <c r="D234" s="1" t="n">
        <v>45601</v>
      </c>
      <c r="E234" s="1" t="n">
        <v>46220</v>
      </c>
      <c r="F234" t="inlineStr">
        <is>
          <t>ÖREBRO LÄN</t>
        </is>
      </c>
      <c r="G234" t="inlineStr">
        <is>
          <t>HÄLLEFORS</t>
        </is>
      </c>
      <c r="H234" t="inlineStr">
        <is>
          <t>Bergvik skog väst AB</t>
        </is>
      </c>
      <c r="I234" t="n">
        <v>4.6</v>
      </c>
      <c r="J234" t="n">
        <v>0</v>
      </c>
      <c r="K234" t="n">
        <v>0</v>
      </c>
      <c r="L234" t="n">
        <v>0</v>
      </c>
      <c r="M234" t="n">
        <v>0</v>
      </c>
      <c r="N234" t="n">
        <v>0</v>
      </c>
      <c r="O234" t="n">
        <v>0</v>
      </c>
      <c r="P234" t="n">
        <v>0</v>
      </c>
      <c r="Q234" t="n">
        <v>0</v>
      </c>
      <c r="R234" t="n">
        <v>0</v>
      </c>
      <c r="S234" t="n">
        <v>0</v>
      </c>
      <c r="T234" t="n">
        <v>0</v>
      </c>
      <c r="U234" s="2" t="inlineStr"/>
    </row>
    <row r="235" ht="15" customHeight="1">
      <c r="A235" t="inlineStr">
        <is>
          <t>A 21315-2024</t>
        </is>
      </c>
      <c r="B235" t="inlineStr">
        <is>
          <t>avverkningsanmälan</t>
        </is>
      </c>
      <c r="C235" t="inlineStr">
        <is>
          <t>Föryngringsavverkning</t>
        </is>
      </c>
      <c r="D235" s="1" t="n">
        <v>45440</v>
      </c>
      <c r="E235" s="1" t="n">
        <v>46220</v>
      </c>
      <c r="F235" t="inlineStr">
        <is>
          <t>ÖREBRO LÄN</t>
        </is>
      </c>
      <c r="G235" t="inlineStr">
        <is>
          <t>HÄLLEFORS</t>
        </is>
      </c>
      <c r="I235" t="n">
        <v>3.1</v>
      </c>
      <c r="J235" t="n">
        <v>0</v>
      </c>
      <c r="K235" t="n">
        <v>0</v>
      </c>
      <c r="L235" t="n">
        <v>0</v>
      </c>
      <c r="M235" t="n">
        <v>0</v>
      </c>
      <c r="N235" t="n">
        <v>0</v>
      </c>
      <c r="O235" t="n">
        <v>0</v>
      </c>
      <c r="P235" t="n">
        <v>0</v>
      </c>
      <c r="Q235" t="n">
        <v>0</v>
      </c>
      <c r="R235" t="n">
        <v>0</v>
      </c>
      <c r="S235" t="n">
        <v>0</v>
      </c>
      <c r="T235" t="n">
        <v>0</v>
      </c>
      <c r="U235" s="2" t="inlineStr"/>
    </row>
    <row r="236" ht="15" customHeight="1">
      <c r="A236" t="inlineStr">
        <is>
          <t>A 25870-2026</t>
        </is>
      </c>
      <c r="B236" t="inlineStr">
        <is>
          <t>avverkningsanmälan</t>
        </is>
      </c>
      <c r="C236" t="inlineStr">
        <is>
          <t>Föryngringsavverkning</t>
        </is>
      </c>
      <c r="D236" s="1" t="n">
        <v>46178</v>
      </c>
      <c r="E236" s="1" t="n">
        <v>46220</v>
      </c>
      <c r="F236" t="inlineStr">
        <is>
          <t>ÖREBRO LÄN</t>
        </is>
      </c>
      <c r="G236" t="inlineStr">
        <is>
          <t>HÄLLEFORS</t>
        </is>
      </c>
      <c r="H236" t="inlineStr">
        <is>
          <t>Bergvik skog väst AB</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13757-2023</t>
        </is>
      </c>
      <c r="B237" t="inlineStr">
        <is>
          <t>avverkningsanmälan</t>
        </is>
      </c>
      <c r="C237" t="inlineStr">
        <is>
          <t>Föryngringsavverkning</t>
        </is>
      </c>
      <c r="D237" s="1" t="n">
        <v>45007</v>
      </c>
      <c r="E237" s="1" t="n">
        <v>46220</v>
      </c>
      <c r="F237" t="inlineStr">
        <is>
          <t>ÖREBRO LÄN</t>
        </is>
      </c>
      <c r="G237" t="inlineStr">
        <is>
          <t>HÄLLEFORS</t>
        </is>
      </c>
      <c r="H237" t="inlineStr">
        <is>
          <t>Bergvik skog väst AB</t>
        </is>
      </c>
      <c r="I237" t="n">
        <v>3.6</v>
      </c>
      <c r="J237" t="n">
        <v>0</v>
      </c>
      <c r="K237" t="n">
        <v>0</v>
      </c>
      <c r="L237" t="n">
        <v>0</v>
      </c>
      <c r="M237" t="n">
        <v>0</v>
      </c>
      <c r="N237" t="n">
        <v>0</v>
      </c>
      <c r="O237" t="n">
        <v>0</v>
      </c>
      <c r="P237" t="n">
        <v>0</v>
      </c>
      <c r="Q237" t="n">
        <v>0</v>
      </c>
      <c r="R237" t="n">
        <v>0</v>
      </c>
      <c r="S237" t="n">
        <v>0</v>
      </c>
      <c r="T237" t="n">
        <v>0</v>
      </c>
      <c r="U237" s="2" t="inlineStr"/>
    </row>
    <row r="238" ht="15" customHeight="1">
      <c r="A238" t="inlineStr">
        <is>
          <t>A 30591-2024</t>
        </is>
      </c>
      <c r="B238" t="inlineStr">
        <is>
          <t>avverkningsanmälan</t>
        </is>
      </c>
      <c r="C238" t="inlineStr">
        <is>
          <t>Föryngringsavverkning</t>
        </is>
      </c>
      <c r="D238" s="1" t="n">
        <v>45493</v>
      </c>
      <c r="E238" s="1" t="n">
        <v>46220</v>
      </c>
      <c r="F238" t="inlineStr">
        <is>
          <t>ÖREBRO LÄN</t>
        </is>
      </c>
      <c r="G238" t="inlineStr">
        <is>
          <t>HÄLLEFORS</t>
        </is>
      </c>
      <c r="I238" t="n">
        <v>12.5</v>
      </c>
      <c r="J238" t="n">
        <v>0</v>
      </c>
      <c r="K238" t="n">
        <v>0</v>
      </c>
      <c r="L238" t="n">
        <v>0</v>
      </c>
      <c r="M238" t="n">
        <v>0</v>
      </c>
      <c r="N238" t="n">
        <v>0</v>
      </c>
      <c r="O238" t="n">
        <v>0</v>
      </c>
      <c r="P238" t="n">
        <v>0</v>
      </c>
      <c r="Q238" t="n">
        <v>0</v>
      </c>
      <c r="R238" t="n">
        <v>0</v>
      </c>
      <c r="S238" t="n">
        <v>0</v>
      </c>
      <c r="T238" t="n">
        <v>0</v>
      </c>
      <c r="U238" s="2" t="inlineStr"/>
    </row>
    <row r="239" ht="15" customHeight="1">
      <c r="A239" t="inlineStr">
        <is>
          <t>A 34029-2025</t>
        </is>
      </c>
      <c r="B239" t="inlineStr">
        <is>
          <t>avverkningsanmälan</t>
        </is>
      </c>
      <c r="C239" t="inlineStr">
        <is>
          <t>Föryngringsavverkning</t>
        </is>
      </c>
      <c r="D239" s="1" t="n">
        <v>45845</v>
      </c>
      <c r="E239" s="1" t="n">
        <v>46220</v>
      </c>
      <c r="F239" t="inlineStr">
        <is>
          <t>ÖREBRO LÄN</t>
        </is>
      </c>
      <c r="G239" t="inlineStr">
        <is>
          <t>HÄLLEFORS</t>
        </is>
      </c>
      <c r="H239" t="inlineStr">
        <is>
          <t>Bergvik skog väst AB</t>
        </is>
      </c>
      <c r="I239" t="n">
        <v>4</v>
      </c>
      <c r="J239" t="n">
        <v>0</v>
      </c>
      <c r="K239" t="n">
        <v>0</v>
      </c>
      <c r="L239" t="n">
        <v>0</v>
      </c>
      <c r="M239" t="n">
        <v>0</v>
      </c>
      <c r="N239" t="n">
        <v>0</v>
      </c>
      <c r="O239" t="n">
        <v>0</v>
      </c>
      <c r="P239" t="n">
        <v>0</v>
      </c>
      <c r="Q239" t="n">
        <v>0</v>
      </c>
      <c r="R239" t="n">
        <v>0</v>
      </c>
      <c r="S239" t="n">
        <v>0</v>
      </c>
      <c r="T239" t="n">
        <v>0</v>
      </c>
      <c r="U239" s="2" t="inlineStr"/>
    </row>
    <row r="240" ht="15" customHeight="1">
      <c r="A240" t="inlineStr">
        <is>
          <t>A 32813-2025</t>
        </is>
      </c>
      <c r="B240" t="inlineStr">
        <is>
          <t>avverkningsanmälan</t>
        </is>
      </c>
      <c r="C240" t="inlineStr">
        <is>
          <t>Föryngringsavverkning</t>
        </is>
      </c>
      <c r="D240" s="1" t="n">
        <v>45839</v>
      </c>
      <c r="E240" s="1" t="n">
        <v>46220</v>
      </c>
      <c r="F240" t="inlineStr">
        <is>
          <t>ÖREBRO LÄN</t>
        </is>
      </c>
      <c r="G240" t="inlineStr">
        <is>
          <t>HÄLLEFORS</t>
        </is>
      </c>
      <c r="I240" t="n">
        <v>3.5</v>
      </c>
      <c r="J240" t="n">
        <v>0</v>
      </c>
      <c r="K240" t="n">
        <v>0</v>
      </c>
      <c r="L240" t="n">
        <v>0</v>
      </c>
      <c r="M240" t="n">
        <v>0</v>
      </c>
      <c r="N240" t="n">
        <v>0</v>
      </c>
      <c r="O240" t="n">
        <v>0</v>
      </c>
      <c r="P240" t="n">
        <v>0</v>
      </c>
      <c r="Q240" t="n">
        <v>0</v>
      </c>
      <c r="R240" t="n">
        <v>0</v>
      </c>
      <c r="S240" t="n">
        <v>0</v>
      </c>
      <c r="T240" t="n">
        <v>0</v>
      </c>
      <c r="U240" s="2" t="inlineStr"/>
    </row>
    <row r="241" ht="15" customHeight="1">
      <c r="A241" t="inlineStr">
        <is>
          <t>A 25871-2026</t>
        </is>
      </c>
      <c r="B241" t="inlineStr">
        <is>
          <t>avverkningsanmälan</t>
        </is>
      </c>
      <c r="C241" t="inlineStr">
        <is>
          <t>Föryngringsavverkning</t>
        </is>
      </c>
      <c r="D241" s="1" t="n">
        <v>46178</v>
      </c>
      <c r="E241" s="1" t="n">
        <v>46220</v>
      </c>
      <c r="F241" t="inlineStr">
        <is>
          <t>ÖREBRO LÄN</t>
        </is>
      </c>
      <c r="G241" t="inlineStr">
        <is>
          <t>HÄLLEFORS</t>
        </is>
      </c>
      <c r="H241" t="inlineStr">
        <is>
          <t>Bergvik skog väst AB</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12545-2023</t>
        </is>
      </c>
      <c r="B242" t="inlineStr">
        <is>
          <t>avverkningsanmälan</t>
        </is>
      </c>
      <c r="C242" t="inlineStr">
        <is>
          <t>Föryngringsavverkning</t>
        </is>
      </c>
      <c r="D242" s="1" t="n">
        <v>45000</v>
      </c>
      <c r="E242" s="1" t="n">
        <v>46220</v>
      </c>
      <c r="F242" t="inlineStr">
        <is>
          <t>ÖREBRO LÄN</t>
        </is>
      </c>
      <c r="G242" t="inlineStr">
        <is>
          <t>HÄLLEFORS</t>
        </is>
      </c>
      <c r="H242" t="inlineStr">
        <is>
          <t>Bergvik skog väst AB</t>
        </is>
      </c>
      <c r="I242" t="n">
        <v>5.6</v>
      </c>
      <c r="J242" t="n">
        <v>0</v>
      </c>
      <c r="K242" t="n">
        <v>0</v>
      </c>
      <c r="L242" t="n">
        <v>0</v>
      </c>
      <c r="M242" t="n">
        <v>0</v>
      </c>
      <c r="N242" t="n">
        <v>0</v>
      </c>
      <c r="O242" t="n">
        <v>0</v>
      </c>
      <c r="P242" t="n">
        <v>0</v>
      </c>
      <c r="Q242" t="n">
        <v>0</v>
      </c>
      <c r="R242" t="n">
        <v>0</v>
      </c>
      <c r="S242" t="n">
        <v>0</v>
      </c>
      <c r="T242" t="n">
        <v>0</v>
      </c>
      <c r="U242" s="2" t="inlineStr"/>
    </row>
    <row r="243" ht="15" customHeight="1">
      <c r="A243" t="inlineStr">
        <is>
          <t>A 34042-2025</t>
        </is>
      </c>
      <c r="B243" t="inlineStr">
        <is>
          <t>avverkningsanmälan</t>
        </is>
      </c>
      <c r="C243" t="inlineStr">
        <is>
          <t>Föryngringsavverkning</t>
        </is>
      </c>
      <c r="D243" s="1" t="n">
        <v>45845</v>
      </c>
      <c r="E243" s="1" t="n">
        <v>46220</v>
      </c>
      <c r="F243" t="inlineStr">
        <is>
          <t>ÖREBRO LÄN</t>
        </is>
      </c>
      <c r="G243" t="inlineStr">
        <is>
          <t>HÄLLEFORS</t>
        </is>
      </c>
      <c r="H243" t="inlineStr">
        <is>
          <t>Bergvik skog väst AB</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6281-2025</t>
        </is>
      </c>
      <c r="B244" t="inlineStr">
        <is>
          <t>avverkningsanmälan</t>
        </is>
      </c>
      <c r="C244" t="inlineStr">
        <is>
          <t>Föryngringsavverkning</t>
        </is>
      </c>
      <c r="D244" s="1" t="n">
        <v>45698</v>
      </c>
      <c r="E244" s="1" t="n">
        <v>46220</v>
      </c>
      <c r="F244" t="inlineStr">
        <is>
          <t>ÖREBRO LÄN</t>
        </is>
      </c>
      <c r="G244" t="inlineStr">
        <is>
          <t>HÄLLEFORS</t>
        </is>
      </c>
      <c r="H244" t="inlineStr">
        <is>
          <t>Bergvik skog väst AB</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19944-2026</t>
        </is>
      </c>
      <c r="B245" t="inlineStr">
        <is>
          <t>avverkningsanmälan</t>
        </is>
      </c>
      <c r="C245" t="inlineStr">
        <is>
          <t>Föryngringsavverkning</t>
        </is>
      </c>
      <c r="D245" s="1" t="n">
        <v>46136</v>
      </c>
      <c r="E245" s="1" t="n">
        <v>46220</v>
      </c>
      <c r="F245" t="inlineStr">
        <is>
          <t>ÖREBRO LÄN</t>
        </is>
      </c>
      <c r="G245" t="inlineStr">
        <is>
          <t>HÄLLEFORS</t>
        </is>
      </c>
      <c r="H245" t="inlineStr">
        <is>
          <t>Bergvik skog väst AB</t>
        </is>
      </c>
      <c r="I245" t="n">
        <v>3.8</v>
      </c>
      <c r="J245" t="n">
        <v>0</v>
      </c>
      <c r="K245" t="n">
        <v>0</v>
      </c>
      <c r="L245" t="n">
        <v>0</v>
      </c>
      <c r="M245" t="n">
        <v>0</v>
      </c>
      <c r="N245" t="n">
        <v>0</v>
      </c>
      <c r="O245" t="n">
        <v>0</v>
      </c>
      <c r="P245" t="n">
        <v>0</v>
      </c>
      <c r="Q245" t="n">
        <v>0</v>
      </c>
      <c r="R245" t="n">
        <v>0</v>
      </c>
      <c r="S245" t="n">
        <v>0</v>
      </c>
      <c r="T245" t="n">
        <v>0</v>
      </c>
      <c r="U245" s="2" t="inlineStr"/>
    </row>
    <row r="246" ht="15" customHeight="1">
      <c r="A246" t="inlineStr">
        <is>
          <t>A 42918-2024</t>
        </is>
      </c>
      <c r="B246" t="inlineStr">
        <is>
          <t>avverkningsanmälan</t>
        </is>
      </c>
      <c r="C246" t="inlineStr">
        <is>
          <t>Föryngringsavverkning</t>
        </is>
      </c>
      <c r="D246" s="1" t="n">
        <v>45567</v>
      </c>
      <c r="E246" s="1" t="n">
        <v>46220</v>
      </c>
      <c r="F246" t="inlineStr">
        <is>
          <t>ÖREBRO LÄN</t>
        </is>
      </c>
      <c r="G246" t="inlineStr">
        <is>
          <t>HÄLLEFORS</t>
        </is>
      </c>
      <c r="H246" t="inlineStr">
        <is>
          <t>Bergvik skog väst AB</t>
        </is>
      </c>
      <c r="I246" t="n">
        <v>3.8</v>
      </c>
      <c r="J246" t="n">
        <v>0</v>
      </c>
      <c r="K246" t="n">
        <v>0</v>
      </c>
      <c r="L246" t="n">
        <v>0</v>
      </c>
      <c r="M246" t="n">
        <v>0</v>
      </c>
      <c r="N246" t="n">
        <v>0</v>
      </c>
      <c r="O246" t="n">
        <v>0</v>
      </c>
      <c r="P246" t="n">
        <v>0</v>
      </c>
      <c r="Q246" t="n">
        <v>0</v>
      </c>
      <c r="R246" t="n">
        <v>0</v>
      </c>
      <c r="S246" t="n">
        <v>0</v>
      </c>
      <c r="T246" t="n">
        <v>0</v>
      </c>
      <c r="U246" s="2" t="inlineStr"/>
    </row>
    <row r="247" ht="15" customHeight="1">
      <c r="A247" t="inlineStr">
        <is>
          <t>A 18664-2025</t>
        </is>
      </c>
      <c r="B247" t="inlineStr">
        <is>
          <t>avverkningsanmälan</t>
        </is>
      </c>
      <c r="C247" t="inlineStr">
        <is>
          <t>Föryngringsavverkning</t>
        </is>
      </c>
      <c r="D247" s="1" t="n">
        <v>45763</v>
      </c>
      <c r="E247" s="1" t="n">
        <v>46220</v>
      </c>
      <c r="F247" t="inlineStr">
        <is>
          <t>ÖREBRO LÄN</t>
        </is>
      </c>
      <c r="G247" t="inlineStr">
        <is>
          <t>HÄLLEFORS</t>
        </is>
      </c>
      <c r="H247" t="inlineStr">
        <is>
          <t>Bergvik skog väst AB</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38908-2021</t>
        </is>
      </c>
      <c r="B248" t="inlineStr">
        <is>
          <t>avverkningsanmälan</t>
        </is>
      </c>
      <c r="C248" t="inlineStr">
        <is>
          <t>Föryngringsavverkning</t>
        </is>
      </c>
      <c r="D248" s="1" t="n">
        <v>44411</v>
      </c>
      <c r="E248" s="1" t="n">
        <v>46220</v>
      </c>
      <c r="F248" t="inlineStr">
        <is>
          <t>ÖREBRO LÄN</t>
        </is>
      </c>
      <c r="G248" t="inlineStr">
        <is>
          <t>HÄLLEFORS</t>
        </is>
      </c>
      <c r="I248" t="n">
        <v>3.9</v>
      </c>
      <c r="J248" t="n">
        <v>0</v>
      </c>
      <c r="K248" t="n">
        <v>0</v>
      </c>
      <c r="L248" t="n">
        <v>0</v>
      </c>
      <c r="M248" t="n">
        <v>0</v>
      </c>
      <c r="N248" t="n">
        <v>0</v>
      </c>
      <c r="O248" t="n">
        <v>0</v>
      </c>
      <c r="P248" t="n">
        <v>0</v>
      </c>
      <c r="Q248" t="n">
        <v>0</v>
      </c>
      <c r="R248" t="n">
        <v>0</v>
      </c>
      <c r="S248" t="n">
        <v>0</v>
      </c>
      <c r="T248" t="n">
        <v>0</v>
      </c>
      <c r="U248" s="2" t="inlineStr"/>
    </row>
    <row r="249" ht="15" customHeight="1">
      <c r="A249" t="inlineStr">
        <is>
          <t>A 28004-2022</t>
        </is>
      </c>
      <c r="B249" t="inlineStr">
        <is>
          <t>avverkningsanmälan</t>
        </is>
      </c>
      <c r="C249" t="inlineStr">
        <is>
          <t>Föryngringsavverkning</t>
        </is>
      </c>
      <c r="D249" s="1" t="n">
        <v>44746</v>
      </c>
      <c r="E249" s="1" t="n">
        <v>46220</v>
      </c>
      <c r="F249" t="inlineStr">
        <is>
          <t>ÖREBRO LÄN</t>
        </is>
      </c>
      <c r="G249" t="inlineStr">
        <is>
          <t>HÄLLEFORS</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67953-2021</t>
        </is>
      </c>
      <c r="B250" t="inlineStr">
        <is>
          <t>avverkningsanmälan</t>
        </is>
      </c>
      <c r="C250" t="inlineStr">
        <is>
          <t>Föryngringsavverkning</t>
        </is>
      </c>
      <c r="D250" s="1" t="n">
        <v>44525</v>
      </c>
      <c r="E250" s="1" t="n">
        <v>46220</v>
      </c>
      <c r="F250" t="inlineStr">
        <is>
          <t>ÖREBRO LÄN</t>
        </is>
      </c>
      <c r="G250" t="inlineStr">
        <is>
          <t>HÄLLEFORS</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47852-2025</t>
        </is>
      </c>
      <c r="B251" t="inlineStr">
        <is>
          <t>avverkningsanmälan</t>
        </is>
      </c>
      <c r="C251" t="inlineStr">
        <is>
          <t>Föryngringsavverkning</t>
        </is>
      </c>
      <c r="D251" s="1" t="n">
        <v>45932</v>
      </c>
      <c r="E251" s="1" t="n">
        <v>46220</v>
      </c>
      <c r="F251" t="inlineStr">
        <is>
          <t>ÖREBRO LÄN</t>
        </is>
      </c>
      <c r="G251" t="inlineStr">
        <is>
          <t>HÄLLEFORS</t>
        </is>
      </c>
      <c r="H251" t="inlineStr">
        <is>
          <t>Bergvik skog väst AB</t>
        </is>
      </c>
      <c r="I251" t="n">
        <v>12.9</v>
      </c>
      <c r="J251" t="n">
        <v>0</v>
      </c>
      <c r="K251" t="n">
        <v>0</v>
      </c>
      <c r="L251" t="n">
        <v>0</v>
      </c>
      <c r="M251" t="n">
        <v>0</v>
      </c>
      <c r="N251" t="n">
        <v>0</v>
      </c>
      <c r="O251" t="n">
        <v>0</v>
      </c>
      <c r="P251" t="n">
        <v>0</v>
      </c>
      <c r="Q251" t="n">
        <v>0</v>
      </c>
      <c r="R251" t="n">
        <v>0</v>
      </c>
      <c r="S251" t="n">
        <v>0</v>
      </c>
      <c r="T251" t="n">
        <v>0</v>
      </c>
      <c r="U251" s="2" t="inlineStr"/>
    </row>
    <row r="252" ht="15" customHeight="1">
      <c r="A252" t="inlineStr">
        <is>
          <t>A 41822-2023</t>
        </is>
      </c>
      <c r="B252" t="inlineStr">
        <is>
          <t>avverkningsanmälan</t>
        </is>
      </c>
      <c r="C252" t="inlineStr">
        <is>
          <t>Föryngringsavverkning</t>
        </is>
      </c>
      <c r="D252" s="1" t="n">
        <v>45176</v>
      </c>
      <c r="E252" s="1" t="n">
        <v>46220</v>
      </c>
      <c r="F252" t="inlineStr">
        <is>
          <t>ÖREBRO LÄN</t>
        </is>
      </c>
      <c r="G252" t="inlineStr">
        <is>
          <t>HÄLLEFORS</t>
        </is>
      </c>
      <c r="H252" t="inlineStr">
        <is>
          <t>Bergvik skog väst AB</t>
        </is>
      </c>
      <c r="I252" t="n">
        <v>5.6</v>
      </c>
      <c r="J252" t="n">
        <v>0</v>
      </c>
      <c r="K252" t="n">
        <v>0</v>
      </c>
      <c r="L252" t="n">
        <v>0</v>
      </c>
      <c r="M252" t="n">
        <v>0</v>
      </c>
      <c r="N252" t="n">
        <v>0</v>
      </c>
      <c r="O252" t="n">
        <v>0</v>
      </c>
      <c r="P252" t="n">
        <v>0</v>
      </c>
      <c r="Q252" t="n">
        <v>0</v>
      </c>
      <c r="R252" t="n">
        <v>0</v>
      </c>
      <c r="S252" t="n">
        <v>0</v>
      </c>
      <c r="T252" t="n">
        <v>0</v>
      </c>
      <c r="U252" s="2" t="inlineStr"/>
    </row>
    <row r="253" ht="15" customHeight="1">
      <c r="A253" t="inlineStr">
        <is>
          <t>A 34045-2025</t>
        </is>
      </c>
      <c r="B253" t="inlineStr">
        <is>
          <t>avverkningsanmälan</t>
        </is>
      </c>
      <c r="C253" t="inlineStr">
        <is>
          <t>Föryngringsavverkning</t>
        </is>
      </c>
      <c r="D253" s="1" t="n">
        <v>45845</v>
      </c>
      <c r="E253" s="1" t="n">
        <v>46220</v>
      </c>
      <c r="F253" t="inlineStr">
        <is>
          <t>ÖREBRO LÄN</t>
        </is>
      </c>
      <c r="G253" t="inlineStr">
        <is>
          <t>HÄLLEFORS</t>
        </is>
      </c>
      <c r="H253" t="inlineStr">
        <is>
          <t>Bergvik skog väst AB</t>
        </is>
      </c>
      <c r="I253" t="n">
        <v>4</v>
      </c>
      <c r="J253" t="n">
        <v>0</v>
      </c>
      <c r="K253" t="n">
        <v>0</v>
      </c>
      <c r="L253" t="n">
        <v>0</v>
      </c>
      <c r="M253" t="n">
        <v>0</v>
      </c>
      <c r="N253" t="n">
        <v>0</v>
      </c>
      <c r="O253" t="n">
        <v>0</v>
      </c>
      <c r="P253" t="n">
        <v>0</v>
      </c>
      <c r="Q253" t="n">
        <v>0</v>
      </c>
      <c r="R253" t="n">
        <v>0</v>
      </c>
      <c r="S253" t="n">
        <v>0</v>
      </c>
      <c r="T253" t="n">
        <v>0</v>
      </c>
      <c r="U253" s="2" t="inlineStr"/>
    </row>
    <row r="254" ht="15" customHeight="1">
      <c r="A254" t="inlineStr">
        <is>
          <t>A 14120-2023</t>
        </is>
      </c>
      <c r="B254" t="inlineStr">
        <is>
          <t>avverkningsanmälan</t>
        </is>
      </c>
      <c r="C254" t="inlineStr">
        <is>
          <t>Föryngringsavverkning</t>
        </is>
      </c>
      <c r="D254" s="1" t="n">
        <v>45009</v>
      </c>
      <c r="E254" s="1" t="n">
        <v>46220</v>
      </c>
      <c r="F254" t="inlineStr">
        <is>
          <t>ÖREBRO LÄN</t>
        </is>
      </c>
      <c r="G254" t="inlineStr">
        <is>
          <t>HÄLLEFORS</t>
        </is>
      </c>
      <c r="H254" t="inlineStr">
        <is>
          <t>Bergvik skog väst AB</t>
        </is>
      </c>
      <c r="I254" t="n">
        <v>4.2</v>
      </c>
      <c r="J254" t="n">
        <v>0</v>
      </c>
      <c r="K254" t="n">
        <v>0</v>
      </c>
      <c r="L254" t="n">
        <v>0</v>
      </c>
      <c r="M254" t="n">
        <v>0</v>
      </c>
      <c r="N254" t="n">
        <v>0</v>
      </c>
      <c r="O254" t="n">
        <v>0</v>
      </c>
      <c r="P254" t="n">
        <v>0</v>
      </c>
      <c r="Q254" t="n">
        <v>0</v>
      </c>
      <c r="R254" t="n">
        <v>0</v>
      </c>
      <c r="S254" t="n">
        <v>0</v>
      </c>
      <c r="T254" t="n">
        <v>0</v>
      </c>
      <c r="U254" s="2" t="inlineStr"/>
    </row>
    <row r="255" ht="15" customHeight="1">
      <c r="A255" t="inlineStr">
        <is>
          <t>A 25868-2026</t>
        </is>
      </c>
      <c r="B255" t="inlineStr">
        <is>
          <t>avverkningsanmälan</t>
        </is>
      </c>
      <c r="C255" t="inlineStr">
        <is>
          <t>Föryngringsavverkning</t>
        </is>
      </c>
      <c r="D255" s="1" t="n">
        <v>46178</v>
      </c>
      <c r="E255" s="1" t="n">
        <v>46220</v>
      </c>
      <c r="F255" t="inlineStr">
        <is>
          <t>ÖREBRO LÄN</t>
        </is>
      </c>
      <c r="G255" t="inlineStr">
        <is>
          <t>HÄLLEFORS</t>
        </is>
      </c>
      <c r="H255" t="inlineStr">
        <is>
          <t>Bergvik skog väst AB</t>
        </is>
      </c>
      <c r="I255" t="n">
        <v>6.2</v>
      </c>
      <c r="J255" t="n">
        <v>0</v>
      </c>
      <c r="K255" t="n">
        <v>0</v>
      </c>
      <c r="L255" t="n">
        <v>0</v>
      </c>
      <c r="M255" t="n">
        <v>0</v>
      </c>
      <c r="N255" t="n">
        <v>0</v>
      </c>
      <c r="O255" t="n">
        <v>0</v>
      </c>
      <c r="P255" t="n">
        <v>0</v>
      </c>
      <c r="Q255" t="n">
        <v>0</v>
      </c>
      <c r="R255" t="n">
        <v>0</v>
      </c>
      <c r="S255" t="n">
        <v>0</v>
      </c>
      <c r="T255" t="n">
        <v>0</v>
      </c>
      <c r="U255" s="2" t="inlineStr"/>
    </row>
    <row r="256" ht="15" customHeight="1">
      <c r="A256" t="inlineStr">
        <is>
          <t>A 26560-2026</t>
        </is>
      </c>
      <c r="B256" t="inlineStr">
        <is>
          <t>avverkningsanmälan</t>
        </is>
      </c>
      <c r="C256" t="inlineStr">
        <is>
          <t>Föryngringsavverkning</t>
        </is>
      </c>
      <c r="D256" s="1" t="n">
        <v>46183</v>
      </c>
      <c r="E256" s="1" t="n">
        <v>46220</v>
      </c>
      <c r="F256" t="inlineStr">
        <is>
          <t>ÖREBRO LÄN</t>
        </is>
      </c>
      <c r="G256" t="inlineStr">
        <is>
          <t>HÄLLEFORS</t>
        </is>
      </c>
      <c r="I256" t="n">
        <v>3</v>
      </c>
      <c r="J256" t="n">
        <v>0</v>
      </c>
      <c r="K256" t="n">
        <v>0</v>
      </c>
      <c r="L256" t="n">
        <v>0</v>
      </c>
      <c r="M256" t="n">
        <v>0</v>
      </c>
      <c r="N256" t="n">
        <v>0</v>
      </c>
      <c r="O256" t="n">
        <v>0</v>
      </c>
      <c r="P256" t="n">
        <v>0</v>
      </c>
      <c r="Q256" t="n">
        <v>0</v>
      </c>
      <c r="R256" t="n">
        <v>0</v>
      </c>
      <c r="S256" t="n">
        <v>0</v>
      </c>
      <c r="T256" t="n">
        <v>0</v>
      </c>
      <c r="U256" s="2" t="inlineStr"/>
    </row>
    <row r="257" ht="15" customHeight="1">
      <c r="A257" t="inlineStr">
        <is>
          <t>A 19245-2025</t>
        </is>
      </c>
      <c r="B257" t="inlineStr">
        <is>
          <t>avverkningsanmälan</t>
        </is>
      </c>
      <c r="C257" t="inlineStr">
        <is>
          <t>Föryngringsavverkning</t>
        </is>
      </c>
      <c r="D257" s="1" t="n">
        <v>45769</v>
      </c>
      <c r="E257" s="1" t="n">
        <v>46220</v>
      </c>
      <c r="F257" t="inlineStr">
        <is>
          <t>ÖREBRO LÄN</t>
        </is>
      </c>
      <c r="G257" t="inlineStr">
        <is>
          <t>HÄLLEFORS</t>
        </is>
      </c>
      <c r="H257" t="inlineStr">
        <is>
          <t>Kyrkan</t>
        </is>
      </c>
      <c r="I257" t="n">
        <v>2.7</v>
      </c>
      <c r="J257" t="n">
        <v>0</v>
      </c>
      <c r="K257" t="n">
        <v>0</v>
      </c>
      <c r="L257" t="n">
        <v>0</v>
      </c>
      <c r="M257" t="n">
        <v>0</v>
      </c>
      <c r="N257" t="n">
        <v>0</v>
      </c>
      <c r="O257" t="n">
        <v>0</v>
      </c>
      <c r="P257" t="n">
        <v>0</v>
      </c>
      <c r="Q257" t="n">
        <v>0</v>
      </c>
      <c r="R257" t="n">
        <v>0</v>
      </c>
      <c r="S257" t="n">
        <v>0</v>
      </c>
      <c r="T257" t="n">
        <v>0</v>
      </c>
      <c r="U257" s="2" t="inlineStr"/>
    </row>
    <row r="258" ht="15" customHeight="1">
      <c r="A258" t="inlineStr">
        <is>
          <t>A 48429-2024</t>
        </is>
      </c>
      <c r="B258" t="inlineStr">
        <is>
          <t>avverkningsanmälan</t>
        </is>
      </c>
      <c r="C258" t="inlineStr">
        <is>
          <t>Föryngringsavverkning</t>
        </is>
      </c>
      <c r="D258" s="1" t="n">
        <v>45590</v>
      </c>
      <c r="E258" s="1" t="n">
        <v>46220</v>
      </c>
      <c r="F258" t="inlineStr">
        <is>
          <t>ÖREBRO LÄN</t>
        </is>
      </c>
      <c r="G258" t="inlineStr">
        <is>
          <t>HÄLLEFORS</t>
        </is>
      </c>
      <c r="H258" t="inlineStr">
        <is>
          <t>Bergvik skog väst AB</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26240-2026</t>
        </is>
      </c>
      <c r="B259" t="inlineStr">
        <is>
          <t>avverkningsanmälan</t>
        </is>
      </c>
      <c r="C259" t="inlineStr">
        <is>
          <t>Föryngringsavverkning</t>
        </is>
      </c>
      <c r="D259" s="1" t="n">
        <v>46182</v>
      </c>
      <c r="E259" s="1" t="n">
        <v>46220</v>
      </c>
      <c r="F259" t="inlineStr">
        <is>
          <t>ÖREBRO LÄN</t>
        </is>
      </c>
      <c r="G259" t="inlineStr">
        <is>
          <t>HÄLLEFORS</t>
        </is>
      </c>
      <c r="H259" t="inlineStr">
        <is>
          <t>Kyrkan</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4716-2022</t>
        </is>
      </c>
      <c r="B260" t="inlineStr">
        <is>
          <t>avverkningsanmälan</t>
        </is>
      </c>
      <c r="C260" t="inlineStr">
        <is>
          <t>Föryngringsavverkning</t>
        </is>
      </c>
      <c r="D260" s="1" t="n">
        <v>44592</v>
      </c>
      <c r="E260" s="1" t="n">
        <v>46220</v>
      </c>
      <c r="F260" t="inlineStr">
        <is>
          <t>ÖREBRO LÄN</t>
        </is>
      </c>
      <c r="G260" t="inlineStr">
        <is>
          <t>HÄLLEFORS</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9906-2024</t>
        </is>
      </c>
      <c r="B261" t="inlineStr">
        <is>
          <t>avverkningsanmälan</t>
        </is>
      </c>
      <c r="C261" t="inlineStr">
        <is>
          <t>Föryngringsavverkning</t>
        </is>
      </c>
      <c r="D261" s="1" t="n">
        <v>45363</v>
      </c>
      <c r="E261" s="1" t="n">
        <v>46220</v>
      </c>
      <c r="F261" t="inlineStr">
        <is>
          <t>ÖREBRO LÄN</t>
        </is>
      </c>
      <c r="G261" t="inlineStr">
        <is>
          <t>HÄLLEFORS</t>
        </is>
      </c>
      <c r="H261" t="inlineStr">
        <is>
          <t>Bergvik skog väst AB</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20699-2026</t>
        </is>
      </c>
      <c r="B262" t="inlineStr">
        <is>
          <t>avverkningsanmälan</t>
        </is>
      </c>
      <c r="C262" t="inlineStr">
        <is>
          <t>Föryngringsavverkning</t>
        </is>
      </c>
      <c r="D262" s="1" t="n">
        <v>46141</v>
      </c>
      <c r="E262" s="1" t="n">
        <v>46220</v>
      </c>
      <c r="F262" t="inlineStr">
        <is>
          <t>ÖREBRO LÄN</t>
        </is>
      </c>
      <c r="G262" t="inlineStr">
        <is>
          <t>HÄLLEFORS</t>
        </is>
      </c>
      <c r="H262" t="inlineStr">
        <is>
          <t>Sveaskog</t>
        </is>
      </c>
      <c r="I262" t="n">
        <v>8.1</v>
      </c>
      <c r="J262" t="n">
        <v>0</v>
      </c>
      <c r="K262" t="n">
        <v>0</v>
      </c>
      <c r="L262" t="n">
        <v>0</v>
      </c>
      <c r="M262" t="n">
        <v>0</v>
      </c>
      <c r="N262" t="n">
        <v>0</v>
      </c>
      <c r="O262" t="n">
        <v>0</v>
      </c>
      <c r="P262" t="n">
        <v>0</v>
      </c>
      <c r="Q262" t="n">
        <v>0</v>
      </c>
      <c r="R262" t="n">
        <v>0</v>
      </c>
      <c r="S262" t="n">
        <v>0</v>
      </c>
      <c r="T262" t="n">
        <v>0</v>
      </c>
      <c r="U262" s="2" t="inlineStr"/>
    </row>
    <row r="263" ht="15" customHeight="1">
      <c r="A263" t="inlineStr">
        <is>
          <t>A 52367-2022</t>
        </is>
      </c>
      <c r="B263" t="inlineStr">
        <is>
          <t>avverkningsanmälan</t>
        </is>
      </c>
      <c r="C263" t="inlineStr">
        <is>
          <t>Föryngringsavverkning</t>
        </is>
      </c>
      <c r="D263" s="1" t="n">
        <v>44874</v>
      </c>
      <c r="E263" s="1" t="n">
        <v>46220</v>
      </c>
      <c r="F263" t="inlineStr">
        <is>
          <t>ÖREBRO LÄN</t>
        </is>
      </c>
      <c r="G263" t="inlineStr">
        <is>
          <t>HÄLLEFORS</t>
        </is>
      </c>
      <c r="H263" t="inlineStr">
        <is>
          <t>Bergvik skog väst AB</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26793-2026</t>
        </is>
      </c>
      <c r="B264" t="inlineStr">
        <is>
          <t>avverkningsanmälan</t>
        </is>
      </c>
      <c r="C264" t="inlineStr">
        <is>
          <t>Föryngringsavverkning</t>
        </is>
      </c>
      <c r="D264" s="1" t="n">
        <v>46185</v>
      </c>
      <c r="E264" s="1" t="n">
        <v>46220</v>
      </c>
      <c r="F264" t="inlineStr">
        <is>
          <t>ÖREBRO LÄN</t>
        </is>
      </c>
      <c r="G264" t="inlineStr">
        <is>
          <t>HÄLLEFORS</t>
        </is>
      </c>
      <c r="H264" t="inlineStr">
        <is>
          <t>Bergvik skog väst AB</t>
        </is>
      </c>
      <c r="I264" t="n">
        <v>4.6</v>
      </c>
      <c r="J264" t="n">
        <v>0</v>
      </c>
      <c r="K264" t="n">
        <v>0</v>
      </c>
      <c r="L264" t="n">
        <v>0</v>
      </c>
      <c r="M264" t="n">
        <v>0</v>
      </c>
      <c r="N264" t="n">
        <v>0</v>
      </c>
      <c r="O264" t="n">
        <v>0</v>
      </c>
      <c r="P264" t="n">
        <v>0</v>
      </c>
      <c r="Q264" t="n">
        <v>0</v>
      </c>
      <c r="R264" t="n">
        <v>0</v>
      </c>
      <c r="S264" t="n">
        <v>0</v>
      </c>
      <c r="T264" t="n">
        <v>0</v>
      </c>
      <c r="U264" s="2" t="inlineStr"/>
    </row>
    <row r="265" ht="15" customHeight="1">
      <c r="A265" t="inlineStr">
        <is>
          <t>A 26911-2026</t>
        </is>
      </c>
      <c r="B265" t="inlineStr">
        <is>
          <t>avverkningsanmälan</t>
        </is>
      </c>
      <c r="C265" t="inlineStr">
        <is>
          <t>Föryngringsavverkning</t>
        </is>
      </c>
      <c r="D265" s="1" t="n">
        <v>46185</v>
      </c>
      <c r="E265" s="1" t="n">
        <v>46220</v>
      </c>
      <c r="F265" t="inlineStr">
        <is>
          <t>ÖREBRO LÄN</t>
        </is>
      </c>
      <c r="G265" t="inlineStr">
        <is>
          <t>HÄLLEFORS</t>
        </is>
      </c>
      <c r="I265" t="n">
        <v>1.2</v>
      </c>
      <c r="J265" t="n">
        <v>0</v>
      </c>
      <c r="K265" t="n">
        <v>0</v>
      </c>
      <c r="L265" t="n">
        <v>0</v>
      </c>
      <c r="M265" t="n">
        <v>0</v>
      </c>
      <c r="N265" t="n">
        <v>0</v>
      </c>
      <c r="O265" t="n">
        <v>0</v>
      </c>
      <c r="P265" t="n">
        <v>0</v>
      </c>
      <c r="Q265" t="n">
        <v>0</v>
      </c>
      <c r="R265" t="n">
        <v>0</v>
      </c>
      <c r="S265" t="n">
        <v>0</v>
      </c>
      <c r="T265" t="n">
        <v>0</v>
      </c>
      <c r="U265" s="2" t="inlineStr"/>
    </row>
    <row r="266" ht="15" customHeight="1">
      <c r="A266" t="inlineStr">
        <is>
          <t>A 36276-2024</t>
        </is>
      </c>
      <c r="B266" t="inlineStr">
        <is>
          <t>avverkningsanmälan</t>
        </is>
      </c>
      <c r="C266" t="inlineStr">
        <is>
          <t>Föryngringsavverkning</t>
        </is>
      </c>
      <c r="D266" s="1" t="n">
        <v>45534</v>
      </c>
      <c r="E266" s="1" t="n">
        <v>46220</v>
      </c>
      <c r="F266" t="inlineStr">
        <is>
          <t>ÖREBRO LÄN</t>
        </is>
      </c>
      <c r="G266" t="inlineStr">
        <is>
          <t>HÄLLEFORS</t>
        </is>
      </c>
      <c r="H266" t="inlineStr">
        <is>
          <t>Bergvik skog väst AB</t>
        </is>
      </c>
      <c r="I266" t="n">
        <v>2.5</v>
      </c>
      <c r="J266" t="n">
        <v>0</v>
      </c>
      <c r="K266" t="n">
        <v>0</v>
      </c>
      <c r="L266" t="n">
        <v>0</v>
      </c>
      <c r="M266" t="n">
        <v>0</v>
      </c>
      <c r="N266" t="n">
        <v>0</v>
      </c>
      <c r="O266" t="n">
        <v>0</v>
      </c>
      <c r="P266" t="n">
        <v>0</v>
      </c>
      <c r="Q266" t="n">
        <v>0</v>
      </c>
      <c r="R266" t="n">
        <v>0</v>
      </c>
      <c r="S266" t="n">
        <v>0</v>
      </c>
      <c r="T266" t="n">
        <v>0</v>
      </c>
      <c r="U266" s="2" t="inlineStr"/>
    </row>
    <row r="267" ht="15" customHeight="1">
      <c r="A267" t="inlineStr">
        <is>
          <t>A 20995-2026</t>
        </is>
      </c>
      <c r="B267" t="inlineStr">
        <is>
          <t>avverkningsanmälan</t>
        </is>
      </c>
      <c r="C267" t="inlineStr">
        <is>
          <t>Föryngringsavverkning</t>
        </is>
      </c>
      <c r="D267" s="1" t="n">
        <v>46142</v>
      </c>
      <c r="E267" s="1" t="n">
        <v>46220</v>
      </c>
      <c r="F267" t="inlineStr">
        <is>
          <t>ÖREBRO LÄN</t>
        </is>
      </c>
      <c r="G267" t="inlineStr">
        <is>
          <t>HÄLLEFORS</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51488-2021</t>
        </is>
      </c>
      <c r="B268" t="inlineStr">
        <is>
          <t>avverkningsanmälan</t>
        </is>
      </c>
      <c r="C268" t="inlineStr">
        <is>
          <t>Föryngringsavverkning</t>
        </is>
      </c>
      <c r="D268" s="1" t="n">
        <v>44460</v>
      </c>
      <c r="E268" s="1" t="n">
        <v>46220</v>
      </c>
      <c r="F268" t="inlineStr">
        <is>
          <t>ÖREBRO LÄN</t>
        </is>
      </c>
      <c r="G268" t="inlineStr">
        <is>
          <t>HÄLLEFORS</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28788-2022</t>
        </is>
      </c>
      <c r="B269" t="inlineStr">
        <is>
          <t>avverkningsanmälan</t>
        </is>
      </c>
      <c r="C269" t="inlineStr">
        <is>
          <t>Föryngringsavverkning</t>
        </is>
      </c>
      <c r="D269" s="1" t="n">
        <v>44749</v>
      </c>
      <c r="E269" s="1" t="n">
        <v>46220</v>
      </c>
      <c r="F269" t="inlineStr">
        <is>
          <t>ÖREBRO LÄN</t>
        </is>
      </c>
      <c r="G269" t="inlineStr">
        <is>
          <t>HÄLLEFORS</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55477-2023</t>
        </is>
      </c>
      <c r="B270" t="inlineStr">
        <is>
          <t>avverkningsanmälan</t>
        </is>
      </c>
      <c r="C270" t="inlineStr">
        <is>
          <t>Föryngringsavverkning</t>
        </is>
      </c>
      <c r="D270" s="1" t="n">
        <v>45238</v>
      </c>
      <c r="E270" s="1" t="n">
        <v>46220</v>
      </c>
      <c r="F270" t="inlineStr">
        <is>
          <t>ÖREBRO LÄN</t>
        </is>
      </c>
      <c r="G270" t="inlineStr">
        <is>
          <t>HÄLLEFORS</t>
        </is>
      </c>
      <c r="H270" t="inlineStr">
        <is>
          <t>Bergvik skog väst AB</t>
        </is>
      </c>
      <c r="I270" t="n">
        <v>6.6</v>
      </c>
      <c r="J270" t="n">
        <v>0</v>
      </c>
      <c r="K270" t="n">
        <v>0</v>
      </c>
      <c r="L270" t="n">
        <v>0</v>
      </c>
      <c r="M270" t="n">
        <v>0</v>
      </c>
      <c r="N270" t="n">
        <v>0</v>
      </c>
      <c r="O270" t="n">
        <v>0</v>
      </c>
      <c r="P270" t="n">
        <v>0</v>
      </c>
      <c r="Q270" t="n">
        <v>0</v>
      </c>
      <c r="R270" t="n">
        <v>0</v>
      </c>
      <c r="S270" t="n">
        <v>0</v>
      </c>
      <c r="T270" t="n">
        <v>0</v>
      </c>
      <c r="U270" s="2" t="inlineStr"/>
    </row>
    <row r="271" ht="15" customHeight="1">
      <c r="A271" t="inlineStr">
        <is>
          <t>A 43966-2024</t>
        </is>
      </c>
      <c r="B271" t="inlineStr">
        <is>
          <t>avverkningsanmälan</t>
        </is>
      </c>
      <c r="C271" t="inlineStr">
        <is>
          <t>Föryngringsavverkning</t>
        </is>
      </c>
      <c r="D271" s="1" t="n">
        <v>45572</v>
      </c>
      <c r="E271" s="1" t="n">
        <v>46220</v>
      </c>
      <c r="F271" t="inlineStr">
        <is>
          <t>ÖREBRO LÄN</t>
        </is>
      </c>
      <c r="G271" t="inlineStr">
        <is>
          <t>HÄLLEFORS</t>
        </is>
      </c>
      <c r="H271" t="inlineStr">
        <is>
          <t>Bergvik skog väst AB</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21726-2026</t>
        </is>
      </c>
      <c r="B272" t="inlineStr">
        <is>
          <t>avverkningsanmälan</t>
        </is>
      </c>
      <c r="C272" t="inlineStr">
        <is>
          <t>Föryngringsavverkning</t>
        </is>
      </c>
      <c r="D272" s="1" t="n">
        <v>46149</v>
      </c>
      <c r="E272" s="1" t="n">
        <v>46220</v>
      </c>
      <c r="F272" t="inlineStr">
        <is>
          <t>ÖREBRO LÄN</t>
        </is>
      </c>
      <c r="G272" t="inlineStr">
        <is>
          <t>HÄLLEFORS</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21760-2026</t>
        </is>
      </c>
      <c r="B273" t="inlineStr">
        <is>
          <t>avverkningsanmälan</t>
        </is>
      </c>
      <c r="C273" t="inlineStr">
        <is>
          <t>Föryngringsavverkning</t>
        </is>
      </c>
      <c r="D273" s="1" t="n">
        <v>46149</v>
      </c>
      <c r="E273" s="1" t="n">
        <v>46220</v>
      </c>
      <c r="F273" t="inlineStr">
        <is>
          <t>ÖREBRO LÄN</t>
        </is>
      </c>
      <c r="G273" t="inlineStr">
        <is>
          <t>HÄLLEFORS</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47854-2025</t>
        </is>
      </c>
      <c r="B274" t="inlineStr">
        <is>
          <t>avverkningsanmälan</t>
        </is>
      </c>
      <c r="C274" t="inlineStr">
        <is>
          <t>Föryngringsavverkning</t>
        </is>
      </c>
      <c r="D274" s="1" t="n">
        <v>45932</v>
      </c>
      <c r="E274" s="1" t="n">
        <v>46220</v>
      </c>
      <c r="F274" t="inlineStr">
        <is>
          <t>ÖREBRO LÄN</t>
        </is>
      </c>
      <c r="G274" t="inlineStr">
        <is>
          <t>HÄLLEFORS</t>
        </is>
      </c>
      <c r="H274" t="inlineStr">
        <is>
          <t>Bergvik skog väst AB</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22004-2026</t>
        </is>
      </c>
      <c r="B275" t="inlineStr">
        <is>
          <t>avverkningsanmälan</t>
        </is>
      </c>
      <c r="C275" t="inlineStr">
        <is>
          <t>Föryngringsavverkning</t>
        </is>
      </c>
      <c r="D275" s="1" t="n">
        <v>46153</v>
      </c>
      <c r="E275" s="1" t="n">
        <v>46220</v>
      </c>
      <c r="F275" t="inlineStr">
        <is>
          <t>ÖREBRO LÄN</t>
        </is>
      </c>
      <c r="G275" t="inlineStr">
        <is>
          <t>HÄLLEFORS</t>
        </is>
      </c>
      <c r="H275" t="inlineStr">
        <is>
          <t>Bergvik skog väst AB</t>
        </is>
      </c>
      <c r="I275" t="n">
        <v>3.9</v>
      </c>
      <c r="J275" t="n">
        <v>0</v>
      </c>
      <c r="K275" t="n">
        <v>0</v>
      </c>
      <c r="L275" t="n">
        <v>0</v>
      </c>
      <c r="M275" t="n">
        <v>0</v>
      </c>
      <c r="N275" t="n">
        <v>0</v>
      </c>
      <c r="O275" t="n">
        <v>0</v>
      </c>
      <c r="P275" t="n">
        <v>0</v>
      </c>
      <c r="Q275" t="n">
        <v>0</v>
      </c>
      <c r="R275" t="n">
        <v>0</v>
      </c>
      <c r="S275" t="n">
        <v>0</v>
      </c>
      <c r="T275" t="n">
        <v>0</v>
      </c>
      <c r="U275" s="2" t="inlineStr"/>
    </row>
    <row r="276" ht="15" customHeight="1">
      <c r="A276" t="inlineStr">
        <is>
          <t>A 28215-2026</t>
        </is>
      </c>
      <c r="B276" t="inlineStr">
        <is>
          <t>avverkningsanmälan</t>
        </is>
      </c>
      <c r="C276" t="inlineStr">
        <is>
          <t>Föryngringsavverkning</t>
        </is>
      </c>
      <c r="D276" s="1" t="n">
        <v>46196</v>
      </c>
      <c r="E276" s="1" t="n">
        <v>46220</v>
      </c>
      <c r="F276" t="inlineStr">
        <is>
          <t>ÖREBRO LÄN</t>
        </is>
      </c>
      <c r="G276" t="inlineStr">
        <is>
          <t>HÄLLEFORS</t>
        </is>
      </c>
      <c r="H276" t="inlineStr">
        <is>
          <t>Bergvik skog väst AB</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27935-2023</t>
        </is>
      </c>
      <c r="B277" t="inlineStr">
        <is>
          <t>avverkningsanmälan</t>
        </is>
      </c>
      <c r="C277" t="inlineStr">
        <is>
          <t>Föryngringsavverkning</t>
        </is>
      </c>
      <c r="D277" s="1" t="n">
        <v>45098</v>
      </c>
      <c r="E277" s="1" t="n">
        <v>46220</v>
      </c>
      <c r="F277" t="inlineStr">
        <is>
          <t>ÖREBRO LÄN</t>
        </is>
      </c>
      <c r="G277" t="inlineStr">
        <is>
          <t>HÄLLEFORS</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21541-2026</t>
        </is>
      </c>
      <c r="B278" t="inlineStr">
        <is>
          <t>avverkningsanmälan</t>
        </is>
      </c>
      <c r="C278" t="inlineStr">
        <is>
          <t>Föryngringsavverkning</t>
        </is>
      </c>
      <c r="D278" s="1" t="n">
        <v>46148</v>
      </c>
      <c r="E278" s="1" t="n">
        <v>46220</v>
      </c>
      <c r="F278" t="inlineStr">
        <is>
          <t>ÖREBRO LÄN</t>
        </is>
      </c>
      <c r="G278" t="inlineStr">
        <is>
          <t>HÄLLEFORS</t>
        </is>
      </c>
      <c r="H278" t="inlineStr">
        <is>
          <t>Bergvik skog väst AB</t>
        </is>
      </c>
      <c r="I278" t="n">
        <v>2</v>
      </c>
      <c r="J278" t="n">
        <v>0</v>
      </c>
      <c r="K278" t="n">
        <v>0</v>
      </c>
      <c r="L278" t="n">
        <v>0</v>
      </c>
      <c r="M278" t="n">
        <v>0</v>
      </c>
      <c r="N278" t="n">
        <v>0</v>
      </c>
      <c r="O278" t="n">
        <v>0</v>
      </c>
      <c r="P278" t="n">
        <v>0</v>
      </c>
      <c r="Q278" t="n">
        <v>0</v>
      </c>
      <c r="R278" t="n">
        <v>0</v>
      </c>
      <c r="S278" t="n">
        <v>0</v>
      </c>
      <c r="T278" t="n">
        <v>0</v>
      </c>
      <c r="U278" s="2" t="inlineStr"/>
    </row>
    <row r="279" ht="15" customHeight="1">
      <c r="A279" t="inlineStr">
        <is>
          <t>A 23036-2024</t>
        </is>
      </c>
      <c r="B279" t="inlineStr">
        <is>
          <t>avverkningsanmälan</t>
        </is>
      </c>
      <c r="C279" t="inlineStr">
        <is>
          <t>Föryngringsavverkning</t>
        </is>
      </c>
      <c r="D279" s="1" t="n">
        <v>45450</v>
      </c>
      <c r="E279" s="1" t="n">
        <v>46220</v>
      </c>
      <c r="F279" t="inlineStr">
        <is>
          <t>ÖREBRO LÄN</t>
        </is>
      </c>
      <c r="G279" t="inlineStr">
        <is>
          <t>HÄLLEFORS</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60312-2024</t>
        </is>
      </c>
      <c r="B280" t="inlineStr">
        <is>
          <t>avverkningsanmälan</t>
        </is>
      </c>
      <c r="C280" t="inlineStr">
        <is>
          <t>Föryngringsavverkning</t>
        </is>
      </c>
      <c r="D280" s="1" t="n">
        <v>45643</v>
      </c>
      <c r="E280" s="1" t="n">
        <v>46220</v>
      </c>
      <c r="F280" t="inlineStr">
        <is>
          <t>ÖREBRO LÄN</t>
        </is>
      </c>
      <c r="G280" t="inlineStr">
        <is>
          <t>HÄLLEFORS</t>
        </is>
      </c>
      <c r="H280" t="inlineStr">
        <is>
          <t>Bergvik skog väst AB</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67027-2021</t>
        </is>
      </c>
      <c r="B281" t="inlineStr">
        <is>
          <t>avverkningsanmälan</t>
        </is>
      </c>
      <c r="C281" t="inlineStr">
        <is>
          <t>Föryngringsavverkning</t>
        </is>
      </c>
      <c r="D281" s="1" t="n">
        <v>44522</v>
      </c>
      <c r="E281" s="1" t="n">
        <v>46220</v>
      </c>
      <c r="F281" t="inlineStr">
        <is>
          <t>ÖREBRO LÄN</t>
        </is>
      </c>
      <c r="G281" t="inlineStr">
        <is>
          <t>HÄLLEFORS</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18715-2025</t>
        </is>
      </c>
      <c r="B282" t="inlineStr">
        <is>
          <t>avverkningsanmälan</t>
        </is>
      </c>
      <c r="C282" t="inlineStr">
        <is>
          <t>Föryngringsavverkning</t>
        </is>
      </c>
      <c r="D282" s="1" t="n">
        <v>45763</v>
      </c>
      <c r="E282" s="1" t="n">
        <v>46220</v>
      </c>
      <c r="F282" t="inlineStr">
        <is>
          <t>ÖREBRO LÄN</t>
        </is>
      </c>
      <c r="G282" t="inlineStr">
        <is>
          <t>HÄLLEFORS</t>
        </is>
      </c>
      <c r="H282" t="inlineStr">
        <is>
          <t>Bergvik skog väst AB</t>
        </is>
      </c>
      <c r="I282" t="n">
        <v>4.1</v>
      </c>
      <c r="J282" t="n">
        <v>0</v>
      </c>
      <c r="K282" t="n">
        <v>0</v>
      </c>
      <c r="L282" t="n">
        <v>0</v>
      </c>
      <c r="M282" t="n">
        <v>0</v>
      </c>
      <c r="N282" t="n">
        <v>0</v>
      </c>
      <c r="O282" t="n">
        <v>0</v>
      </c>
      <c r="P282" t="n">
        <v>0</v>
      </c>
      <c r="Q282" t="n">
        <v>0</v>
      </c>
      <c r="R282" t="n">
        <v>0</v>
      </c>
      <c r="S282" t="n">
        <v>0</v>
      </c>
      <c r="T282" t="n">
        <v>0</v>
      </c>
      <c r="U282" s="2" t="inlineStr"/>
    </row>
    <row r="283" ht="15" customHeight="1">
      <c r="A283" t="inlineStr">
        <is>
          <t>A 41810-2023</t>
        </is>
      </c>
      <c r="B283" t="inlineStr">
        <is>
          <t>avverkningsanmälan</t>
        </is>
      </c>
      <c r="C283" t="inlineStr">
        <is>
          <t>Föryngringsavverkning</t>
        </is>
      </c>
      <c r="D283" s="1" t="n">
        <v>45176</v>
      </c>
      <c r="E283" s="1" t="n">
        <v>46220</v>
      </c>
      <c r="F283" t="inlineStr">
        <is>
          <t>ÖREBRO LÄN</t>
        </is>
      </c>
      <c r="G283" t="inlineStr">
        <is>
          <t>HÄLLEFORS</t>
        </is>
      </c>
      <c r="H283" t="inlineStr">
        <is>
          <t>Bergvik skog väst AB</t>
        </is>
      </c>
      <c r="I283" t="n">
        <v>8.199999999999999</v>
      </c>
      <c r="J283" t="n">
        <v>0</v>
      </c>
      <c r="K283" t="n">
        <v>0</v>
      </c>
      <c r="L283" t="n">
        <v>0</v>
      </c>
      <c r="M283" t="n">
        <v>0</v>
      </c>
      <c r="N283" t="n">
        <v>0</v>
      </c>
      <c r="O283" t="n">
        <v>0</v>
      </c>
      <c r="P283" t="n">
        <v>0</v>
      </c>
      <c r="Q283" t="n">
        <v>0</v>
      </c>
      <c r="R283" t="n">
        <v>0</v>
      </c>
      <c r="S283" t="n">
        <v>0</v>
      </c>
      <c r="T283" t="n">
        <v>0</v>
      </c>
      <c r="U283" s="2" t="inlineStr"/>
    </row>
    <row r="284" ht="15" customHeight="1">
      <c r="A284" t="inlineStr">
        <is>
          <t>A 55300-2023</t>
        </is>
      </c>
      <c r="B284" t="inlineStr">
        <is>
          <t>avverkningsanmälan</t>
        </is>
      </c>
      <c r="C284" t="inlineStr">
        <is>
          <t>Föryngringsavverkning</t>
        </is>
      </c>
      <c r="D284" s="1" t="n">
        <v>45237</v>
      </c>
      <c r="E284" s="1" t="n">
        <v>46220</v>
      </c>
      <c r="F284" t="inlineStr">
        <is>
          <t>ÖREBRO LÄN</t>
        </is>
      </c>
      <c r="G284" t="inlineStr">
        <is>
          <t>HÄLLEFORS</t>
        </is>
      </c>
      <c r="H284" t="inlineStr">
        <is>
          <t>Bergvik skog väst AB</t>
        </is>
      </c>
      <c r="I284" t="n">
        <v>5.1</v>
      </c>
      <c r="J284" t="n">
        <v>0</v>
      </c>
      <c r="K284" t="n">
        <v>0</v>
      </c>
      <c r="L284" t="n">
        <v>0</v>
      </c>
      <c r="M284" t="n">
        <v>0</v>
      </c>
      <c r="N284" t="n">
        <v>0</v>
      </c>
      <c r="O284" t="n">
        <v>0</v>
      </c>
      <c r="P284" t="n">
        <v>0</v>
      </c>
      <c r="Q284" t="n">
        <v>0</v>
      </c>
      <c r="R284" t="n">
        <v>0</v>
      </c>
      <c r="S284" t="n">
        <v>0</v>
      </c>
      <c r="T284" t="n">
        <v>0</v>
      </c>
      <c r="U284" s="2" t="inlineStr"/>
    </row>
    <row r="285" ht="15" customHeight="1">
      <c r="A285" t="inlineStr">
        <is>
          <t>A 59976-2024</t>
        </is>
      </c>
      <c r="B285" t="inlineStr">
        <is>
          <t>avverkningsanmälan</t>
        </is>
      </c>
      <c r="C285" t="inlineStr">
        <is>
          <t>Föryngringsavverkning</t>
        </is>
      </c>
      <c r="D285" s="1" t="n">
        <v>45642</v>
      </c>
      <c r="E285" s="1" t="n">
        <v>46220</v>
      </c>
      <c r="F285" t="inlineStr">
        <is>
          <t>ÖREBRO LÄN</t>
        </is>
      </c>
      <c r="G285" t="inlineStr">
        <is>
          <t>HÄLLEFORS</t>
        </is>
      </c>
      <c r="H285" t="inlineStr">
        <is>
          <t>Bergvik skog väst AB</t>
        </is>
      </c>
      <c r="I285" t="n">
        <v>8.9</v>
      </c>
      <c r="J285" t="n">
        <v>0</v>
      </c>
      <c r="K285" t="n">
        <v>0</v>
      </c>
      <c r="L285" t="n">
        <v>0</v>
      </c>
      <c r="M285" t="n">
        <v>0</v>
      </c>
      <c r="N285" t="n">
        <v>0</v>
      </c>
      <c r="O285" t="n">
        <v>0</v>
      </c>
      <c r="P285" t="n">
        <v>0</v>
      </c>
      <c r="Q285" t="n">
        <v>0</v>
      </c>
      <c r="R285" t="n">
        <v>0</v>
      </c>
      <c r="S285" t="n">
        <v>0</v>
      </c>
      <c r="T285" t="n">
        <v>0</v>
      </c>
      <c r="U285" s="2" t="inlineStr"/>
    </row>
    <row r="286" ht="15" customHeight="1">
      <c r="A286" t="inlineStr">
        <is>
          <t>A 67439-2021</t>
        </is>
      </c>
      <c r="B286" t="inlineStr">
        <is>
          <t>avverkningsanmälan</t>
        </is>
      </c>
      <c r="C286" t="inlineStr">
        <is>
          <t>Föryngringsavverkning</t>
        </is>
      </c>
      <c r="D286" s="1" t="n">
        <v>44523</v>
      </c>
      <c r="E286" s="1" t="n">
        <v>46220</v>
      </c>
      <c r="F286" t="inlineStr">
        <is>
          <t>ÖREBRO LÄN</t>
        </is>
      </c>
      <c r="G286" t="inlineStr">
        <is>
          <t>HÄLLEFORS</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18979-2025</t>
        </is>
      </c>
      <c r="B287" t="inlineStr">
        <is>
          <t>avverkningsanmälan</t>
        </is>
      </c>
      <c r="C287" t="inlineStr">
        <is>
          <t>Föryngringsavverkning</t>
        </is>
      </c>
      <c r="D287" s="1" t="n">
        <v>45764</v>
      </c>
      <c r="E287" s="1" t="n">
        <v>46220</v>
      </c>
      <c r="F287" t="inlineStr">
        <is>
          <t>ÖREBRO LÄN</t>
        </is>
      </c>
      <c r="G287" t="inlineStr">
        <is>
          <t>HÄLLEFORS</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35862-2024</t>
        </is>
      </c>
      <c r="B288" t="inlineStr">
        <is>
          <t>avverkningsanmälan</t>
        </is>
      </c>
      <c r="C288" t="inlineStr">
        <is>
          <t>Föryngringsavverkning</t>
        </is>
      </c>
      <c r="D288" s="1" t="n">
        <v>45533</v>
      </c>
      <c r="E288" s="1" t="n">
        <v>46220</v>
      </c>
      <c r="F288" t="inlineStr">
        <is>
          <t>ÖREBRO LÄN</t>
        </is>
      </c>
      <c r="G288" t="inlineStr">
        <is>
          <t>HÄLLEFORS</t>
        </is>
      </c>
      <c r="H288" t="inlineStr">
        <is>
          <t>Bergvik skog väst AB</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54843-2023</t>
        </is>
      </c>
      <c r="B289" t="inlineStr">
        <is>
          <t>avverkningsanmälan</t>
        </is>
      </c>
      <c r="C289" t="inlineStr">
        <is>
          <t>Föryngringsavverkning</t>
        </is>
      </c>
      <c r="D289" s="1" t="n">
        <v>45236</v>
      </c>
      <c r="E289" s="1" t="n">
        <v>46220</v>
      </c>
      <c r="F289" t="inlineStr">
        <is>
          <t>ÖREBRO LÄN</t>
        </is>
      </c>
      <c r="G289" t="inlineStr">
        <is>
          <t>HÄLLEFORS</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37542-2024</t>
        </is>
      </c>
      <c r="B290" t="inlineStr">
        <is>
          <t>avverkningsanmälan</t>
        </is>
      </c>
      <c r="C290" t="inlineStr">
        <is>
          <t>Föryngringsavverkning</t>
        </is>
      </c>
      <c r="D290" s="1" t="n">
        <v>45541</v>
      </c>
      <c r="E290" s="1" t="n">
        <v>46220</v>
      </c>
      <c r="F290" t="inlineStr">
        <is>
          <t>ÖREBRO LÄN</t>
        </is>
      </c>
      <c r="G290" t="inlineStr">
        <is>
          <t>HÄLLEFORS</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5583-2023</t>
        </is>
      </c>
      <c r="B291" t="inlineStr">
        <is>
          <t>avverkningsanmälan</t>
        </is>
      </c>
      <c r="C291" t="inlineStr">
        <is>
          <t>Föryngringsavverkning</t>
        </is>
      </c>
      <c r="D291" s="1" t="n">
        <v>44960</v>
      </c>
      <c r="E291" s="1" t="n">
        <v>46220</v>
      </c>
      <c r="F291" t="inlineStr">
        <is>
          <t>ÖREBRO LÄN</t>
        </is>
      </c>
      <c r="G291" t="inlineStr">
        <is>
          <t>HÄLLEFORS</t>
        </is>
      </c>
      <c r="H291" t="inlineStr">
        <is>
          <t>Bergvik skog väst AB</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44091-2024</t>
        </is>
      </c>
      <c r="B292" t="inlineStr">
        <is>
          <t>avverkningsanmälan</t>
        </is>
      </c>
      <c r="C292" t="inlineStr">
        <is>
          <t>Föryngringsavverkning</t>
        </is>
      </c>
      <c r="D292" s="1" t="n">
        <v>45572</v>
      </c>
      <c r="E292" s="1" t="n">
        <v>46220</v>
      </c>
      <c r="F292" t="inlineStr">
        <is>
          <t>ÖREBRO LÄN</t>
        </is>
      </c>
      <c r="G292" t="inlineStr">
        <is>
          <t>HÄLLEFORS</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46642-2024</t>
        </is>
      </c>
      <c r="B293" t="inlineStr">
        <is>
          <t>avverkningsanmälan</t>
        </is>
      </c>
      <c r="C293" t="inlineStr">
        <is>
          <t>Föryngringsavverkning</t>
        </is>
      </c>
      <c r="D293" s="1" t="n">
        <v>45583</v>
      </c>
      <c r="E293" s="1" t="n">
        <v>46220</v>
      </c>
      <c r="F293" t="inlineStr">
        <is>
          <t>ÖREBRO LÄN</t>
        </is>
      </c>
      <c r="G293" t="inlineStr">
        <is>
          <t>HÄLLEFORS</t>
        </is>
      </c>
      <c r="H293" t="inlineStr">
        <is>
          <t>Bergvik skog väst AB</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24359-2023</t>
        </is>
      </c>
      <c r="B294" t="inlineStr">
        <is>
          <t>avverkningsanmälan</t>
        </is>
      </c>
      <c r="C294" t="inlineStr">
        <is>
          <t>Föryngringsavverkning</t>
        </is>
      </c>
      <c r="D294" s="1" t="n">
        <v>45082</v>
      </c>
      <c r="E294" s="1" t="n">
        <v>46220</v>
      </c>
      <c r="F294" t="inlineStr">
        <is>
          <t>ÖREBRO LÄN</t>
        </is>
      </c>
      <c r="G294" t="inlineStr">
        <is>
          <t>HÄLLEFORS</t>
        </is>
      </c>
      <c r="H294" t="inlineStr">
        <is>
          <t>Sveaskog</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1288-2024</t>
        </is>
      </c>
      <c r="B295" t="inlineStr">
        <is>
          <t>avverkningsanmälan</t>
        </is>
      </c>
      <c r="C295" t="inlineStr">
        <is>
          <t>Föryngringsavverkning</t>
        </is>
      </c>
      <c r="D295" s="1" t="n">
        <v>45303</v>
      </c>
      <c r="E295" s="1" t="n">
        <v>46220</v>
      </c>
      <c r="F295" t="inlineStr">
        <is>
          <t>ÖREBRO LÄN</t>
        </is>
      </c>
      <c r="G295" t="inlineStr">
        <is>
          <t>HÄLLEFORS</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23425-2026</t>
        </is>
      </c>
      <c r="B296" t="inlineStr">
        <is>
          <t>avverkningsanmälan</t>
        </is>
      </c>
      <c r="C296" t="inlineStr">
        <is>
          <t>Föryngringsavverkning</t>
        </is>
      </c>
      <c r="D296" s="1" t="n">
        <v>46163</v>
      </c>
      <c r="E296" s="1" t="n">
        <v>46220</v>
      </c>
      <c r="F296" t="inlineStr">
        <is>
          <t>ÖREBRO LÄN</t>
        </is>
      </c>
      <c r="G296" t="inlineStr">
        <is>
          <t>HÄLLEFORS</t>
        </is>
      </c>
      <c r="H296" t="inlineStr">
        <is>
          <t>Sveaskog</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23427-2026</t>
        </is>
      </c>
      <c r="B297" t="inlineStr">
        <is>
          <t>avverkningsanmälan</t>
        </is>
      </c>
      <c r="C297" t="inlineStr">
        <is>
          <t>Föryngringsavverkning</t>
        </is>
      </c>
      <c r="D297" s="1" t="n">
        <v>46163</v>
      </c>
      <c r="E297" s="1" t="n">
        <v>46220</v>
      </c>
      <c r="F297" t="inlineStr">
        <is>
          <t>ÖREBRO LÄN</t>
        </is>
      </c>
      <c r="G297" t="inlineStr">
        <is>
          <t>HÄLLEFORS</t>
        </is>
      </c>
      <c r="H297" t="inlineStr">
        <is>
          <t>Sveaskog</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23253-2026</t>
        </is>
      </c>
      <c r="B298" t="inlineStr">
        <is>
          <t>avverkningsanmälan</t>
        </is>
      </c>
      <c r="C298" t="inlineStr">
        <is>
          <t>Föryngringsavverkning</t>
        </is>
      </c>
      <c r="D298" s="1" t="n">
        <v>46162</v>
      </c>
      <c r="E298" s="1" t="n">
        <v>46220</v>
      </c>
      <c r="F298" t="inlineStr">
        <is>
          <t>ÖREBRO LÄN</t>
        </is>
      </c>
      <c r="G298" t="inlineStr">
        <is>
          <t>HÄLLEFORS</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23424-2026</t>
        </is>
      </c>
      <c r="B299" t="inlineStr">
        <is>
          <t>avverkningsanmälan</t>
        </is>
      </c>
      <c r="C299" t="inlineStr">
        <is>
          <t>Föryngringsavverkning</t>
        </is>
      </c>
      <c r="D299" s="1" t="n">
        <v>46163</v>
      </c>
      <c r="E299" s="1" t="n">
        <v>46220</v>
      </c>
      <c r="F299" t="inlineStr">
        <is>
          <t>ÖREBRO LÄN</t>
        </is>
      </c>
      <c r="G299" t="inlineStr">
        <is>
          <t>HÄLLEFORS</t>
        </is>
      </c>
      <c r="H299" t="inlineStr">
        <is>
          <t>Sveaskog</t>
        </is>
      </c>
      <c r="I299" t="n">
        <v>2.5</v>
      </c>
      <c r="J299" t="n">
        <v>0</v>
      </c>
      <c r="K299" t="n">
        <v>0</v>
      </c>
      <c r="L299" t="n">
        <v>0</v>
      </c>
      <c r="M299" t="n">
        <v>0</v>
      </c>
      <c r="N299" t="n">
        <v>0</v>
      </c>
      <c r="O299" t="n">
        <v>0</v>
      </c>
      <c r="P299" t="n">
        <v>0</v>
      </c>
      <c r="Q299" t="n">
        <v>0</v>
      </c>
      <c r="R299" t="n">
        <v>0</v>
      </c>
      <c r="S299" t="n">
        <v>0</v>
      </c>
      <c r="T299" t="n">
        <v>0</v>
      </c>
      <c r="U299" s="2" t="inlineStr"/>
    </row>
    <row r="300" ht="15" customHeight="1">
      <c r="A300" t="inlineStr">
        <is>
          <t>A 23428-2026</t>
        </is>
      </c>
      <c r="B300" t="inlineStr">
        <is>
          <t>avverkningsanmälan</t>
        </is>
      </c>
      <c r="C300" t="inlineStr">
        <is>
          <t>Föryngringsavverkning</t>
        </is>
      </c>
      <c r="D300" s="1" t="n">
        <v>46163</v>
      </c>
      <c r="E300" s="1" t="n">
        <v>46220</v>
      </c>
      <c r="F300" t="inlineStr">
        <is>
          <t>ÖREBRO LÄN</t>
        </is>
      </c>
      <c r="G300" t="inlineStr">
        <is>
          <t>HÄLLEFORS</t>
        </is>
      </c>
      <c r="H300" t="inlineStr">
        <is>
          <t>Sveaskog</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58499-2022</t>
        </is>
      </c>
      <c r="B301" t="inlineStr">
        <is>
          <t>avverkningsanmälan</t>
        </is>
      </c>
      <c r="C301" t="inlineStr">
        <is>
          <t>Föryngringsavverkning</t>
        </is>
      </c>
      <c r="D301" s="1" t="n">
        <v>44902</v>
      </c>
      <c r="E301" s="1" t="n">
        <v>46220</v>
      </c>
      <c r="F301" t="inlineStr">
        <is>
          <t>ÖREBRO LÄN</t>
        </is>
      </c>
      <c r="G301" t="inlineStr">
        <is>
          <t>HÄLLEFORS</t>
        </is>
      </c>
      <c r="H301" t="inlineStr">
        <is>
          <t>Bergvik skog väst AB</t>
        </is>
      </c>
      <c r="I301" t="n">
        <v>4.2</v>
      </c>
      <c r="J301" t="n">
        <v>0</v>
      </c>
      <c r="K301" t="n">
        <v>0</v>
      </c>
      <c r="L301" t="n">
        <v>0</v>
      </c>
      <c r="M301" t="n">
        <v>0</v>
      </c>
      <c r="N301" t="n">
        <v>0</v>
      </c>
      <c r="O301" t="n">
        <v>0</v>
      </c>
      <c r="P301" t="n">
        <v>0</v>
      </c>
      <c r="Q301" t="n">
        <v>0</v>
      </c>
      <c r="R301" t="n">
        <v>0</v>
      </c>
      <c r="S301" t="n">
        <v>0</v>
      </c>
      <c r="T301" t="n">
        <v>0</v>
      </c>
      <c r="U301" s="2" t="inlineStr"/>
    </row>
    <row r="302" ht="15" customHeight="1">
      <c r="A302" t="inlineStr">
        <is>
          <t>A 23263-2026</t>
        </is>
      </c>
      <c r="B302" t="inlineStr">
        <is>
          <t>avverkningsanmälan</t>
        </is>
      </c>
      <c r="C302" t="inlineStr">
        <is>
          <t>Föryngringsavverkning</t>
        </is>
      </c>
      <c r="D302" s="1" t="n">
        <v>46162</v>
      </c>
      <c r="E302" s="1" t="n">
        <v>46220</v>
      </c>
      <c r="F302" t="inlineStr">
        <is>
          <t>ÖREBRO LÄN</t>
        </is>
      </c>
      <c r="G302" t="inlineStr">
        <is>
          <t>HÄLLEFORS</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38402-2023</t>
        </is>
      </c>
      <c r="B303" t="inlineStr">
        <is>
          <t>avverkningsanmälan</t>
        </is>
      </c>
      <c r="C303" t="inlineStr">
        <is>
          <t>Föryngringsavverkning</t>
        </is>
      </c>
      <c r="D303" s="1" t="n">
        <v>45162</v>
      </c>
      <c r="E303" s="1" t="n">
        <v>46220</v>
      </c>
      <c r="F303" t="inlineStr">
        <is>
          <t>ÖREBRO LÄN</t>
        </is>
      </c>
      <c r="G303" t="inlineStr">
        <is>
          <t>HÄLLEFORS</t>
        </is>
      </c>
      <c r="H303" t="inlineStr">
        <is>
          <t>Bergvik skog väst AB</t>
        </is>
      </c>
      <c r="I303" t="n">
        <v>8.5</v>
      </c>
      <c r="J303" t="n">
        <v>0</v>
      </c>
      <c r="K303" t="n">
        <v>0</v>
      </c>
      <c r="L303" t="n">
        <v>0</v>
      </c>
      <c r="M303" t="n">
        <v>0</v>
      </c>
      <c r="N303" t="n">
        <v>0</v>
      </c>
      <c r="O303" t="n">
        <v>0</v>
      </c>
      <c r="P303" t="n">
        <v>0</v>
      </c>
      <c r="Q303" t="n">
        <v>0</v>
      </c>
      <c r="R303" t="n">
        <v>0</v>
      </c>
      <c r="S303" t="n">
        <v>0</v>
      </c>
      <c r="T303" t="n">
        <v>0</v>
      </c>
      <c r="U303" s="2" t="inlineStr"/>
    </row>
    <row r="304" ht="15" customHeight="1">
      <c r="A304" t="inlineStr">
        <is>
          <t>A 11459-2024</t>
        </is>
      </c>
      <c r="B304" t="inlineStr">
        <is>
          <t>avverkningsanmälan</t>
        </is>
      </c>
      <c r="C304" t="inlineStr">
        <is>
          <t>Föryngringsavverkning</t>
        </is>
      </c>
      <c r="D304" s="1" t="n">
        <v>45372</v>
      </c>
      <c r="E304" s="1" t="n">
        <v>46220</v>
      </c>
      <c r="F304" t="inlineStr">
        <is>
          <t>ÖREBRO LÄN</t>
        </is>
      </c>
      <c r="G304" t="inlineStr">
        <is>
          <t>HÄLLEFORS</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17811-2025</t>
        </is>
      </c>
      <c r="B305" t="inlineStr">
        <is>
          <t>avverkningsanmälan</t>
        </is>
      </c>
      <c r="C305" t="inlineStr">
        <is>
          <t>Avverkning för att bevara och utveckla /försöksver</t>
        </is>
      </c>
      <c r="D305" s="1" t="n">
        <v>45758</v>
      </c>
      <c r="E305" s="1" t="n">
        <v>46220</v>
      </c>
      <c r="F305" t="inlineStr">
        <is>
          <t>ÖREBRO LÄN</t>
        </is>
      </c>
      <c r="G305" t="inlineStr">
        <is>
          <t>HÄLLEFORS</t>
        </is>
      </c>
      <c r="H305" t="inlineStr">
        <is>
          <t>Sveaskog</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14669-2025</t>
        </is>
      </c>
      <c r="B306" t="inlineStr">
        <is>
          <t>avverkningsanmälan</t>
        </is>
      </c>
      <c r="C306" t="inlineStr">
        <is>
          <t>Föryngringsavverkning</t>
        </is>
      </c>
      <c r="D306" s="1" t="n">
        <v>45742</v>
      </c>
      <c r="E306" s="1" t="n">
        <v>46220</v>
      </c>
      <c r="F306" t="inlineStr">
        <is>
          <t>ÖREBRO LÄN</t>
        </is>
      </c>
      <c r="G306" t="inlineStr">
        <is>
          <t>HÄLLEFORS</t>
        </is>
      </c>
      <c r="I306" t="n">
        <v>0.8</v>
      </c>
      <c r="J306" t="n">
        <v>0</v>
      </c>
      <c r="K306" t="n">
        <v>0</v>
      </c>
      <c r="L306" t="n">
        <v>0</v>
      </c>
      <c r="M306" t="n">
        <v>0</v>
      </c>
      <c r="N306" t="n">
        <v>0</v>
      </c>
      <c r="O306" t="n">
        <v>0</v>
      </c>
      <c r="P306" t="n">
        <v>0</v>
      </c>
      <c r="Q306" t="n">
        <v>0</v>
      </c>
      <c r="R306" t="n">
        <v>0</v>
      </c>
      <c r="S306" t="n">
        <v>0</v>
      </c>
      <c r="T306" t="n">
        <v>0</v>
      </c>
      <c r="U306" s="2" t="inlineStr"/>
    </row>
    <row r="307" ht="15" customHeight="1">
      <c r="A307" t="inlineStr">
        <is>
          <t>A 48765-2025</t>
        </is>
      </c>
      <c r="B307" t="inlineStr">
        <is>
          <t>avverkningsanmälan</t>
        </is>
      </c>
      <c r="C307" t="inlineStr">
        <is>
          <t>Föryngringsavverkning</t>
        </is>
      </c>
      <c r="D307" s="1" t="n">
        <v>45936</v>
      </c>
      <c r="E307" s="1" t="n">
        <v>46220</v>
      </c>
      <c r="F307" t="inlineStr">
        <is>
          <t>ÖREBRO LÄN</t>
        </is>
      </c>
      <c r="G307" t="inlineStr">
        <is>
          <t>HÄLLEFORS</t>
        </is>
      </c>
      <c r="H307" t="inlineStr">
        <is>
          <t>Bergvik skog väst AB</t>
        </is>
      </c>
      <c r="I307" t="n">
        <v>17.6</v>
      </c>
      <c r="J307" t="n">
        <v>0</v>
      </c>
      <c r="K307" t="n">
        <v>0</v>
      </c>
      <c r="L307" t="n">
        <v>0</v>
      </c>
      <c r="M307" t="n">
        <v>0</v>
      </c>
      <c r="N307" t="n">
        <v>0</v>
      </c>
      <c r="O307" t="n">
        <v>0</v>
      </c>
      <c r="P307" t="n">
        <v>0</v>
      </c>
      <c r="Q307" t="n">
        <v>0</v>
      </c>
      <c r="R307" t="n">
        <v>0</v>
      </c>
      <c r="S307" t="n">
        <v>0</v>
      </c>
      <c r="T307" t="n">
        <v>0</v>
      </c>
      <c r="U307" s="2" t="inlineStr"/>
    </row>
    <row r="308" ht="15" customHeight="1">
      <c r="A308" t="inlineStr">
        <is>
          <t>A 7774-2022</t>
        </is>
      </c>
      <c r="B308" t="inlineStr">
        <is>
          <t>avverkningsanmälan</t>
        </is>
      </c>
      <c r="C308" t="inlineStr">
        <is>
          <t>Föryngringsavverkning</t>
        </is>
      </c>
      <c r="D308" s="1" t="n">
        <v>44608</v>
      </c>
      <c r="E308" s="1" t="n">
        <v>46220</v>
      </c>
      <c r="F308" t="inlineStr">
        <is>
          <t>ÖREBRO LÄN</t>
        </is>
      </c>
      <c r="G308" t="inlineStr">
        <is>
          <t>HÄLLEFORS</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24246-2026</t>
        </is>
      </c>
      <c r="B309" t="inlineStr">
        <is>
          <t>avverkningsanmälan</t>
        </is>
      </c>
      <c r="C309" t="inlineStr">
        <is>
          <t>Föryngringsavverkning</t>
        </is>
      </c>
      <c r="D309" s="1" t="n">
        <v>46168</v>
      </c>
      <c r="E309" s="1" t="n">
        <v>46220</v>
      </c>
      <c r="F309" t="inlineStr">
        <is>
          <t>ÖREBRO LÄN</t>
        </is>
      </c>
      <c r="G309" t="inlineStr">
        <is>
          <t>HÄLLEFORS</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2283-2023</t>
        </is>
      </c>
      <c r="B310" t="inlineStr">
        <is>
          <t>avverkningsanmälan</t>
        </is>
      </c>
      <c r="C310" t="inlineStr">
        <is>
          <t>Föryngringsavverkning</t>
        </is>
      </c>
      <c r="D310" s="1" t="n">
        <v>44942</v>
      </c>
      <c r="E310" s="1" t="n">
        <v>46220</v>
      </c>
      <c r="F310" t="inlineStr">
        <is>
          <t>ÖREBRO LÄN</t>
        </is>
      </c>
      <c r="G310" t="inlineStr">
        <is>
          <t>HÄLLEFORS</t>
        </is>
      </c>
      <c r="I310" t="n">
        <v>3.2</v>
      </c>
      <c r="J310" t="n">
        <v>0</v>
      </c>
      <c r="K310" t="n">
        <v>0</v>
      </c>
      <c r="L310" t="n">
        <v>0</v>
      </c>
      <c r="M310" t="n">
        <v>0</v>
      </c>
      <c r="N310" t="n">
        <v>0</v>
      </c>
      <c r="O310" t="n">
        <v>0</v>
      </c>
      <c r="P310" t="n">
        <v>0</v>
      </c>
      <c r="Q310" t="n">
        <v>0</v>
      </c>
      <c r="R310" t="n">
        <v>0</v>
      </c>
      <c r="S310" t="n">
        <v>0</v>
      </c>
      <c r="T310" t="n">
        <v>0</v>
      </c>
      <c r="U310" s="2" t="inlineStr"/>
    </row>
    <row r="311" ht="15" customHeight="1">
      <c r="A311" t="inlineStr">
        <is>
          <t>A 43886-2024</t>
        </is>
      </c>
      <c r="B311" t="inlineStr">
        <is>
          <t>avverkningsanmälan</t>
        </is>
      </c>
      <c r="C311" t="inlineStr">
        <is>
          <t>Föryngringsavverkning</t>
        </is>
      </c>
      <c r="D311" s="1" t="n">
        <v>45572</v>
      </c>
      <c r="E311" s="1" t="n">
        <v>46220</v>
      </c>
      <c r="F311" t="inlineStr">
        <is>
          <t>ÖREBRO LÄN</t>
        </is>
      </c>
      <c r="G311" t="inlineStr">
        <is>
          <t>HÄLLEFORS</t>
        </is>
      </c>
      <c r="H311" t="inlineStr">
        <is>
          <t>Bergvik skog väst AB</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24247-2026</t>
        </is>
      </c>
      <c r="B312" t="inlineStr">
        <is>
          <t>avverkningsanmälan</t>
        </is>
      </c>
      <c r="C312" t="inlineStr">
        <is>
          <t>Föryngringsavverkning</t>
        </is>
      </c>
      <c r="D312" s="1" t="n">
        <v>46168</v>
      </c>
      <c r="E312" s="1" t="n">
        <v>46220</v>
      </c>
      <c r="F312" t="inlineStr">
        <is>
          <t>ÖREBRO LÄN</t>
        </is>
      </c>
      <c r="G312" t="inlineStr">
        <is>
          <t>HÄLLEFORS</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60523-2024</t>
        </is>
      </c>
      <c r="B313" t="inlineStr">
        <is>
          <t>avverkningsanmälan</t>
        </is>
      </c>
      <c r="C313" t="inlineStr">
        <is>
          <t>Föryngringsavverkning</t>
        </is>
      </c>
      <c r="D313" s="1" t="n">
        <v>45643</v>
      </c>
      <c r="E313" s="1" t="n">
        <v>46220</v>
      </c>
      <c r="F313" t="inlineStr">
        <is>
          <t>ÖREBRO LÄN</t>
        </is>
      </c>
      <c r="G313" t="inlineStr">
        <is>
          <t>HÄLLEFORS</t>
        </is>
      </c>
      <c r="H313" t="inlineStr">
        <is>
          <t>Bergvik skog väst AB</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40530-2022</t>
        </is>
      </c>
      <c r="B314" t="inlineStr">
        <is>
          <t>avverkningsanmälan</t>
        </is>
      </c>
      <c r="C314" t="inlineStr">
        <is>
          <t>Föryngringsavverkning</t>
        </is>
      </c>
      <c r="D314" s="1" t="n">
        <v>44823</v>
      </c>
      <c r="E314" s="1" t="n">
        <v>46220</v>
      </c>
      <c r="F314" t="inlineStr">
        <is>
          <t>ÖREBRO LÄN</t>
        </is>
      </c>
      <c r="G314" t="inlineStr">
        <is>
          <t>HÄLLEFORS</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9536-2025</t>
        </is>
      </c>
      <c r="B315" t="inlineStr">
        <is>
          <t>avverkningsanmälan</t>
        </is>
      </c>
      <c r="C315" t="inlineStr">
        <is>
          <t>Föryngringsavverkning</t>
        </is>
      </c>
      <c r="D315" s="1" t="n">
        <v>45715</v>
      </c>
      <c r="E315" s="1" t="n">
        <v>46220</v>
      </c>
      <c r="F315" t="inlineStr">
        <is>
          <t>ÖREBRO LÄN</t>
        </is>
      </c>
      <c r="G315" t="inlineStr">
        <is>
          <t>HÄLLEFORS</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57494-2025</t>
        </is>
      </c>
      <c r="B316" t="inlineStr">
        <is>
          <t>avverkningsanmälan</t>
        </is>
      </c>
      <c r="C316" t="inlineStr">
        <is>
          <t>Föryngringsavverkning</t>
        </is>
      </c>
      <c r="D316" s="1" t="n">
        <v>45980</v>
      </c>
      <c r="E316" s="1" t="n">
        <v>46220</v>
      </c>
      <c r="F316" t="inlineStr">
        <is>
          <t>ÖREBRO LÄN</t>
        </is>
      </c>
      <c r="G316" t="inlineStr">
        <is>
          <t>HÄLLEFORS</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17333-2025</t>
        </is>
      </c>
      <c r="B317" t="inlineStr">
        <is>
          <t>avverkningsanmälan</t>
        </is>
      </c>
      <c r="C317" t="inlineStr">
        <is>
          <t>Föryngringsavverkning</t>
        </is>
      </c>
      <c r="D317" s="1" t="n">
        <v>45756</v>
      </c>
      <c r="E317" s="1" t="n">
        <v>46220</v>
      </c>
      <c r="F317" t="inlineStr">
        <is>
          <t>ÖREBRO LÄN</t>
        </is>
      </c>
      <c r="G317" t="inlineStr">
        <is>
          <t>HÄLLEFORS</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17120-2025</t>
        </is>
      </c>
      <c r="B318" t="inlineStr">
        <is>
          <t>avverkningsanmälan</t>
        </is>
      </c>
      <c r="C318" t="inlineStr">
        <is>
          <t>Föryngringsavverkning</t>
        </is>
      </c>
      <c r="D318" s="1" t="n">
        <v>45755</v>
      </c>
      <c r="E318" s="1" t="n">
        <v>46220</v>
      </c>
      <c r="F318" t="inlineStr">
        <is>
          <t>ÖREBRO LÄN</t>
        </is>
      </c>
      <c r="G318" t="inlineStr">
        <is>
          <t>HÄLLEFORS</t>
        </is>
      </c>
      <c r="H318" t="inlineStr">
        <is>
          <t>Bergvik skog väst AB</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42920-2024</t>
        </is>
      </c>
      <c r="B319" t="inlineStr">
        <is>
          <t>avverkningsanmälan</t>
        </is>
      </c>
      <c r="C319" t="inlineStr">
        <is>
          <t>Föryngringsavverkning</t>
        </is>
      </c>
      <c r="D319" s="1" t="n">
        <v>45567</v>
      </c>
      <c r="E319" s="1" t="n">
        <v>46220</v>
      </c>
      <c r="F319" t="inlineStr">
        <is>
          <t>ÖREBRO LÄN</t>
        </is>
      </c>
      <c r="G319" t="inlineStr">
        <is>
          <t>HÄLLEFORS</t>
        </is>
      </c>
      <c r="H319" t="inlineStr">
        <is>
          <t>Bergvik skog väst AB</t>
        </is>
      </c>
      <c r="I319" t="n">
        <v>5.5</v>
      </c>
      <c r="J319" t="n">
        <v>0</v>
      </c>
      <c r="K319" t="n">
        <v>0</v>
      </c>
      <c r="L319" t="n">
        <v>0</v>
      </c>
      <c r="M319" t="n">
        <v>0</v>
      </c>
      <c r="N319" t="n">
        <v>0</v>
      </c>
      <c r="O319" t="n">
        <v>0</v>
      </c>
      <c r="P319" t="n">
        <v>0</v>
      </c>
      <c r="Q319" t="n">
        <v>0</v>
      </c>
      <c r="R319" t="n">
        <v>0</v>
      </c>
      <c r="S319" t="n">
        <v>0</v>
      </c>
      <c r="T319" t="n">
        <v>0</v>
      </c>
      <c r="U319" s="2" t="inlineStr"/>
    </row>
    <row r="320" ht="15" customHeight="1">
      <c r="A320" t="inlineStr">
        <is>
          <t>A 24635-2026</t>
        </is>
      </c>
      <c r="B320" t="inlineStr">
        <is>
          <t>avverkningsanmälan</t>
        </is>
      </c>
      <c r="C320" t="inlineStr">
        <is>
          <t>Föryngringsavverkning</t>
        </is>
      </c>
      <c r="D320" s="1" t="n">
        <v>46171</v>
      </c>
      <c r="E320" s="1" t="n">
        <v>46220</v>
      </c>
      <c r="F320" t="inlineStr">
        <is>
          <t>ÖREBRO LÄN</t>
        </is>
      </c>
      <c r="G320" t="inlineStr">
        <is>
          <t>HÄLLEFORS</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31032-2026</t>
        </is>
      </c>
      <c r="B321" t="inlineStr">
        <is>
          <t>avverkningsanmälan</t>
        </is>
      </c>
      <c r="C321" t="inlineStr">
        <is>
          <t>Föryngringsavverkning</t>
        </is>
      </c>
      <c r="D321" s="1" t="n">
        <v>46214</v>
      </c>
      <c r="E321" s="1" t="n">
        <v>46220</v>
      </c>
      <c r="F321" t="inlineStr">
        <is>
          <t>ÖREBRO LÄN</t>
        </is>
      </c>
      <c r="G321" t="inlineStr">
        <is>
          <t>HÄLLEFORS</t>
        </is>
      </c>
      <c r="H321" t="inlineStr">
        <is>
          <t>Bergvik skog väst AB</t>
        </is>
      </c>
      <c r="I321" t="n">
        <v>13.6</v>
      </c>
      <c r="J321" t="n">
        <v>0</v>
      </c>
      <c r="K321" t="n">
        <v>0</v>
      </c>
      <c r="L321" t="n">
        <v>0</v>
      </c>
      <c r="M321" t="n">
        <v>0</v>
      </c>
      <c r="N321" t="n">
        <v>0</v>
      </c>
      <c r="O321" t="n">
        <v>0</v>
      </c>
      <c r="P321" t="n">
        <v>0</v>
      </c>
      <c r="Q321" t="n">
        <v>0</v>
      </c>
      <c r="R321" t="n">
        <v>0</v>
      </c>
      <c r="S321" t="n">
        <v>0</v>
      </c>
      <c r="T321" t="n">
        <v>0</v>
      </c>
      <c r="U321" s="2" t="inlineStr"/>
    </row>
    <row r="322" ht="15" customHeight="1">
      <c r="A322" t="inlineStr">
        <is>
          <t>A 31033-2026</t>
        </is>
      </c>
      <c r="B322" t="inlineStr">
        <is>
          <t>avverkningsanmälan</t>
        </is>
      </c>
      <c r="C322" t="inlineStr">
        <is>
          <t>Föryngringsavverkning</t>
        </is>
      </c>
      <c r="D322" s="1" t="n">
        <v>46214</v>
      </c>
      <c r="E322" s="1" t="n">
        <v>46220</v>
      </c>
      <c r="F322" t="inlineStr">
        <is>
          <t>ÖREBRO LÄN</t>
        </is>
      </c>
      <c r="G322" t="inlineStr">
        <is>
          <t>HÄLLEFORS</t>
        </is>
      </c>
      <c r="H322" t="inlineStr">
        <is>
          <t>Bergvik skog väst AB</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24631-2026</t>
        </is>
      </c>
      <c r="B323" t="inlineStr">
        <is>
          <t>avverkningsanmälan</t>
        </is>
      </c>
      <c r="C323" t="inlineStr">
        <is>
          <t>Föryngringsavverkning</t>
        </is>
      </c>
      <c r="D323" s="1" t="n">
        <v>46171</v>
      </c>
      <c r="E323" s="1" t="n">
        <v>46220</v>
      </c>
      <c r="F323" t="inlineStr">
        <is>
          <t>ÖREBRO LÄN</t>
        </is>
      </c>
      <c r="G323" t="inlineStr">
        <is>
          <t>HÄLLEFORS</t>
        </is>
      </c>
      <c r="I323" t="n">
        <v>4.5</v>
      </c>
      <c r="J323" t="n">
        <v>0</v>
      </c>
      <c r="K323" t="n">
        <v>0</v>
      </c>
      <c r="L323" t="n">
        <v>0</v>
      </c>
      <c r="M323" t="n">
        <v>0</v>
      </c>
      <c r="N323" t="n">
        <v>0</v>
      </c>
      <c r="O323" t="n">
        <v>0</v>
      </c>
      <c r="P323" t="n">
        <v>0</v>
      </c>
      <c r="Q323" t="n">
        <v>0</v>
      </c>
      <c r="R323" t="n">
        <v>0</v>
      </c>
      <c r="S323" t="n">
        <v>0</v>
      </c>
      <c r="T323" t="n">
        <v>0</v>
      </c>
      <c r="U323" s="2" t="inlineStr"/>
    </row>
    <row r="324" ht="15" customHeight="1">
      <c r="A324" t="inlineStr">
        <is>
          <t>A 21852-2025</t>
        </is>
      </c>
      <c r="B324" t="inlineStr">
        <is>
          <t>avverkningsanmälan</t>
        </is>
      </c>
      <c r="C324" t="inlineStr">
        <is>
          <t>Föryngringsavverkning</t>
        </is>
      </c>
      <c r="D324" s="1" t="n">
        <v>45784</v>
      </c>
      <c r="E324" s="1" t="n">
        <v>46220</v>
      </c>
      <c r="F324" t="inlineStr">
        <is>
          <t>ÖREBRO LÄN</t>
        </is>
      </c>
      <c r="G324" t="inlineStr">
        <is>
          <t>HÄLLEFORS</t>
        </is>
      </c>
      <c r="I324" t="n">
        <v>4.2</v>
      </c>
      <c r="J324" t="n">
        <v>0</v>
      </c>
      <c r="K324" t="n">
        <v>0</v>
      </c>
      <c r="L324" t="n">
        <v>0</v>
      </c>
      <c r="M324" t="n">
        <v>0</v>
      </c>
      <c r="N324" t="n">
        <v>0</v>
      </c>
      <c r="O324" t="n">
        <v>0</v>
      </c>
      <c r="P324" t="n">
        <v>0</v>
      </c>
      <c r="Q324" t="n">
        <v>0</v>
      </c>
      <c r="R324" t="n">
        <v>0</v>
      </c>
      <c r="S324" t="n">
        <v>0</v>
      </c>
      <c r="T324" t="n">
        <v>0</v>
      </c>
      <c r="U324" s="2" t="inlineStr"/>
    </row>
    <row r="325" ht="15" customHeight="1">
      <c r="A325" t="inlineStr">
        <is>
          <t>A 24633-2026</t>
        </is>
      </c>
      <c r="B325" t="inlineStr">
        <is>
          <t>avverkningsanmälan</t>
        </is>
      </c>
      <c r="C325" t="inlineStr">
        <is>
          <t>Föryngringsavverkning</t>
        </is>
      </c>
      <c r="D325" s="1" t="n">
        <v>46171</v>
      </c>
      <c r="E325" s="1" t="n">
        <v>46220</v>
      </c>
      <c r="F325" t="inlineStr">
        <is>
          <t>ÖREBRO LÄN</t>
        </is>
      </c>
      <c r="G325" t="inlineStr">
        <is>
          <t>HÄLLEFORS</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49215-2022</t>
        </is>
      </c>
      <c r="B326" t="inlineStr">
        <is>
          <t>avverkningsanmälan</t>
        </is>
      </c>
      <c r="C326" t="inlineStr">
        <is>
          <t>Föryngringsavverkning</t>
        </is>
      </c>
      <c r="D326" s="1" t="n">
        <v>44861</v>
      </c>
      <c r="E326" s="1" t="n">
        <v>46220</v>
      </c>
      <c r="F326" t="inlineStr">
        <is>
          <t>ÖREBRO LÄN</t>
        </is>
      </c>
      <c r="G326" t="inlineStr">
        <is>
          <t>HÄLLEFORS</t>
        </is>
      </c>
      <c r="H326" t="inlineStr">
        <is>
          <t>Bergvik skog väst AB</t>
        </is>
      </c>
      <c r="I326" t="n">
        <v>9</v>
      </c>
      <c r="J326" t="n">
        <v>0</v>
      </c>
      <c r="K326" t="n">
        <v>0</v>
      </c>
      <c r="L326" t="n">
        <v>0</v>
      </c>
      <c r="M326" t="n">
        <v>0</v>
      </c>
      <c r="N326" t="n">
        <v>0</v>
      </c>
      <c r="O326" t="n">
        <v>0</v>
      </c>
      <c r="P326" t="n">
        <v>0</v>
      </c>
      <c r="Q326" t="n">
        <v>0</v>
      </c>
      <c r="R326" t="n">
        <v>0</v>
      </c>
      <c r="S326" t="n">
        <v>0</v>
      </c>
      <c r="T326" t="n">
        <v>0</v>
      </c>
      <c r="U326" s="2" t="inlineStr"/>
    </row>
    <row r="327" ht="15" customHeight="1">
      <c r="A327" t="inlineStr">
        <is>
          <t>A 31370-2026</t>
        </is>
      </c>
      <c r="B327" t="inlineStr">
        <is>
          <t>avverkningsanmälan</t>
        </is>
      </c>
      <c r="C327" t="inlineStr">
        <is>
          <t>Föryngringsavverkning</t>
        </is>
      </c>
      <c r="D327" s="1" t="n">
        <v>46219</v>
      </c>
      <c r="E327" s="1" t="n">
        <v>46220</v>
      </c>
      <c r="F327" t="inlineStr">
        <is>
          <t>ÖREBRO LÄN</t>
        </is>
      </c>
      <c r="G327" t="inlineStr">
        <is>
          <t>HÄLLEFORS</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25094-2026</t>
        </is>
      </c>
      <c r="B328" t="inlineStr">
        <is>
          <t>avverkningsanmälan</t>
        </is>
      </c>
      <c r="C328" t="inlineStr">
        <is>
          <t>Föryngringsavverkning</t>
        </is>
      </c>
      <c r="D328" s="1" t="n">
        <v>46175</v>
      </c>
      <c r="E328" s="1" t="n">
        <v>46220</v>
      </c>
      <c r="F328" t="inlineStr">
        <is>
          <t>ÖREBRO LÄN</t>
        </is>
      </c>
      <c r="G328" t="inlineStr">
        <is>
          <t>HÄLLEFORS</t>
        </is>
      </c>
      <c r="H328" t="inlineStr">
        <is>
          <t>Sveaskog</t>
        </is>
      </c>
      <c r="I328" t="n">
        <v>3.8</v>
      </c>
      <c r="J328" t="n">
        <v>0</v>
      </c>
      <c r="K328" t="n">
        <v>0</v>
      </c>
      <c r="L328" t="n">
        <v>0</v>
      </c>
      <c r="M328" t="n">
        <v>0</v>
      </c>
      <c r="N328" t="n">
        <v>0</v>
      </c>
      <c r="O328" t="n">
        <v>0</v>
      </c>
      <c r="P328" t="n">
        <v>0</v>
      </c>
      <c r="Q328" t="n">
        <v>0</v>
      </c>
      <c r="R328" t="n">
        <v>0</v>
      </c>
      <c r="S328" t="n">
        <v>0</v>
      </c>
      <c r="T328" t="n">
        <v>0</v>
      </c>
      <c r="U328" s="2" t="inlineStr"/>
    </row>
    <row r="329" ht="15" customHeight="1">
      <c r="A329" t="inlineStr">
        <is>
          <t>A 25172-2026</t>
        </is>
      </c>
      <c r="B329" t="inlineStr">
        <is>
          <t>avverkningsanmälan</t>
        </is>
      </c>
      <c r="C329" t="inlineStr">
        <is>
          <t>Föryngringsavverkning</t>
        </is>
      </c>
      <c r="D329" s="1" t="n">
        <v>46175</v>
      </c>
      <c r="E329" s="1" t="n">
        <v>46220</v>
      </c>
      <c r="F329" t="inlineStr">
        <is>
          <t>ÖREBRO LÄN</t>
        </is>
      </c>
      <c r="G329" t="inlineStr">
        <is>
          <t>HÄLLEFORS</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25095-2026</t>
        </is>
      </c>
      <c r="B330" t="inlineStr">
        <is>
          <t>avverkningsanmälan</t>
        </is>
      </c>
      <c r="C330" t="inlineStr">
        <is>
          <t>Föryngringsavverkning</t>
        </is>
      </c>
      <c r="D330" s="1" t="n">
        <v>46175</v>
      </c>
      <c r="E330" s="1" t="n">
        <v>46220</v>
      </c>
      <c r="F330" t="inlineStr">
        <is>
          <t>ÖREBRO LÄN</t>
        </is>
      </c>
      <c r="G330" t="inlineStr">
        <is>
          <t>HÄLLEFORS</t>
        </is>
      </c>
      <c r="H330" t="inlineStr">
        <is>
          <t>Sveaskog</t>
        </is>
      </c>
      <c r="I330" t="n">
        <v>4</v>
      </c>
      <c r="J330" t="n">
        <v>0</v>
      </c>
      <c r="K330" t="n">
        <v>0</v>
      </c>
      <c r="L330" t="n">
        <v>0</v>
      </c>
      <c r="M330" t="n">
        <v>0</v>
      </c>
      <c r="N330" t="n">
        <v>0</v>
      </c>
      <c r="O330" t="n">
        <v>0</v>
      </c>
      <c r="P330" t="n">
        <v>0</v>
      </c>
      <c r="Q330" t="n">
        <v>0</v>
      </c>
      <c r="R330" t="n">
        <v>0</v>
      </c>
      <c r="S330" t="n">
        <v>0</v>
      </c>
      <c r="T330" t="n">
        <v>0</v>
      </c>
      <c r="U330" s="2" t="inlineStr"/>
    </row>
    <row r="331" ht="15" customHeight="1">
      <c r="A331" t="inlineStr">
        <is>
          <t>A 17661-2025</t>
        </is>
      </c>
      <c r="B331" t="inlineStr">
        <is>
          <t>avverkningsanmälan</t>
        </is>
      </c>
      <c r="C331" t="inlineStr">
        <is>
          <t>Föryngringsavverkning</t>
        </is>
      </c>
      <c r="D331" s="1" t="n">
        <v>45758</v>
      </c>
      <c r="E331" s="1" t="n">
        <v>46220</v>
      </c>
      <c r="F331" t="inlineStr">
        <is>
          <t>ÖREBRO LÄN</t>
        </is>
      </c>
      <c r="G331" t="inlineStr">
        <is>
          <t>HÄLLEFORS</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59957-2024</t>
        </is>
      </c>
      <c r="B332" t="inlineStr">
        <is>
          <t>avverkningsanmälan</t>
        </is>
      </c>
      <c r="C332" t="inlineStr">
        <is>
          <t>Föryngringsavverkning</t>
        </is>
      </c>
      <c r="D332" s="1" t="n">
        <v>45642</v>
      </c>
      <c r="E332" s="1" t="n">
        <v>46220</v>
      </c>
      <c r="F332" t="inlineStr">
        <is>
          <t>ÖREBRO LÄN</t>
        </is>
      </c>
      <c r="G332" t="inlineStr">
        <is>
          <t>HÄLLEFORS</t>
        </is>
      </c>
      <c r="H332" t="inlineStr">
        <is>
          <t>Bergvik skog väst AB</t>
        </is>
      </c>
      <c r="I332" t="n">
        <v>4.3</v>
      </c>
      <c r="J332" t="n">
        <v>0</v>
      </c>
      <c r="K332" t="n">
        <v>0</v>
      </c>
      <c r="L332" t="n">
        <v>0</v>
      </c>
      <c r="M332" t="n">
        <v>0</v>
      </c>
      <c r="N332" t="n">
        <v>0</v>
      </c>
      <c r="O332" t="n">
        <v>0</v>
      </c>
      <c r="P332" t="n">
        <v>0</v>
      </c>
      <c r="Q332" t="n">
        <v>0</v>
      </c>
      <c r="R332" t="n">
        <v>0</v>
      </c>
      <c r="S332" t="n">
        <v>0</v>
      </c>
      <c r="T332" t="n">
        <v>0</v>
      </c>
      <c r="U332" s="2" t="inlineStr"/>
    </row>
    <row r="333" ht="15" customHeight="1">
      <c r="A333" t="inlineStr">
        <is>
          <t>A 59959-2024</t>
        </is>
      </c>
      <c r="B333" t="inlineStr">
        <is>
          <t>avverkningsanmälan</t>
        </is>
      </c>
      <c r="C333" t="inlineStr">
        <is>
          <t>Föryngringsavverkning</t>
        </is>
      </c>
      <c r="D333" s="1" t="n">
        <v>45642</v>
      </c>
      <c r="E333" s="1" t="n">
        <v>46220</v>
      </c>
      <c r="F333" t="inlineStr">
        <is>
          <t>ÖREBRO LÄN</t>
        </is>
      </c>
      <c r="G333" t="inlineStr">
        <is>
          <t>HÄLLEFORS</t>
        </is>
      </c>
      <c r="H333" t="inlineStr">
        <is>
          <t>Bergvik skog väst AB</t>
        </is>
      </c>
      <c r="I333" t="n">
        <v>4.9</v>
      </c>
      <c r="J333" t="n">
        <v>0</v>
      </c>
      <c r="K333" t="n">
        <v>0</v>
      </c>
      <c r="L333" t="n">
        <v>0</v>
      </c>
      <c r="M333" t="n">
        <v>0</v>
      </c>
      <c r="N333" t="n">
        <v>0</v>
      </c>
      <c r="O333" t="n">
        <v>0</v>
      </c>
      <c r="P333" t="n">
        <v>0</v>
      </c>
      <c r="Q333" t="n">
        <v>0</v>
      </c>
      <c r="R333" t="n">
        <v>0</v>
      </c>
      <c r="S333" t="n">
        <v>0</v>
      </c>
      <c r="T333" t="n">
        <v>0</v>
      </c>
      <c r="U333" s="2" t="inlineStr"/>
    </row>
    <row r="334" ht="15" customHeight="1">
      <c r="A334" t="inlineStr">
        <is>
          <t>A 59557-2022</t>
        </is>
      </c>
      <c r="B334" t="inlineStr">
        <is>
          <t>avverkningsanmälan</t>
        </is>
      </c>
      <c r="C334" t="inlineStr">
        <is>
          <t>Föryngringsavverkning</t>
        </is>
      </c>
      <c r="D334" s="1" t="n">
        <v>44907</v>
      </c>
      <c r="E334" s="1" t="n">
        <v>46220</v>
      </c>
      <c r="F334" t="inlineStr">
        <is>
          <t>ÖREBRO LÄN</t>
        </is>
      </c>
      <c r="G334" t="inlineStr">
        <is>
          <t>HÄLLEFORS</t>
        </is>
      </c>
      <c r="H334" t="inlineStr">
        <is>
          <t>Bergvik skog väst AB</t>
        </is>
      </c>
      <c r="I334" t="n">
        <v>11.2</v>
      </c>
      <c r="J334" t="n">
        <v>0</v>
      </c>
      <c r="K334" t="n">
        <v>0</v>
      </c>
      <c r="L334" t="n">
        <v>0</v>
      </c>
      <c r="M334" t="n">
        <v>0</v>
      </c>
      <c r="N334" t="n">
        <v>0</v>
      </c>
      <c r="O334" t="n">
        <v>0</v>
      </c>
      <c r="P334" t="n">
        <v>0</v>
      </c>
      <c r="Q334" t="n">
        <v>0</v>
      </c>
      <c r="R334" t="n">
        <v>0</v>
      </c>
      <c r="S334" t="n">
        <v>0</v>
      </c>
      <c r="T334" t="n">
        <v>0</v>
      </c>
      <c r="U334" s="2" t="inlineStr"/>
    </row>
    <row r="335" ht="15" customHeight="1">
      <c r="A335" t="inlineStr">
        <is>
          <t>A 20670-2025</t>
        </is>
      </c>
      <c r="B335" t="inlineStr">
        <is>
          <t>avverkningsanmälan</t>
        </is>
      </c>
      <c r="C335" t="inlineStr">
        <is>
          <t>Föryngringsavverkning</t>
        </is>
      </c>
      <c r="D335" s="1" t="n">
        <v>45776</v>
      </c>
      <c r="E335" s="1" t="n">
        <v>46220</v>
      </c>
      <c r="F335" t="inlineStr">
        <is>
          <t>ÖREBRO LÄN</t>
        </is>
      </c>
      <c r="G335" t="inlineStr">
        <is>
          <t>HÄLLEFORS</t>
        </is>
      </c>
      <c r="H335" t="inlineStr">
        <is>
          <t>Bergvik skog väst AB</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18891-2025</t>
        </is>
      </c>
      <c r="B336" t="inlineStr">
        <is>
          <t>avverkningsanmälan</t>
        </is>
      </c>
      <c r="C336" t="inlineStr">
        <is>
          <t>Föryngringsavverkning</t>
        </is>
      </c>
      <c r="D336" s="1" t="n">
        <v>45764</v>
      </c>
      <c r="E336" s="1" t="n">
        <v>46220</v>
      </c>
      <c r="F336" t="inlineStr">
        <is>
          <t>ÖREBRO LÄN</t>
        </is>
      </c>
      <c r="G336" t="inlineStr">
        <is>
          <t>HÄLLEFORS</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30307-2024</t>
        </is>
      </c>
      <c r="B337" t="inlineStr">
        <is>
          <t>avverkningsanmälan</t>
        </is>
      </c>
      <c r="C337" t="inlineStr">
        <is>
          <t>Föryngringsavverkning</t>
        </is>
      </c>
      <c r="D337" s="1" t="n">
        <v>45490</v>
      </c>
      <c r="E337" s="1" t="n">
        <v>46220</v>
      </c>
      <c r="F337" t="inlineStr">
        <is>
          <t>ÖREBRO LÄN</t>
        </is>
      </c>
      <c r="G337" t="inlineStr">
        <is>
          <t>HÄLLEFORS</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18168-2024</t>
        </is>
      </c>
      <c r="B338" t="inlineStr">
        <is>
          <t>avverkningsanmälan</t>
        </is>
      </c>
      <c r="C338" t="inlineStr">
        <is>
          <t>Föryngringsavverkning</t>
        </is>
      </c>
      <c r="D338" s="1" t="n">
        <v>45420</v>
      </c>
      <c r="E338" s="1" t="n">
        <v>46220</v>
      </c>
      <c r="F338" t="inlineStr">
        <is>
          <t>ÖREBRO LÄN</t>
        </is>
      </c>
      <c r="G338" t="inlineStr">
        <is>
          <t>HÄLLEFORS</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18878-2025</t>
        </is>
      </c>
      <c r="B339" t="inlineStr">
        <is>
          <t>avverkningsanmälan</t>
        </is>
      </c>
      <c r="C339" t="inlineStr">
        <is>
          <t>Föryngringsavverkning</t>
        </is>
      </c>
      <c r="D339" s="1" t="n">
        <v>45764</v>
      </c>
      <c r="E339" s="1" t="n">
        <v>46220</v>
      </c>
      <c r="F339" t="inlineStr">
        <is>
          <t>ÖREBRO LÄN</t>
        </is>
      </c>
      <c r="G339" t="inlineStr">
        <is>
          <t>HÄLLEFORS</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53340-2024</t>
        </is>
      </c>
      <c r="B340" t="inlineStr">
        <is>
          <t>avverkningsanmälan</t>
        </is>
      </c>
      <c r="C340" t="inlineStr">
        <is>
          <t>Föryngringsavverkning</t>
        </is>
      </c>
      <c r="D340" s="1" t="n">
        <v>45614</v>
      </c>
      <c r="E340" s="1" t="n">
        <v>46220</v>
      </c>
      <c r="F340" t="inlineStr">
        <is>
          <t>ÖREBRO LÄN</t>
        </is>
      </c>
      <c r="G340" t="inlineStr">
        <is>
          <t>HÄLLEFORS</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18852-2025</t>
        </is>
      </c>
      <c r="B341" t="inlineStr">
        <is>
          <t>avverkningsanmälan</t>
        </is>
      </c>
      <c r="C341" t="inlineStr">
        <is>
          <t>Föryngringsavverkning</t>
        </is>
      </c>
      <c r="D341" s="1" t="n">
        <v>45764</v>
      </c>
      <c r="E341" s="1" t="n">
        <v>46220</v>
      </c>
      <c r="F341" t="inlineStr">
        <is>
          <t>ÖREBRO LÄN</t>
        </is>
      </c>
      <c r="G341" t="inlineStr">
        <is>
          <t>HÄLLEFORS</t>
        </is>
      </c>
      <c r="I341" t="n">
        <v>6.8</v>
      </c>
      <c r="J341" t="n">
        <v>0</v>
      </c>
      <c r="K341" t="n">
        <v>0</v>
      </c>
      <c r="L341" t="n">
        <v>0</v>
      </c>
      <c r="M341" t="n">
        <v>0</v>
      </c>
      <c r="N341" t="n">
        <v>0</v>
      </c>
      <c r="O341" t="n">
        <v>0</v>
      </c>
      <c r="P341" t="n">
        <v>0</v>
      </c>
      <c r="Q341" t="n">
        <v>0</v>
      </c>
      <c r="R341" t="n">
        <v>0</v>
      </c>
      <c r="S341" t="n">
        <v>0</v>
      </c>
      <c r="T341" t="n">
        <v>0</v>
      </c>
      <c r="U341" s="2" t="inlineStr"/>
    </row>
    <row r="342" ht="15" customHeight="1">
      <c r="A342" t="inlineStr">
        <is>
          <t>A 18869-2025</t>
        </is>
      </c>
      <c r="B342" t="inlineStr">
        <is>
          <t>avverkningsanmälan</t>
        </is>
      </c>
      <c r="C342" t="inlineStr">
        <is>
          <t>Föryngringsavverkning</t>
        </is>
      </c>
      <c r="D342" s="1" t="n">
        <v>45764</v>
      </c>
      <c r="E342" s="1" t="n">
        <v>46220</v>
      </c>
      <c r="F342" t="inlineStr">
        <is>
          <t>ÖREBRO LÄN</t>
        </is>
      </c>
      <c r="G342" t="inlineStr">
        <is>
          <t>HÄLLEFORS</t>
        </is>
      </c>
      <c r="I342" t="n">
        <v>3.7</v>
      </c>
      <c r="J342" t="n">
        <v>0</v>
      </c>
      <c r="K342" t="n">
        <v>0</v>
      </c>
      <c r="L342" t="n">
        <v>0</v>
      </c>
      <c r="M342" t="n">
        <v>0</v>
      </c>
      <c r="N342" t="n">
        <v>0</v>
      </c>
      <c r="O342" t="n">
        <v>0</v>
      </c>
      <c r="P342" t="n">
        <v>0</v>
      </c>
      <c r="Q342" t="n">
        <v>0</v>
      </c>
      <c r="R342" t="n">
        <v>0</v>
      </c>
      <c r="S342" t="n">
        <v>0</v>
      </c>
      <c r="T342" t="n">
        <v>0</v>
      </c>
      <c r="U342" s="2" t="inlineStr"/>
    </row>
    <row r="343" ht="15" customHeight="1">
      <c r="A343" t="inlineStr">
        <is>
          <t>A 35106-2023</t>
        </is>
      </c>
      <c r="B343" t="inlineStr">
        <is>
          <t>avverkningsanmälan</t>
        </is>
      </c>
      <c r="C343" t="inlineStr">
        <is>
          <t>Föryngringsavverkning</t>
        </is>
      </c>
      <c r="D343" s="1" t="n">
        <v>45145</v>
      </c>
      <c r="E343" s="1" t="n">
        <v>46220</v>
      </c>
      <c r="F343" t="inlineStr">
        <is>
          <t>ÖREBRO LÄN</t>
        </is>
      </c>
      <c r="G343" t="inlineStr">
        <is>
          <t>HÄLLEFORS</t>
        </is>
      </c>
      <c r="H343" t="inlineStr">
        <is>
          <t>Bergvik skog väst AB</t>
        </is>
      </c>
      <c r="I343" t="n">
        <v>13.9</v>
      </c>
      <c r="J343" t="n">
        <v>0</v>
      </c>
      <c r="K343" t="n">
        <v>0</v>
      </c>
      <c r="L343" t="n">
        <v>0</v>
      </c>
      <c r="M343" t="n">
        <v>0</v>
      </c>
      <c r="N343" t="n">
        <v>0</v>
      </c>
      <c r="O343" t="n">
        <v>0</v>
      </c>
      <c r="P343" t="n">
        <v>0</v>
      </c>
      <c r="Q343" t="n">
        <v>0</v>
      </c>
      <c r="R343" t="n">
        <v>0</v>
      </c>
      <c r="S343" t="n">
        <v>0</v>
      </c>
      <c r="T343" t="n">
        <v>0</v>
      </c>
      <c r="U343" s="2" t="inlineStr"/>
    </row>
    <row r="344" ht="15" customHeight="1">
      <c r="A344" t="inlineStr">
        <is>
          <t>A 47907-2024</t>
        </is>
      </c>
      <c r="B344" t="inlineStr">
        <is>
          <t>avverkningsanmälan</t>
        </is>
      </c>
      <c r="C344" t="inlineStr">
        <is>
          <t>Föryngringsavverkning</t>
        </is>
      </c>
      <c r="D344" s="1" t="n">
        <v>45589</v>
      </c>
      <c r="E344" s="1" t="n">
        <v>46220</v>
      </c>
      <c r="F344" t="inlineStr">
        <is>
          <t>ÖREBRO LÄN</t>
        </is>
      </c>
      <c r="G344" t="inlineStr">
        <is>
          <t>HÄLLEFORS</t>
        </is>
      </c>
      <c r="H344" t="inlineStr">
        <is>
          <t>Bergvik skog väst AB</t>
        </is>
      </c>
      <c r="I344" t="n">
        <v>4.6</v>
      </c>
      <c r="J344" t="n">
        <v>0</v>
      </c>
      <c r="K344" t="n">
        <v>0</v>
      </c>
      <c r="L344" t="n">
        <v>0</v>
      </c>
      <c r="M344" t="n">
        <v>0</v>
      </c>
      <c r="N344" t="n">
        <v>0</v>
      </c>
      <c r="O344" t="n">
        <v>0</v>
      </c>
      <c r="P344" t="n">
        <v>0</v>
      </c>
      <c r="Q344" t="n">
        <v>0</v>
      </c>
      <c r="R344" t="n">
        <v>0</v>
      </c>
      <c r="S344" t="n">
        <v>0</v>
      </c>
      <c r="T344" t="n">
        <v>0</v>
      </c>
      <c r="U344" s="2" t="inlineStr"/>
    </row>
    <row r="345" ht="15" customHeight="1">
      <c r="A345" t="inlineStr">
        <is>
          <t>A 59963-2024</t>
        </is>
      </c>
      <c r="B345" t="inlineStr">
        <is>
          <t>avverkningsanmälan</t>
        </is>
      </c>
      <c r="C345" t="inlineStr">
        <is>
          <t>Föryngringsavverkning</t>
        </is>
      </c>
      <c r="D345" s="1" t="n">
        <v>45642</v>
      </c>
      <c r="E345" s="1" t="n">
        <v>46220</v>
      </c>
      <c r="F345" t="inlineStr">
        <is>
          <t>ÖREBRO LÄN</t>
        </is>
      </c>
      <c r="G345" t="inlineStr">
        <is>
          <t>HÄLLEFORS</t>
        </is>
      </c>
      <c r="H345" t="inlineStr">
        <is>
          <t>Bergvik skog väst AB</t>
        </is>
      </c>
      <c r="I345" t="n">
        <v>8.4</v>
      </c>
      <c r="J345" t="n">
        <v>0</v>
      </c>
      <c r="K345" t="n">
        <v>0</v>
      </c>
      <c r="L345" t="n">
        <v>0</v>
      </c>
      <c r="M345" t="n">
        <v>0</v>
      </c>
      <c r="N345" t="n">
        <v>0</v>
      </c>
      <c r="O345" t="n">
        <v>0</v>
      </c>
      <c r="P345" t="n">
        <v>0</v>
      </c>
      <c r="Q345" t="n">
        <v>0</v>
      </c>
      <c r="R345" t="n">
        <v>0</v>
      </c>
      <c r="S345" t="n">
        <v>0</v>
      </c>
      <c r="T345" t="n">
        <v>0</v>
      </c>
      <c r="U345" s="2" t="inlineStr"/>
    </row>
    <row r="346" ht="15" customHeight="1">
      <c r="A346" t="inlineStr">
        <is>
          <t>A 36090-2024</t>
        </is>
      </c>
      <c r="B346" t="inlineStr">
        <is>
          <t>avverkningsanmälan</t>
        </is>
      </c>
      <c r="C346" t="inlineStr">
        <is>
          <t>Föryngringsavverkning</t>
        </is>
      </c>
      <c r="D346" s="1" t="n">
        <v>45533</v>
      </c>
      <c r="E346" s="1" t="n">
        <v>46220</v>
      </c>
      <c r="F346" t="inlineStr">
        <is>
          <t>ÖREBRO LÄN</t>
        </is>
      </c>
      <c r="G346" t="inlineStr">
        <is>
          <t>HÄLLEFORS</t>
        </is>
      </c>
      <c r="H346" t="inlineStr">
        <is>
          <t>Bergvik skog väst AB</t>
        </is>
      </c>
      <c r="I346" t="n">
        <v>5.2</v>
      </c>
      <c r="J346" t="n">
        <v>0</v>
      </c>
      <c r="K346" t="n">
        <v>0</v>
      </c>
      <c r="L346" t="n">
        <v>0</v>
      </c>
      <c r="M346" t="n">
        <v>0</v>
      </c>
      <c r="N346" t="n">
        <v>0</v>
      </c>
      <c r="O346" t="n">
        <v>0</v>
      </c>
      <c r="P346" t="n">
        <v>0</v>
      </c>
      <c r="Q346" t="n">
        <v>0</v>
      </c>
      <c r="R346" t="n">
        <v>0</v>
      </c>
      <c r="S346" t="n">
        <v>0</v>
      </c>
      <c r="T346" t="n">
        <v>0</v>
      </c>
      <c r="U346" s="2" t="inlineStr"/>
    </row>
    <row r="347" ht="15" customHeight="1">
      <c r="A347" t="inlineStr">
        <is>
          <t>A 35860-2024</t>
        </is>
      </c>
      <c r="B347" t="inlineStr">
        <is>
          <t>avverkningsanmälan</t>
        </is>
      </c>
      <c r="C347" t="inlineStr">
        <is>
          <t>Föryngringsavverkning</t>
        </is>
      </c>
      <c r="D347" s="1" t="n">
        <v>45533</v>
      </c>
      <c r="E347" s="1" t="n">
        <v>46220</v>
      </c>
      <c r="F347" t="inlineStr">
        <is>
          <t>ÖREBRO LÄN</t>
        </is>
      </c>
      <c r="G347" t="inlineStr">
        <is>
          <t>HÄLLEFORS</t>
        </is>
      </c>
      <c r="H347" t="inlineStr">
        <is>
          <t>Bergvik skog väst AB</t>
        </is>
      </c>
      <c r="I347" t="n">
        <v>4.1</v>
      </c>
      <c r="J347" t="n">
        <v>0</v>
      </c>
      <c r="K347" t="n">
        <v>0</v>
      </c>
      <c r="L347" t="n">
        <v>0</v>
      </c>
      <c r="M347" t="n">
        <v>0</v>
      </c>
      <c r="N347" t="n">
        <v>0</v>
      </c>
      <c r="O347" t="n">
        <v>0</v>
      </c>
      <c r="P347" t="n">
        <v>0</v>
      </c>
      <c r="Q347" t="n">
        <v>0</v>
      </c>
      <c r="R347" t="n">
        <v>0</v>
      </c>
      <c r="S347" t="n">
        <v>0</v>
      </c>
      <c r="T347" t="n">
        <v>0</v>
      </c>
      <c r="U347" s="2" t="inlineStr"/>
    </row>
    <row r="348" ht="15" customHeight="1">
      <c r="A348" t="inlineStr">
        <is>
          <t>A 53344-2024</t>
        </is>
      </c>
      <c r="B348" t="inlineStr">
        <is>
          <t>avverkningsanmälan</t>
        </is>
      </c>
      <c r="C348" t="inlineStr">
        <is>
          <t>Föryngringsavverkning</t>
        </is>
      </c>
      <c r="D348" s="1" t="n">
        <v>45614</v>
      </c>
      <c r="E348" s="1" t="n">
        <v>46220</v>
      </c>
      <c r="F348" t="inlineStr">
        <is>
          <t>ÖREBRO LÄN</t>
        </is>
      </c>
      <c r="G348" t="inlineStr">
        <is>
          <t>HÄLLEFORS</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25059-2024</t>
        </is>
      </c>
      <c r="B349" t="inlineStr">
        <is>
          <t>avverkningsanmälan</t>
        </is>
      </c>
      <c r="C349" t="inlineStr">
        <is>
          <t>Föryngringsavverkning</t>
        </is>
      </c>
      <c r="D349" s="1" t="n">
        <v>45462</v>
      </c>
      <c r="E349" s="1" t="n">
        <v>46220</v>
      </c>
      <c r="F349" t="inlineStr">
        <is>
          <t>ÖREBRO LÄN</t>
        </is>
      </c>
      <c r="G349" t="inlineStr">
        <is>
          <t>HÄLLEFORS</t>
        </is>
      </c>
      <c r="H349" t="inlineStr">
        <is>
          <t>Bergvik skog väst AB</t>
        </is>
      </c>
      <c r="I349" t="n">
        <v>3</v>
      </c>
      <c r="J349" t="n">
        <v>0</v>
      </c>
      <c r="K349" t="n">
        <v>0</v>
      </c>
      <c r="L349" t="n">
        <v>0</v>
      </c>
      <c r="M349" t="n">
        <v>0</v>
      </c>
      <c r="N349" t="n">
        <v>0</v>
      </c>
      <c r="O349" t="n">
        <v>0</v>
      </c>
      <c r="P349" t="n">
        <v>0</v>
      </c>
      <c r="Q349" t="n">
        <v>0</v>
      </c>
      <c r="R349" t="n">
        <v>0</v>
      </c>
      <c r="S349" t="n">
        <v>0</v>
      </c>
      <c r="T349" t="n">
        <v>0</v>
      </c>
      <c r="U349" s="2" t="inlineStr"/>
    </row>
    <row r="350" ht="15" customHeight="1">
      <c r="A350" t="inlineStr">
        <is>
          <t>A 60306-2024</t>
        </is>
      </c>
      <c r="B350" t="inlineStr">
        <is>
          <t>avverkningsanmälan</t>
        </is>
      </c>
      <c r="C350" t="inlineStr">
        <is>
          <t>Föryngringsavverkning</t>
        </is>
      </c>
      <c r="D350" s="1" t="n">
        <v>45643</v>
      </c>
      <c r="E350" s="1" t="n">
        <v>46220</v>
      </c>
      <c r="F350" t="inlineStr">
        <is>
          <t>ÖREBRO LÄN</t>
        </is>
      </c>
      <c r="G350" t="inlineStr">
        <is>
          <t>HÄLLEFORS</t>
        </is>
      </c>
      <c r="H350" t="inlineStr">
        <is>
          <t>Bergvik skog väst AB</t>
        </is>
      </c>
      <c r="I350" t="n">
        <v>4.5</v>
      </c>
      <c r="J350" t="n">
        <v>0</v>
      </c>
      <c r="K350" t="n">
        <v>0</v>
      </c>
      <c r="L350" t="n">
        <v>0</v>
      </c>
      <c r="M350" t="n">
        <v>0</v>
      </c>
      <c r="N350" t="n">
        <v>0</v>
      </c>
      <c r="O350" t="n">
        <v>0</v>
      </c>
      <c r="P350" t="n">
        <v>0</v>
      </c>
      <c r="Q350" t="n">
        <v>0</v>
      </c>
      <c r="R350" t="n">
        <v>0</v>
      </c>
      <c r="S350" t="n">
        <v>0</v>
      </c>
      <c r="T350" t="n">
        <v>0</v>
      </c>
      <c r="U350" s="2" t="inlineStr"/>
    </row>
    <row r="351" ht="15" customHeight="1">
      <c r="A351" t="inlineStr">
        <is>
          <t>A 28564-2024</t>
        </is>
      </c>
      <c r="B351" t="inlineStr">
        <is>
          <t>avverkningsanmälan</t>
        </is>
      </c>
      <c r="C351" t="inlineStr">
        <is>
          <t>Föryngringsavverkning</t>
        </is>
      </c>
      <c r="D351" s="1" t="n">
        <v>45478</v>
      </c>
      <c r="E351" s="1" t="n">
        <v>46220</v>
      </c>
      <c r="F351" t="inlineStr">
        <is>
          <t>ÖREBRO LÄN</t>
        </is>
      </c>
      <c r="G351" t="inlineStr">
        <is>
          <t>HÄLLEFORS</t>
        </is>
      </c>
      <c r="H351" t="inlineStr">
        <is>
          <t>Bergvik skog väst AB</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36114-2024</t>
        </is>
      </c>
      <c r="B352" t="inlineStr">
        <is>
          <t>avverkningsanmälan</t>
        </is>
      </c>
      <c r="C352" t="inlineStr">
        <is>
          <t>Föryngringsavverkning</t>
        </is>
      </c>
      <c r="D352" s="1" t="n">
        <v>45534</v>
      </c>
      <c r="E352" s="1" t="n">
        <v>46220</v>
      </c>
      <c r="F352" t="inlineStr">
        <is>
          <t>ÖREBRO LÄN</t>
        </is>
      </c>
      <c r="G352" t="inlineStr">
        <is>
          <t>HÄLLEFORS</t>
        </is>
      </c>
      <c r="H352" t="inlineStr">
        <is>
          <t>Bergvik skog väst AB</t>
        </is>
      </c>
      <c r="I352" t="n">
        <v>2.7</v>
      </c>
      <c r="J352" t="n">
        <v>0</v>
      </c>
      <c r="K352" t="n">
        <v>0</v>
      </c>
      <c r="L352" t="n">
        <v>0</v>
      </c>
      <c r="M352" t="n">
        <v>0</v>
      </c>
      <c r="N352" t="n">
        <v>0</v>
      </c>
      <c r="O352" t="n">
        <v>0</v>
      </c>
      <c r="P352" t="n">
        <v>0</v>
      </c>
      <c r="Q352" t="n">
        <v>0</v>
      </c>
      <c r="R352" t="n">
        <v>0</v>
      </c>
      <c r="S352" t="n">
        <v>0</v>
      </c>
      <c r="T352" t="n">
        <v>0</v>
      </c>
      <c r="U352" s="2" t="inlineStr"/>
    </row>
    <row r="353" ht="15" customHeight="1">
      <c r="A353" t="inlineStr">
        <is>
          <t>A 32937-2024</t>
        </is>
      </c>
      <c r="B353" t="inlineStr">
        <is>
          <t>avverkningsanmälan</t>
        </is>
      </c>
      <c r="C353" t="inlineStr">
        <is>
          <t>Föryngringsavverkning</t>
        </is>
      </c>
      <c r="D353" s="1" t="n">
        <v>45517</v>
      </c>
      <c r="E353" s="1" t="n">
        <v>46220</v>
      </c>
      <c r="F353" t="inlineStr">
        <is>
          <t>ÖREBRO LÄN</t>
        </is>
      </c>
      <c r="G353" t="inlineStr">
        <is>
          <t>HÄLLEFORS</t>
        </is>
      </c>
      <c r="H353" t="inlineStr">
        <is>
          <t>Bergvik skog väst AB</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47811-2024</t>
        </is>
      </c>
      <c r="B354" t="inlineStr">
        <is>
          <t>avverkningsanmälan</t>
        </is>
      </c>
      <c r="C354" t="inlineStr">
        <is>
          <t>Föryngringsavverkning</t>
        </is>
      </c>
      <c r="D354" s="1" t="n">
        <v>45588</v>
      </c>
      <c r="E354" s="1" t="n">
        <v>46220</v>
      </c>
      <c r="F354" t="inlineStr">
        <is>
          <t>ÖREBRO LÄN</t>
        </is>
      </c>
      <c r="G354" t="inlineStr">
        <is>
          <t>HÄLLEFORS</t>
        </is>
      </c>
      <c r="H354" t="inlineStr">
        <is>
          <t>Bergvik skog väst AB</t>
        </is>
      </c>
      <c r="I354" t="n">
        <v>5.9</v>
      </c>
      <c r="J354" t="n">
        <v>0</v>
      </c>
      <c r="K354" t="n">
        <v>0</v>
      </c>
      <c r="L354" t="n">
        <v>0</v>
      </c>
      <c r="M354" t="n">
        <v>0</v>
      </c>
      <c r="N354" t="n">
        <v>0</v>
      </c>
      <c r="O354" t="n">
        <v>0</v>
      </c>
      <c r="P354" t="n">
        <v>0</v>
      </c>
      <c r="Q354" t="n">
        <v>0</v>
      </c>
      <c r="R354" t="n">
        <v>0</v>
      </c>
      <c r="S354" t="n">
        <v>0</v>
      </c>
      <c r="T354" t="n">
        <v>0</v>
      </c>
      <c r="U354" s="2" t="inlineStr"/>
    </row>
    <row r="355" ht="15" customHeight="1">
      <c r="A355" t="inlineStr">
        <is>
          <t>A 53035-2022</t>
        </is>
      </c>
      <c r="B355" t="inlineStr">
        <is>
          <t>avverkningsanmälan</t>
        </is>
      </c>
      <c r="C355" t="inlineStr">
        <is>
          <t>Föryngringsavverkning</t>
        </is>
      </c>
      <c r="D355" s="1" t="n">
        <v>44876</v>
      </c>
      <c r="E355" s="1" t="n">
        <v>46220</v>
      </c>
      <c r="F355" t="inlineStr">
        <is>
          <t>ÖREBRO LÄN</t>
        </is>
      </c>
      <c r="G355" t="inlineStr">
        <is>
          <t>HÄLLEFORS</t>
        </is>
      </c>
      <c r="H355" t="inlineStr">
        <is>
          <t>Bergvik skog väst AB</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S 1185-2020</t>
        </is>
      </c>
      <c r="B356" t="inlineStr">
        <is>
          <t>samrådsanmälan</t>
        </is>
      </c>
      <c r="C356" t="inlineStr">
        <is>
          <t>Åtgärd i nyckelbiotop</t>
        </is>
      </c>
      <c r="D356" s="1" t="n">
        <v>43973</v>
      </c>
      <c r="E356" s="1" t="n">
        <v>46220</v>
      </c>
      <c r="F356" t="inlineStr">
        <is>
          <t>ÖREBRO LÄN</t>
        </is>
      </c>
      <c r="G356" t="inlineStr">
        <is>
          <t>HÄLLEFORS</t>
        </is>
      </c>
      <c r="H356" t="inlineStr">
        <is>
          <t>Bergvik skog väst AB</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S 1186-2020</t>
        </is>
      </c>
      <c r="B357" t="inlineStr">
        <is>
          <t>samrådsanmälan</t>
        </is>
      </c>
      <c r="C357" t="inlineStr">
        <is>
          <t>Åtgärd i nyckelbiotop</t>
        </is>
      </c>
      <c r="D357" s="1" t="n">
        <v>43973</v>
      </c>
      <c r="E357" s="1" t="n">
        <v>46220</v>
      </c>
      <c r="F357" t="inlineStr">
        <is>
          <t>ÖREBRO LÄN</t>
        </is>
      </c>
      <c r="G357" t="inlineStr">
        <is>
          <t>HÄLLEFORS</t>
        </is>
      </c>
      <c r="H357" t="inlineStr">
        <is>
          <t>Bergvik skog väst AB</t>
        </is>
      </c>
      <c r="I357" t="n">
        <v>7.2</v>
      </c>
      <c r="J357" t="n">
        <v>0</v>
      </c>
      <c r="K357" t="n">
        <v>0</v>
      </c>
      <c r="L357" t="n">
        <v>0</v>
      </c>
      <c r="M357" t="n">
        <v>0</v>
      </c>
      <c r="N357" t="n">
        <v>0</v>
      </c>
      <c r="O357" t="n">
        <v>0</v>
      </c>
      <c r="P357" t="n">
        <v>0</v>
      </c>
      <c r="Q357" t="n">
        <v>0</v>
      </c>
      <c r="R357" t="n">
        <v>0</v>
      </c>
      <c r="S357" t="n">
        <v>0</v>
      </c>
      <c r="T357" t="n">
        <v>0</v>
      </c>
      <c r="U357" s="2" t="inlineStr"/>
    </row>
    <row r="358" ht="15" customHeight="1">
      <c r="A358" t="inlineStr">
        <is>
          <t>S 1314-2023</t>
        </is>
      </c>
      <c r="B358" t="inlineStr">
        <is>
          <t>samrådsanmälan</t>
        </is>
      </c>
      <c r="C358" t="inlineStr">
        <is>
          <t>Annan skogsbruksåtgärd</t>
        </is>
      </c>
      <c r="D358" s="1" t="n">
        <v>45036</v>
      </c>
      <c r="E358" s="1" t="n">
        <v>46220</v>
      </c>
      <c r="F358" t="inlineStr">
        <is>
          <t>ÖREBRO LÄN</t>
        </is>
      </c>
      <c r="G358" t="inlineStr">
        <is>
          <t>HÄLLEFORS</t>
        </is>
      </c>
      <c r="H358" t="inlineStr">
        <is>
          <t>Bergvik skog väst AB</t>
        </is>
      </c>
      <c r="I358" t="n">
        <v>8.800000000000001</v>
      </c>
      <c r="J358" t="n">
        <v>0</v>
      </c>
      <c r="K358" t="n">
        <v>0</v>
      </c>
      <c r="L358" t="n">
        <v>0</v>
      </c>
      <c r="M358" t="n">
        <v>0</v>
      </c>
      <c r="N358" t="n">
        <v>0</v>
      </c>
      <c r="O358" t="n">
        <v>0</v>
      </c>
      <c r="P358" t="n">
        <v>0</v>
      </c>
      <c r="Q358" t="n">
        <v>0</v>
      </c>
      <c r="R358" t="n">
        <v>0</v>
      </c>
      <c r="S358" t="n">
        <v>0</v>
      </c>
      <c r="T358" t="n">
        <v>0</v>
      </c>
      <c r="U358" s="2" t="inlineStr"/>
    </row>
    <row r="359" ht="15" customHeight="1">
      <c r="A359" t="inlineStr">
        <is>
          <t>S 956-2024</t>
        </is>
      </c>
      <c r="B359" t="inlineStr">
        <is>
          <t>samrådsanmälan</t>
        </is>
      </c>
      <c r="C359" t="inlineStr">
        <is>
          <t>Skogsgödsling</t>
        </is>
      </c>
      <c r="D359" s="1" t="n">
        <v>45383</v>
      </c>
      <c r="E359" s="1" t="n">
        <v>46220</v>
      </c>
      <c r="F359" t="inlineStr">
        <is>
          <t>ÖREBRO LÄN</t>
        </is>
      </c>
      <c r="G359" t="inlineStr">
        <is>
          <t>HÄLLEFORS</t>
        </is>
      </c>
      <c r="I359" t="n">
        <v>117.6</v>
      </c>
      <c r="J359" t="n">
        <v>0</v>
      </c>
      <c r="K359" t="n">
        <v>0</v>
      </c>
      <c r="L359" t="n">
        <v>0</v>
      </c>
      <c r="M359" t="n">
        <v>0</v>
      </c>
      <c r="N359" t="n">
        <v>0</v>
      </c>
      <c r="O359" t="n">
        <v>0</v>
      </c>
      <c r="P359" t="n">
        <v>0</v>
      </c>
      <c r="Q359" t="n">
        <v>0</v>
      </c>
      <c r="R359" t="n">
        <v>0</v>
      </c>
      <c r="S359" t="n">
        <v>0</v>
      </c>
      <c r="T359" t="n">
        <v>0</v>
      </c>
      <c r="U359" s="2" t="inlineStr"/>
    </row>
    <row r="360" ht="15" customHeight="1">
      <c r="A360" t="inlineStr">
        <is>
          <t>S 958-2024</t>
        </is>
      </c>
      <c r="B360" t="inlineStr">
        <is>
          <t>samrådsanmälan</t>
        </is>
      </c>
      <c r="C360" t="inlineStr">
        <is>
          <t>Skogsgödsling</t>
        </is>
      </c>
      <c r="D360" s="1" t="n">
        <v>45383</v>
      </c>
      <c r="E360" s="1" t="n">
        <v>46220</v>
      </c>
      <c r="F360" t="inlineStr">
        <is>
          <t>ÖREBRO LÄN</t>
        </is>
      </c>
      <c r="G360" t="inlineStr">
        <is>
          <t>HÄLLEFORS</t>
        </is>
      </c>
      <c r="I360" t="n">
        <v>14.1</v>
      </c>
      <c r="J360" t="n">
        <v>0</v>
      </c>
      <c r="K360" t="n">
        <v>0</v>
      </c>
      <c r="L360" t="n">
        <v>0</v>
      </c>
      <c r="M360" t="n">
        <v>0</v>
      </c>
      <c r="N360" t="n">
        <v>0</v>
      </c>
      <c r="O360" t="n">
        <v>0</v>
      </c>
      <c r="P360" t="n">
        <v>0</v>
      </c>
      <c r="Q360" t="n">
        <v>0</v>
      </c>
      <c r="R360" t="n">
        <v>0</v>
      </c>
      <c r="S360" t="n">
        <v>0</v>
      </c>
      <c r="T360" t="n">
        <v>0</v>
      </c>
      <c r="U360" s="2" t="inlineStr"/>
    </row>
    <row r="361" ht="15" customHeight="1">
      <c r="A361" t="inlineStr">
        <is>
          <t>S 1313-2023</t>
        </is>
      </c>
      <c r="B361" t="inlineStr">
        <is>
          <t>samrådsanmälan</t>
        </is>
      </c>
      <c r="C361" t="inlineStr">
        <is>
          <t>Skogsgödsling</t>
        </is>
      </c>
      <c r="D361" s="1" t="n">
        <v>45034</v>
      </c>
      <c r="E361" s="1" t="n">
        <v>46220</v>
      </c>
      <c r="F361" t="inlineStr">
        <is>
          <t>ÖREBRO LÄN</t>
        </is>
      </c>
      <c r="G361" t="inlineStr">
        <is>
          <t>HÄLLEFORS</t>
        </is>
      </c>
      <c r="H361" t="inlineStr">
        <is>
          <t>Bergvik skog väst AB</t>
        </is>
      </c>
      <c r="I361" t="n">
        <v>46.4</v>
      </c>
      <c r="J361" t="n">
        <v>0</v>
      </c>
      <c r="K361" t="n">
        <v>0</v>
      </c>
      <c r="L361" t="n">
        <v>0</v>
      </c>
      <c r="M361" t="n">
        <v>0</v>
      </c>
      <c r="N361" t="n">
        <v>0</v>
      </c>
      <c r="O361" t="n">
        <v>0</v>
      </c>
      <c r="P361" t="n">
        <v>0</v>
      </c>
      <c r="Q361" t="n">
        <v>0</v>
      </c>
      <c r="R361" t="n">
        <v>0</v>
      </c>
      <c r="S361" t="n">
        <v>0</v>
      </c>
      <c r="T361" t="n">
        <v>0</v>
      </c>
      <c r="U361" s="2" t="inlineStr"/>
    </row>
    <row r="362" ht="15" customHeight="1">
      <c r="A362" t="inlineStr">
        <is>
          <t>S 2835-2023</t>
        </is>
      </c>
      <c r="B362" t="inlineStr">
        <is>
          <t>samrådsanmälan</t>
        </is>
      </c>
      <c r="C362" t="inlineStr">
        <is>
          <t>Annan skogsbruksåtgärd</t>
        </is>
      </c>
      <c r="D362" s="1" t="n">
        <v>45209</v>
      </c>
      <c r="E362" s="1" t="n">
        <v>46220</v>
      </c>
      <c r="F362" t="inlineStr">
        <is>
          <t>ÖREBRO LÄN</t>
        </is>
      </c>
      <c r="G362" t="inlineStr">
        <is>
          <t>HÄLLEFORS</t>
        </is>
      </c>
      <c r="H362" t="inlineStr">
        <is>
          <t>Bergvik skog väst AB</t>
        </is>
      </c>
      <c r="I362" t="n">
        <v>38.9</v>
      </c>
      <c r="J362" t="n">
        <v>0</v>
      </c>
      <c r="K362" t="n">
        <v>0</v>
      </c>
      <c r="L362" t="n">
        <v>0</v>
      </c>
      <c r="M362" t="n">
        <v>0</v>
      </c>
      <c r="N362" t="n">
        <v>0</v>
      </c>
      <c r="O362" t="n">
        <v>0</v>
      </c>
      <c r="P362" t="n">
        <v>0</v>
      </c>
      <c r="Q362" t="n">
        <v>0</v>
      </c>
      <c r="R362" t="n">
        <v>0</v>
      </c>
      <c r="S362" t="n">
        <v>0</v>
      </c>
      <c r="T362" t="n">
        <v>0</v>
      </c>
      <c r="U362" s="2" t="inlineStr"/>
    </row>
    <row r="363" ht="15" customHeight="1">
      <c r="A363" t="inlineStr">
        <is>
          <t>S 957-2024</t>
        </is>
      </c>
      <c r="B363" t="inlineStr">
        <is>
          <t>samrådsanmälan</t>
        </is>
      </c>
      <c r="C363" t="inlineStr">
        <is>
          <t>Skogsgödsling</t>
        </is>
      </c>
      <c r="D363" s="1" t="n">
        <v>45383</v>
      </c>
      <c r="E363" s="1" t="n">
        <v>46220</v>
      </c>
      <c r="F363" t="inlineStr">
        <is>
          <t>ÖREBRO LÄN</t>
        </is>
      </c>
      <c r="G363" t="inlineStr">
        <is>
          <t>HÄLLEFORS</t>
        </is>
      </c>
      <c r="I363" t="n">
        <v>3.1</v>
      </c>
      <c r="J363" t="n">
        <v>0</v>
      </c>
      <c r="K363" t="n">
        <v>0</v>
      </c>
      <c r="L363" t="n">
        <v>0</v>
      </c>
      <c r="M363" t="n">
        <v>0</v>
      </c>
      <c r="N363" t="n">
        <v>0</v>
      </c>
      <c r="O363" t="n">
        <v>0</v>
      </c>
      <c r="P363" t="n">
        <v>0</v>
      </c>
      <c r="Q363" t="n">
        <v>0</v>
      </c>
      <c r="R363" t="n">
        <v>0</v>
      </c>
      <c r="S363" t="n">
        <v>0</v>
      </c>
      <c r="T363" t="n">
        <v>0</v>
      </c>
      <c r="U363" s="2" t="inlineStr"/>
    </row>
    <row r="364" ht="15" customHeight="1">
      <c r="A364" t="inlineStr">
        <is>
          <t>S 663-2025</t>
        </is>
      </c>
      <c r="B364" t="inlineStr">
        <is>
          <t>samrådsanmälan</t>
        </is>
      </c>
      <c r="C364" t="inlineStr">
        <is>
          <t>Skogsgödsling</t>
        </is>
      </c>
      <c r="D364" s="1" t="n">
        <v>45716</v>
      </c>
      <c r="E364" s="1" t="n">
        <v>46220</v>
      </c>
      <c r="F364" t="inlineStr">
        <is>
          <t>ÖREBRO LÄN</t>
        </is>
      </c>
      <c r="G364" t="inlineStr">
        <is>
          <t>HÄLLEFORS</t>
        </is>
      </c>
      <c r="H364" t="inlineStr">
        <is>
          <t>Bergvik skog väst AB</t>
        </is>
      </c>
      <c r="I364" t="n">
        <v>94.90000000000001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S 847-2025</t>
        </is>
      </c>
      <c r="B365" t="inlineStr">
        <is>
          <t>samrådsanmälan</t>
        </is>
      </c>
      <c r="C365" t="inlineStr">
        <is>
          <t>Annan skogsbruksåtgärd</t>
        </is>
      </c>
      <c r="D365" s="1" t="n">
        <v>45733</v>
      </c>
      <c r="E365" s="1" t="n">
        <v>46220</v>
      </c>
      <c r="F365" t="inlineStr">
        <is>
          <t>ÖREBRO LÄN</t>
        </is>
      </c>
      <c r="G365" t="inlineStr">
        <is>
          <t>HÄLLEFORS</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S 101-2026</t>
        </is>
      </c>
      <c r="B366" t="inlineStr">
        <is>
          <t>samrådsanmälan</t>
        </is>
      </c>
      <c r="C366" t="inlineStr">
        <is>
          <t>Skogsgödsling</t>
        </is>
      </c>
      <c r="D366" s="1" t="n">
        <v>46036</v>
      </c>
      <c r="E366" s="1" t="n">
        <v>46220</v>
      </c>
      <c r="F366" t="inlineStr">
        <is>
          <t>ÖREBRO LÄN</t>
        </is>
      </c>
      <c r="G366" t="inlineStr">
        <is>
          <t>HÄLLEFORS</t>
        </is>
      </c>
      <c r="H366" t="inlineStr">
        <is>
          <t>Bergvik skog väst AB</t>
        </is>
      </c>
      <c r="I366" t="n">
        <v>23.7</v>
      </c>
      <c r="J366" t="n">
        <v>0</v>
      </c>
      <c r="K366" t="n">
        <v>0</v>
      </c>
      <c r="L366" t="n">
        <v>0</v>
      </c>
      <c r="M366" t="n">
        <v>0</v>
      </c>
      <c r="N366" t="n">
        <v>0</v>
      </c>
      <c r="O366" t="n">
        <v>0</v>
      </c>
      <c r="P366" t="n">
        <v>0</v>
      </c>
      <c r="Q366" t="n">
        <v>0</v>
      </c>
      <c r="R366" t="n">
        <v>0</v>
      </c>
      <c r="S366" t="n">
        <v>0</v>
      </c>
      <c r="T366" t="n">
        <v>0</v>
      </c>
      <c r="U366" s="2" t="inlineStr"/>
    </row>
    <row r="367" ht="15" customHeight="1">
      <c r="A367" t="inlineStr">
        <is>
          <t>S 542-2026</t>
        </is>
      </c>
      <c r="B367" t="inlineStr">
        <is>
          <t>samrådsanmälan</t>
        </is>
      </c>
      <c r="C367" t="inlineStr">
        <is>
          <t>Skogsgödsling</t>
        </is>
      </c>
      <c r="D367" s="1" t="n">
        <v>46079</v>
      </c>
      <c r="E367" s="1" t="n">
        <v>46220</v>
      </c>
      <c r="F367" t="inlineStr">
        <is>
          <t>ÖREBRO LÄN</t>
        </is>
      </c>
      <c r="G367" t="inlineStr">
        <is>
          <t>HÄLLEFORS</t>
        </is>
      </c>
      <c r="I367" t="n">
        <v>78.7</v>
      </c>
      <c r="J367" t="n">
        <v>0</v>
      </c>
      <c r="K367" t="n">
        <v>0</v>
      </c>
      <c r="L367" t="n">
        <v>0</v>
      </c>
      <c r="M367" t="n">
        <v>0</v>
      </c>
      <c r="N367" t="n">
        <v>0</v>
      </c>
      <c r="O367" t="n">
        <v>0</v>
      </c>
      <c r="P367" t="n">
        <v>0</v>
      </c>
      <c r="Q367" t="n">
        <v>0</v>
      </c>
      <c r="R367" t="n">
        <v>0</v>
      </c>
      <c r="S367" t="n">
        <v>0</v>
      </c>
      <c r="T367" t="n">
        <v>0</v>
      </c>
      <c r="U367" s="2" t="inlineStr"/>
    </row>
    <row r="368" ht="15" customHeight="1">
      <c r="A368" t="inlineStr">
        <is>
          <t>S 544-2026</t>
        </is>
      </c>
      <c r="B368" t="inlineStr">
        <is>
          <t>samrådsanmälan</t>
        </is>
      </c>
      <c r="C368" t="inlineStr">
        <is>
          <t>Skogsgödsling</t>
        </is>
      </c>
      <c r="D368" s="1" t="n">
        <v>46079</v>
      </c>
      <c r="E368" s="1" t="n">
        <v>46220</v>
      </c>
      <c r="F368" t="inlineStr">
        <is>
          <t>ÖREBRO LÄN</t>
        </is>
      </c>
      <c r="G368" t="inlineStr">
        <is>
          <t>HÄLLEFORS</t>
        </is>
      </c>
      <c r="I368" t="n">
        <v>16.2</v>
      </c>
      <c r="J368" t="n">
        <v>0</v>
      </c>
      <c r="K368" t="n">
        <v>0</v>
      </c>
      <c r="L368" t="n">
        <v>0</v>
      </c>
      <c r="M368" t="n">
        <v>0</v>
      </c>
      <c r="N368" t="n">
        <v>0</v>
      </c>
      <c r="O368" t="n">
        <v>0</v>
      </c>
      <c r="P368" t="n">
        <v>0</v>
      </c>
      <c r="Q368" t="n">
        <v>0</v>
      </c>
      <c r="R368" t="n">
        <v>0</v>
      </c>
      <c r="S368" t="n">
        <v>0</v>
      </c>
      <c r="T368" t="n">
        <v>0</v>
      </c>
      <c r="U368" s="2" t="inlineStr"/>
    </row>
    <row r="369" ht="15" customHeight="1">
      <c r="A369" t="inlineStr">
        <is>
          <t>S 543-2026</t>
        </is>
      </c>
      <c r="B369" t="inlineStr">
        <is>
          <t>samrådsanmälan</t>
        </is>
      </c>
      <c r="C369" t="inlineStr">
        <is>
          <t>Skogsgödsling</t>
        </is>
      </c>
      <c r="D369" s="1" t="n">
        <v>46079</v>
      </c>
      <c r="E369" s="1" t="n">
        <v>46220</v>
      </c>
      <c r="F369" t="inlineStr">
        <is>
          <t>ÖREBRO LÄN</t>
        </is>
      </c>
      <c r="G369" t="inlineStr">
        <is>
          <t>HÄLLEFORS</t>
        </is>
      </c>
      <c r="I369" t="n">
        <v>18.9</v>
      </c>
      <c r="J369" t="n">
        <v>0</v>
      </c>
      <c r="K369" t="n">
        <v>0</v>
      </c>
      <c r="L369" t="n">
        <v>0</v>
      </c>
      <c r="M369" t="n">
        <v>0</v>
      </c>
      <c r="N369" t="n">
        <v>0</v>
      </c>
      <c r="O369" t="n">
        <v>0</v>
      </c>
      <c r="P369" t="n">
        <v>0</v>
      </c>
      <c r="Q369" t="n">
        <v>0</v>
      </c>
      <c r="R369" t="n">
        <v>0</v>
      </c>
      <c r="S369" t="n">
        <v>0</v>
      </c>
      <c r="T369" t="n">
        <v>0</v>
      </c>
      <c r="U369" s="2" t="inlineStr"/>
    </row>
    <row r="370">
      <c r="A370" t="inlineStr">
        <is>
          <t>S 3577-2025</t>
        </is>
      </c>
      <c r="B370" t="inlineStr">
        <is>
          <t>samrådsanmälan</t>
        </is>
      </c>
      <c r="C370" t="inlineStr">
        <is>
          <t>Skogsgödsling</t>
        </is>
      </c>
      <c r="D370" s="1" t="n">
        <v>46014</v>
      </c>
      <c r="E370" s="1" t="n">
        <v>46220</v>
      </c>
      <c r="F370" t="inlineStr">
        <is>
          <t>ÖREBRO LÄN</t>
        </is>
      </c>
      <c r="G370" t="inlineStr">
        <is>
          <t>HÄLLEFORS</t>
        </is>
      </c>
      <c r="H370" t="inlineStr">
        <is>
          <t>Bergvik skog väst AB</t>
        </is>
      </c>
      <c r="I370" t="n">
        <v>68.7</v>
      </c>
      <c r="J370" t="n">
        <v>0</v>
      </c>
      <c r="K370" t="n">
        <v>0</v>
      </c>
      <c r="L370" t="n">
        <v>0</v>
      </c>
      <c r="M370" t="n">
        <v>0</v>
      </c>
      <c r="N370" t="n">
        <v>0</v>
      </c>
      <c r="O370" t="n">
        <v>0</v>
      </c>
      <c r="P370" t="n">
        <v>0</v>
      </c>
      <c r="Q370" t="n">
        <v>0</v>
      </c>
      <c r="R370" t="n">
        <v>0</v>
      </c>
      <c r="S370" t="n">
        <v>0</v>
      </c>
      <c r="T370" t="n">
        <v>0</v>
      </c>
      <c r="U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2026-07-17T01:42:55Z</dcterms:created>
  <dcterms:modified xmlns:dcterms="http://purl.org/dc/terms/" xmlns:xsi="http://www.w3.org/2001/XMLSchema-instance" xsi:type="dcterms:W3CDTF">2026-07-17T01:42:56Z</dcterms:modified>
</cp:coreProperties>
</file>