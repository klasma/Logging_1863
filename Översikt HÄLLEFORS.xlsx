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45625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45625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45625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45625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45625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45625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45625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9464-2023</t>
        </is>
      </c>
      <c r="B9" s="1" t="n">
        <v>44981</v>
      </c>
      <c r="C9" s="1" t="n">
        <v>45625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29.1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Vinterhämpling
Buskskvätta
Fiskgjuse</t>
        </is>
      </c>
      <c r="S9">
        <f>HYPERLINK("https://klasma.github.io/Logging_1863/artfynd/A 9464-2023 artfynd.xlsx", "A 9464-2023")</f>
        <v/>
      </c>
      <c r="T9">
        <f>HYPERLINK("https://klasma.github.io/Logging_1863/kartor/A 9464-2023 karta.png", "A 9464-2023")</f>
        <v/>
      </c>
      <c r="V9">
        <f>HYPERLINK("https://klasma.github.io/Logging_1863/klagomål/A 9464-2023 FSC-klagomål.docx", "A 9464-2023")</f>
        <v/>
      </c>
      <c r="W9">
        <f>HYPERLINK("https://klasma.github.io/Logging_1863/klagomålsmail/A 9464-2023 FSC-klagomål mail.docx", "A 9464-2023")</f>
        <v/>
      </c>
      <c r="X9">
        <f>HYPERLINK("https://klasma.github.io/Logging_1863/tillsyn/A 9464-2023 tillsynsbegäran.docx", "A 9464-2023")</f>
        <v/>
      </c>
      <c r="Y9">
        <f>HYPERLINK("https://klasma.github.io/Logging_1863/tillsynsmail/A 9464-2023 tillsynsbegäran mail.docx", "A 9464-2023")</f>
        <v/>
      </c>
      <c r="Z9">
        <f>HYPERLINK("https://klasma.github.io/Logging_1863/fåglar/A 9464-2023 prioriterade fågelarter.docx", "A 9464-2023")</f>
        <v/>
      </c>
    </row>
    <row r="10" ht="15" customHeight="1">
      <c r="A10" t="inlineStr">
        <is>
          <t>A 23892-2024</t>
        </is>
      </c>
      <c r="B10" s="1" t="n">
        <v>45455</v>
      </c>
      <c r="C10" s="1" t="n">
        <v>45625</v>
      </c>
      <c r="D10" t="inlineStr">
        <is>
          <t>ÖREBRO LÄN</t>
        </is>
      </c>
      <c r="E10" t="inlineStr">
        <is>
          <t>HÄLLEFORS</t>
        </is>
      </c>
      <c r="G10" t="n">
        <v>9.6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Blomkålssvamp
Nästlav</t>
        </is>
      </c>
      <c r="S10">
        <f>HYPERLINK("https://klasma.github.io/Logging_1863/artfynd/A 23892-2024 artfynd.xlsx", "A 23892-2024")</f>
        <v/>
      </c>
      <c r="T10">
        <f>HYPERLINK("https://klasma.github.io/Logging_1863/kartor/A 23892-2024 karta.png", "A 23892-2024")</f>
        <v/>
      </c>
      <c r="U10">
        <f>HYPERLINK("https://klasma.github.io/Logging_1863/knärot/A 23892-2024 karta knärot.png", "A 23892-2024")</f>
        <v/>
      </c>
      <c r="V10">
        <f>HYPERLINK("https://klasma.github.io/Logging_1863/klagomål/A 23892-2024 FSC-klagomål.docx", "A 23892-2024")</f>
        <v/>
      </c>
      <c r="W10">
        <f>HYPERLINK("https://klasma.github.io/Logging_1863/klagomålsmail/A 23892-2024 FSC-klagomål mail.docx", "A 23892-2024")</f>
        <v/>
      </c>
      <c r="X10">
        <f>HYPERLINK("https://klasma.github.io/Logging_1863/tillsyn/A 23892-2024 tillsynsbegäran.docx", "A 23892-2024")</f>
        <v/>
      </c>
      <c r="Y10">
        <f>HYPERLINK("https://klasma.github.io/Logging_1863/tillsynsmail/A 23892-2024 tillsynsbegäran mail.docx", "A 23892-2024")</f>
        <v/>
      </c>
    </row>
    <row r="11" ht="15" customHeight="1">
      <c r="A11" t="inlineStr">
        <is>
          <t>A 58760-2020</t>
        </is>
      </c>
      <c r="B11" s="1" t="n">
        <v>44146</v>
      </c>
      <c r="C11" s="1" t="n">
        <v>45625</v>
      </c>
      <c r="D11" t="inlineStr">
        <is>
          <t>ÖREBRO LÄN</t>
        </is>
      </c>
      <c r="E11" t="inlineStr">
        <is>
          <t>HÄLLEFORS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Stor revmossa</t>
        </is>
      </c>
      <c r="S11">
        <f>HYPERLINK("https://klasma.github.io/Logging_1863/artfynd/A 58760-2020 artfynd.xlsx", "A 58760-2020")</f>
        <v/>
      </c>
      <c r="T11">
        <f>HYPERLINK("https://klasma.github.io/Logging_1863/kartor/A 58760-2020 karta.png", "A 58760-2020")</f>
        <v/>
      </c>
      <c r="V11">
        <f>HYPERLINK("https://klasma.github.io/Logging_1863/klagomål/A 58760-2020 FSC-klagomål.docx", "A 58760-2020")</f>
        <v/>
      </c>
      <c r="W11">
        <f>HYPERLINK("https://klasma.github.io/Logging_1863/klagomålsmail/A 58760-2020 FSC-klagomål mail.docx", "A 58760-2020")</f>
        <v/>
      </c>
      <c r="X11">
        <f>HYPERLINK("https://klasma.github.io/Logging_1863/tillsyn/A 58760-2020 tillsynsbegäran.docx", "A 58760-2020")</f>
        <v/>
      </c>
      <c r="Y11">
        <f>HYPERLINK("https://klasma.github.io/Logging_1863/tillsynsmail/A 58760-2020 tillsynsbegäran mail.docx", "A 58760-2020")</f>
        <v/>
      </c>
    </row>
    <row r="12" ht="15" customHeight="1">
      <c r="A12" t="inlineStr">
        <is>
          <t>A 5360-2022</t>
        </is>
      </c>
      <c r="B12" s="1" t="n">
        <v>44594</v>
      </c>
      <c r="C12" s="1" t="n">
        <v>45625</v>
      </c>
      <c r="D12" t="inlineStr">
        <is>
          <t>ÖREBRO LÄN</t>
        </is>
      </c>
      <c r="E12" t="inlineStr">
        <is>
          <t>HÄLLEFORS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Mörk husmossa
Smal svampklubba</t>
        </is>
      </c>
      <c r="S12">
        <f>HYPERLINK("https://klasma.github.io/Logging_1863/artfynd/A 5360-2022 artfynd.xlsx", "A 5360-2022")</f>
        <v/>
      </c>
      <c r="T12">
        <f>HYPERLINK("https://klasma.github.io/Logging_1863/kartor/A 5360-2022 karta.png", "A 5360-2022")</f>
        <v/>
      </c>
      <c r="V12">
        <f>HYPERLINK("https://klasma.github.io/Logging_1863/klagomål/A 5360-2022 FSC-klagomål.docx", "A 5360-2022")</f>
        <v/>
      </c>
      <c r="W12">
        <f>HYPERLINK("https://klasma.github.io/Logging_1863/klagomålsmail/A 5360-2022 FSC-klagomål mail.docx", "A 5360-2022")</f>
        <v/>
      </c>
      <c r="X12">
        <f>HYPERLINK("https://klasma.github.io/Logging_1863/tillsyn/A 5360-2022 tillsynsbegäran.docx", "A 5360-2022")</f>
        <v/>
      </c>
      <c r="Y12">
        <f>HYPERLINK("https://klasma.github.io/Logging_1863/tillsynsmail/A 5360-2022 tillsynsbegäran mail.docx", "A 5360-2022")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45625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45625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45625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45625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45625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45625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45625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45625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45625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45625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45625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45625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45625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45625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45625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45625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44781-2024</t>
        </is>
      </c>
      <c r="B29" s="1" t="n">
        <v>45574</v>
      </c>
      <c r="C29" s="1" t="n">
        <v>45625</v>
      </c>
      <c r="D29" t="inlineStr">
        <is>
          <t>ÖREBRO LÄN</t>
        </is>
      </c>
      <c r="E29" t="inlineStr">
        <is>
          <t>HÄLLEFORS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HYPERLINK("https://klasma.github.io/Logging_1863/artfynd/A 44781-2024 artfynd.xlsx", "A 44781-2024")</f>
        <v/>
      </c>
      <c r="T29">
        <f>HYPERLINK("https://klasma.github.io/Logging_1863/kartor/A 44781-2024 karta.png", "A 44781-2024")</f>
        <v/>
      </c>
      <c r="V29">
        <f>HYPERLINK("https://klasma.github.io/Logging_1863/klagomål/A 44781-2024 FSC-klagomål.docx", "A 44781-2024")</f>
        <v/>
      </c>
      <c r="W29">
        <f>HYPERLINK("https://klasma.github.io/Logging_1863/klagomålsmail/A 44781-2024 FSC-klagomål mail.docx", "A 44781-2024")</f>
        <v/>
      </c>
      <c r="X29">
        <f>HYPERLINK("https://klasma.github.io/Logging_1863/tillsyn/A 44781-2024 tillsynsbegäran.docx", "A 44781-2024")</f>
        <v/>
      </c>
      <c r="Y29">
        <f>HYPERLINK("https://klasma.github.io/Logging_1863/tillsynsmail/A 44781-2024 tillsynsbegäran mail.docx", "A 44781-2024")</f>
        <v/>
      </c>
    </row>
    <row r="30" ht="15" customHeight="1">
      <c r="A30" t="inlineStr">
        <is>
          <t>A 55770-2024</t>
        </is>
      </c>
      <c r="B30" s="1" t="n">
        <v>45623</v>
      </c>
      <c r="C30" s="1" t="n">
        <v>45625</v>
      </c>
      <c r="D30" t="inlineStr">
        <is>
          <t>ÖREBRO LÄN</t>
        </is>
      </c>
      <c r="E30" t="inlineStr">
        <is>
          <t>HÄLLEFORS</t>
        </is>
      </c>
      <c r="F30" t="inlineStr">
        <is>
          <t>Sveaskog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HYPERLINK("https://klasma.github.io/Logging_1863/artfynd/A 55770-2024 artfynd.xlsx", "A 55770-2024")</f>
        <v/>
      </c>
      <c r="T30">
        <f>HYPERLINK("https://klasma.github.io/Logging_1863/kartor/A 55770-2024 karta.png", "A 55770-2024")</f>
        <v/>
      </c>
      <c r="V30">
        <f>HYPERLINK("https://klasma.github.io/Logging_1863/klagomål/A 55770-2024 FSC-klagomål.docx", "A 55770-2024")</f>
        <v/>
      </c>
      <c r="W30">
        <f>HYPERLINK("https://klasma.github.io/Logging_1863/klagomålsmail/A 55770-2024 FSC-klagomål mail.docx", "A 55770-2024")</f>
        <v/>
      </c>
      <c r="X30">
        <f>HYPERLINK("https://klasma.github.io/Logging_1863/tillsyn/A 55770-2024 tillsynsbegäran.docx", "A 55770-2024")</f>
        <v/>
      </c>
      <c r="Y30">
        <f>HYPERLINK("https://klasma.github.io/Logging_1863/tillsynsmail/A 55770-2024 tillsynsbegäran mail.docx", "A 55770-2024")</f>
        <v/>
      </c>
    </row>
    <row r="31" ht="15" customHeight="1">
      <c r="A31" t="inlineStr">
        <is>
          <t>A 55749-2024</t>
        </is>
      </c>
      <c r="B31" s="1" t="n">
        <v>45623</v>
      </c>
      <c r="C31" s="1" t="n">
        <v>45625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HYPERLINK("https://klasma.github.io/Logging_1863/artfynd/A 55749-2024 artfynd.xlsx", "A 55749-2024")</f>
        <v/>
      </c>
      <c r="T31">
        <f>HYPERLINK("https://klasma.github.io/Logging_1863/kartor/A 55749-2024 karta.png", "A 55749-2024")</f>
        <v/>
      </c>
      <c r="V31">
        <f>HYPERLINK("https://klasma.github.io/Logging_1863/klagomål/A 55749-2024 FSC-klagomål.docx", "A 55749-2024")</f>
        <v/>
      </c>
      <c r="W31">
        <f>HYPERLINK("https://klasma.github.io/Logging_1863/klagomålsmail/A 55749-2024 FSC-klagomål mail.docx", "A 55749-2024")</f>
        <v/>
      </c>
      <c r="X31">
        <f>HYPERLINK("https://klasma.github.io/Logging_1863/tillsyn/A 55749-2024 tillsynsbegäran.docx", "A 55749-2024")</f>
        <v/>
      </c>
      <c r="Y31">
        <f>HYPERLINK("https://klasma.github.io/Logging_1863/tillsynsmail/A 55749-2024 tillsynsbegäran mail.docx", "A 55749-2024")</f>
        <v/>
      </c>
    </row>
    <row r="32" ht="15" customHeight="1">
      <c r="A32" t="inlineStr">
        <is>
          <t>A 21399-2019</t>
        </is>
      </c>
      <c r="B32" s="1" t="n">
        <v>43580</v>
      </c>
      <c r="C32" s="1" t="n">
        <v>45625</v>
      </c>
      <c r="D32" t="inlineStr">
        <is>
          <t>ÖREBRO LÄN</t>
        </is>
      </c>
      <c r="E32" t="inlineStr">
        <is>
          <t>HÄLLEFORS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22348-2019</t>
        </is>
      </c>
      <c r="B33" s="1" t="n">
        <v>43587</v>
      </c>
      <c r="C33" s="1" t="n">
        <v>45625</v>
      </c>
      <c r="D33" t="inlineStr">
        <is>
          <t>ÖREBRO LÄN</t>
        </is>
      </c>
      <c r="E33" t="inlineStr">
        <is>
          <t>HÄLLEFORS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24477-2019</t>
        </is>
      </c>
      <c r="B34" s="1" t="n">
        <v>43600</v>
      </c>
      <c r="C34" s="1" t="n">
        <v>45625</v>
      </c>
      <c r="D34" t="inlineStr">
        <is>
          <t>ÖREBRO LÄN</t>
        </is>
      </c>
      <c r="E34" t="inlineStr">
        <is>
          <t>HÄLLEFORS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24459-2019</t>
        </is>
      </c>
      <c r="B35" s="1" t="n">
        <v>43600</v>
      </c>
      <c r="C35" s="1" t="n">
        <v>45625</v>
      </c>
      <c r="D35" t="inlineStr">
        <is>
          <t>ÖREBRO LÄN</t>
        </is>
      </c>
      <c r="E35" t="inlineStr">
        <is>
          <t>HÄLLEFORS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30719-2019</t>
        </is>
      </c>
      <c r="B36" s="1" t="n">
        <v>43636</v>
      </c>
      <c r="C36" s="1" t="n">
        <v>45625</v>
      </c>
      <c r="D36" t="inlineStr">
        <is>
          <t>ÖREBRO LÄN</t>
        </is>
      </c>
      <c r="E36" t="inlineStr">
        <is>
          <t>HÄLLEFORS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33102-2019</t>
        </is>
      </c>
      <c r="B37" s="1" t="n">
        <v>43649</v>
      </c>
      <c r="C37" s="1" t="n">
        <v>45625</v>
      </c>
      <c r="D37" t="inlineStr">
        <is>
          <t>ÖREBRO LÄN</t>
        </is>
      </c>
      <c r="E37" t="inlineStr">
        <is>
          <t>HÄLLEFORS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35741-2019</t>
        </is>
      </c>
      <c r="B38" s="1" t="n">
        <v>43665</v>
      </c>
      <c r="C38" s="1" t="n">
        <v>45625</v>
      </c>
      <c r="D38" t="inlineStr">
        <is>
          <t>ÖREBRO LÄN</t>
        </is>
      </c>
      <c r="E38" t="inlineStr">
        <is>
          <t>HÄLLEFORS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35743-2019</t>
        </is>
      </c>
      <c r="B39" s="1" t="n">
        <v>43665</v>
      </c>
      <c r="C39" s="1" t="n">
        <v>45625</v>
      </c>
      <c r="D39" t="inlineStr">
        <is>
          <t>ÖREBRO LÄN</t>
        </is>
      </c>
      <c r="E39" t="inlineStr">
        <is>
          <t>HÄLLEFORS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35742-2019</t>
        </is>
      </c>
      <c r="B40" s="1" t="n">
        <v>43665</v>
      </c>
      <c r="C40" s="1" t="n">
        <v>45625</v>
      </c>
      <c r="D40" t="inlineStr">
        <is>
          <t>ÖREBRO LÄN</t>
        </is>
      </c>
      <c r="E40" t="inlineStr">
        <is>
          <t>HÄLLEFORS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35740-2019</t>
        </is>
      </c>
      <c r="B41" s="1" t="n">
        <v>43665</v>
      </c>
      <c r="C41" s="1" t="n">
        <v>45625</v>
      </c>
      <c r="D41" t="inlineStr">
        <is>
          <t>ÖREBRO LÄN</t>
        </is>
      </c>
      <c r="E41" t="inlineStr">
        <is>
          <t>HÄLLEFORS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37325-2019</t>
        </is>
      </c>
      <c r="B42" s="1" t="n">
        <v>43678</v>
      </c>
      <c r="C42" s="1" t="n">
        <v>45625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39501-2019</t>
        </is>
      </c>
      <c r="B43" s="1" t="n">
        <v>43686</v>
      </c>
      <c r="C43" s="1" t="n">
        <v>45625</v>
      </c>
      <c r="D43" t="inlineStr">
        <is>
          <t>ÖREBRO LÄN</t>
        </is>
      </c>
      <c r="E43" t="inlineStr">
        <is>
          <t>HÄLLEFORS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38819-2019</t>
        </is>
      </c>
      <c r="B44" s="1" t="n">
        <v>43689</v>
      </c>
      <c r="C44" s="1" t="n">
        <v>45625</v>
      </c>
      <c r="D44" t="inlineStr">
        <is>
          <t>ÖREBRO LÄN</t>
        </is>
      </c>
      <c r="E44" t="inlineStr">
        <is>
          <t>HÄLLEFORS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40171-2019</t>
        </is>
      </c>
      <c r="B45" s="1" t="n">
        <v>43693</v>
      </c>
      <c r="C45" s="1" t="n">
        <v>45625</v>
      </c>
      <c r="D45" t="inlineStr">
        <is>
          <t>ÖREBRO LÄN</t>
        </is>
      </c>
      <c r="E45" t="inlineStr">
        <is>
          <t>HÄLLEFORS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40311-2019</t>
        </is>
      </c>
      <c r="B46" s="1" t="n">
        <v>43696</v>
      </c>
      <c r="C46" s="1" t="n">
        <v>45625</v>
      </c>
      <c r="D46" t="inlineStr">
        <is>
          <t>ÖREBRO LÄN</t>
        </is>
      </c>
      <c r="E46" t="inlineStr">
        <is>
          <t>HÄLLEFORS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43514-2019</t>
        </is>
      </c>
      <c r="B47" s="1" t="n">
        <v>43706</v>
      </c>
      <c r="C47" s="1" t="n">
        <v>45625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45768-2019</t>
        </is>
      </c>
      <c r="B48" s="1" t="n">
        <v>43712</v>
      </c>
      <c r="C48" s="1" t="n">
        <v>45625</v>
      </c>
      <c r="D48" t="inlineStr">
        <is>
          <t>ÖREBRO LÄN</t>
        </is>
      </c>
      <c r="E48" t="inlineStr">
        <is>
          <t>HÄLLEFORS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47219-2019</t>
        </is>
      </c>
      <c r="B49" s="1" t="n">
        <v>43721</v>
      </c>
      <c r="C49" s="1" t="n">
        <v>45625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47175-2019</t>
        </is>
      </c>
      <c r="B50" s="1" t="n">
        <v>43721</v>
      </c>
      <c r="C50" s="1" t="n">
        <v>45625</v>
      </c>
      <c r="D50" t="inlineStr">
        <is>
          <t>ÖREBRO LÄN</t>
        </is>
      </c>
      <c r="E50" t="inlineStr">
        <is>
          <t>HÄLLEFORS</t>
        </is>
      </c>
      <c r="F50" t="inlineStr">
        <is>
          <t>Sveaskog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48224-2019</t>
        </is>
      </c>
      <c r="B51" s="1" t="n">
        <v>43726</v>
      </c>
      <c r="C51" s="1" t="n">
        <v>45625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48206-2019</t>
        </is>
      </c>
      <c r="B52" s="1" t="n">
        <v>43726</v>
      </c>
      <c r="C52" s="1" t="n">
        <v>45625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51442-2019</t>
        </is>
      </c>
      <c r="B53" s="1" t="n">
        <v>43732</v>
      </c>
      <c r="C53" s="1" t="n">
        <v>45625</v>
      </c>
      <c r="D53" t="inlineStr">
        <is>
          <t>ÖREBRO LÄN</t>
        </is>
      </c>
      <c r="E53" t="inlineStr">
        <is>
          <t>HÄLLEFORS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52329-2019</t>
        </is>
      </c>
      <c r="B54" s="1" t="n">
        <v>43745</v>
      </c>
      <c r="C54" s="1" t="n">
        <v>45625</v>
      </c>
      <c r="D54" t="inlineStr">
        <is>
          <t>ÖREBRO LÄN</t>
        </is>
      </c>
      <c r="E54" t="inlineStr">
        <is>
          <t>HÄLLEFORS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52452-2019</t>
        </is>
      </c>
      <c r="B55" s="1" t="n">
        <v>43745</v>
      </c>
      <c r="C55" s="1" t="n">
        <v>45625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52411-2019</t>
        </is>
      </c>
      <c r="B56" s="1" t="n">
        <v>43745</v>
      </c>
      <c r="C56" s="1" t="n">
        <v>45625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52711-2019</t>
        </is>
      </c>
      <c r="B57" s="1" t="n">
        <v>43746</v>
      </c>
      <c r="C57" s="1" t="n">
        <v>45625</v>
      </c>
      <c r="D57" t="inlineStr">
        <is>
          <t>ÖREBRO LÄN</t>
        </is>
      </c>
      <c r="E57" t="inlineStr">
        <is>
          <t>HÄLLEFORS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53031-2019</t>
        </is>
      </c>
      <c r="B58" s="1" t="n">
        <v>43747</v>
      </c>
      <c r="C58" s="1" t="n">
        <v>45625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53062-2019</t>
        </is>
      </c>
      <c r="B59" s="1" t="n">
        <v>43747</v>
      </c>
      <c r="C59" s="1" t="n">
        <v>45625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53029-2019</t>
        </is>
      </c>
      <c r="B60" s="1" t="n">
        <v>43747</v>
      </c>
      <c r="C60" s="1" t="n">
        <v>45625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53388-2019</t>
        </is>
      </c>
      <c r="B61" s="1" t="n">
        <v>43748</v>
      </c>
      <c r="C61" s="1" t="n">
        <v>45625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53400-2019</t>
        </is>
      </c>
      <c r="B62" s="1" t="n">
        <v>43748</v>
      </c>
      <c r="C62" s="1" t="n">
        <v>45625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53965-2019</t>
        </is>
      </c>
      <c r="B63" s="1" t="n">
        <v>43752</v>
      </c>
      <c r="C63" s="1" t="n">
        <v>45625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54433-2019</t>
        </is>
      </c>
      <c r="B64" s="1" t="n">
        <v>43754</v>
      </c>
      <c r="C64" s="1" t="n">
        <v>45625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54977-2019</t>
        </is>
      </c>
      <c r="B65" s="1" t="n">
        <v>43755</v>
      </c>
      <c r="C65" s="1" t="n">
        <v>45625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55129-2019</t>
        </is>
      </c>
      <c r="B66" s="1" t="n">
        <v>43756</v>
      </c>
      <c r="C66" s="1" t="n">
        <v>45625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55150-2019</t>
        </is>
      </c>
      <c r="B67" s="1" t="n">
        <v>43756</v>
      </c>
      <c r="C67" s="1" t="n">
        <v>45625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57363-2019</t>
        </is>
      </c>
      <c r="B68" s="1" t="n">
        <v>43767</v>
      </c>
      <c r="C68" s="1" t="n">
        <v>45625</v>
      </c>
      <c r="D68" t="inlineStr">
        <is>
          <t>ÖREBRO LÄN</t>
        </is>
      </c>
      <c r="E68" t="inlineStr">
        <is>
          <t>HÄLLEFORS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57443-2019</t>
        </is>
      </c>
      <c r="B69" s="1" t="n">
        <v>43767</v>
      </c>
      <c r="C69" s="1" t="n">
        <v>45625</v>
      </c>
      <c r="D69" t="inlineStr">
        <is>
          <t>ÖREBRO LÄN</t>
        </is>
      </c>
      <c r="E69" t="inlineStr">
        <is>
          <t>HÄLLEFORS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57398-2019</t>
        </is>
      </c>
      <c r="B70" s="1" t="n">
        <v>43767</v>
      </c>
      <c r="C70" s="1" t="n">
        <v>45625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58100-2019</t>
        </is>
      </c>
      <c r="B71" s="1" t="n">
        <v>43769</v>
      </c>
      <c r="C71" s="1" t="n">
        <v>45625</v>
      </c>
      <c r="D71" t="inlineStr">
        <is>
          <t>ÖREBRO LÄN</t>
        </is>
      </c>
      <c r="E71" t="inlineStr">
        <is>
          <t>HÄLLEFORS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58317-2019</t>
        </is>
      </c>
      <c r="B72" s="1" t="n">
        <v>43770</v>
      </c>
      <c r="C72" s="1" t="n">
        <v>45625</v>
      </c>
      <c r="D72" t="inlineStr">
        <is>
          <t>ÖREBRO LÄN</t>
        </is>
      </c>
      <c r="E72" t="inlineStr">
        <is>
          <t>HÄLLEFORS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65073-2019</t>
        </is>
      </c>
      <c r="B73" s="1" t="n">
        <v>43802</v>
      </c>
      <c r="C73" s="1" t="n">
        <v>45625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65758-2019</t>
        </is>
      </c>
      <c r="B74" s="1" t="n">
        <v>43804</v>
      </c>
      <c r="C74" s="1" t="n">
        <v>45625</v>
      </c>
      <c r="D74" t="inlineStr">
        <is>
          <t>ÖREBRO LÄN</t>
        </is>
      </c>
      <c r="E74" t="inlineStr">
        <is>
          <t>HÄLLEFORS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68534-2019</t>
        </is>
      </c>
      <c r="B75" s="1" t="n">
        <v>43818</v>
      </c>
      <c r="C75" s="1" t="n">
        <v>45625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55-2020</t>
        </is>
      </c>
      <c r="B76" s="1" t="n">
        <v>43832</v>
      </c>
      <c r="C76" s="1" t="n">
        <v>45625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5089-2020</t>
        </is>
      </c>
      <c r="B77" s="1" t="n">
        <v>43859</v>
      </c>
      <c r="C77" s="1" t="n">
        <v>45625</v>
      </c>
      <c r="D77" t="inlineStr">
        <is>
          <t>ÖREBRO LÄN</t>
        </is>
      </c>
      <c r="E77" t="inlineStr">
        <is>
          <t>HÄLLEFORS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6196-2020</t>
        </is>
      </c>
      <c r="B78" s="1" t="n">
        <v>43865</v>
      </c>
      <c r="C78" s="1" t="n">
        <v>45625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6914-2020</t>
        </is>
      </c>
      <c r="B79" s="1" t="n">
        <v>43868</v>
      </c>
      <c r="C79" s="1" t="n">
        <v>45625</v>
      </c>
      <c r="D79" t="inlineStr">
        <is>
          <t>ÖREBRO LÄN</t>
        </is>
      </c>
      <c r="E79" t="inlineStr">
        <is>
          <t>HÄLLEFORS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9959-2020</t>
        </is>
      </c>
      <c r="B80" s="1" t="n">
        <v>43882</v>
      </c>
      <c r="C80" s="1" t="n">
        <v>45625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11308-2020</t>
        </is>
      </c>
      <c r="B81" s="1" t="n">
        <v>43892</v>
      </c>
      <c r="C81" s="1" t="n">
        <v>45625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11235-2020</t>
        </is>
      </c>
      <c r="B82" s="1" t="n">
        <v>43892</v>
      </c>
      <c r="C82" s="1" t="n">
        <v>45625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12170-2020</t>
        </is>
      </c>
      <c r="B83" s="1" t="n">
        <v>43895</v>
      </c>
      <c r="C83" s="1" t="n">
        <v>45625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16829-2020</t>
        </is>
      </c>
      <c r="B84" s="1" t="n">
        <v>43921</v>
      </c>
      <c r="C84" s="1" t="n">
        <v>45625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18000-2020</t>
        </is>
      </c>
      <c r="B85" s="1" t="n">
        <v>43927</v>
      </c>
      <c r="C85" s="1" t="n">
        <v>45625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18669-2020</t>
        </is>
      </c>
      <c r="B86" s="1" t="n">
        <v>43930</v>
      </c>
      <c r="C86" s="1" t="n">
        <v>45625</v>
      </c>
      <c r="D86" t="inlineStr">
        <is>
          <t>ÖREBRO LÄN</t>
        </is>
      </c>
      <c r="E86" t="inlineStr">
        <is>
          <t>HÄLLEFORS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18672-2020</t>
        </is>
      </c>
      <c r="B87" s="1" t="n">
        <v>43930</v>
      </c>
      <c r="C87" s="1" t="n">
        <v>45625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20719-2020</t>
        </is>
      </c>
      <c r="B88" s="1" t="n">
        <v>43949</v>
      </c>
      <c r="C88" s="1" t="n">
        <v>45625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20718-2020</t>
        </is>
      </c>
      <c r="B89" s="1" t="n">
        <v>43949</v>
      </c>
      <c r="C89" s="1" t="n">
        <v>45625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21177-2020</t>
        </is>
      </c>
      <c r="B90" s="1" t="n">
        <v>43951</v>
      </c>
      <c r="C90" s="1" t="n">
        <v>45625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21750-2020</t>
        </is>
      </c>
      <c r="B91" s="1" t="n">
        <v>43957</v>
      </c>
      <c r="C91" s="1" t="n">
        <v>45625</v>
      </c>
      <c r="D91" t="inlineStr">
        <is>
          <t>ÖREBRO LÄN</t>
        </is>
      </c>
      <c r="E91" t="inlineStr">
        <is>
          <t>HÄLLEFORS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21859-2020</t>
        </is>
      </c>
      <c r="B92" s="1" t="n">
        <v>43958</v>
      </c>
      <c r="C92" s="1" t="n">
        <v>45625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22729-2020</t>
        </is>
      </c>
      <c r="B93" s="1" t="n">
        <v>43962</v>
      </c>
      <c r="C93" s="1" t="n">
        <v>45625</v>
      </c>
      <c r="D93" t="inlineStr">
        <is>
          <t>ÖREBRO LÄN</t>
        </is>
      </c>
      <c r="E93" t="inlineStr">
        <is>
          <t>HÄLLEFORS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24483-2020</t>
        </is>
      </c>
      <c r="B94" s="1" t="n">
        <v>43977</v>
      </c>
      <c r="C94" s="1" t="n">
        <v>45625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27171-2020</t>
        </is>
      </c>
      <c r="B95" s="1" t="n">
        <v>43991</v>
      </c>
      <c r="C95" s="1" t="n">
        <v>45625</v>
      </c>
      <c r="D95" t="inlineStr">
        <is>
          <t>ÖREBRO LÄN</t>
        </is>
      </c>
      <c r="E95" t="inlineStr">
        <is>
          <t>HÄLLEFORS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27173-2020</t>
        </is>
      </c>
      <c r="B96" s="1" t="n">
        <v>43991</v>
      </c>
      <c r="C96" s="1" t="n">
        <v>45625</v>
      </c>
      <c r="D96" t="inlineStr">
        <is>
          <t>ÖREBRO LÄN</t>
        </is>
      </c>
      <c r="E96" t="inlineStr">
        <is>
          <t>HÄLLEFORS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28373-2020</t>
        </is>
      </c>
      <c r="B97" s="1" t="n">
        <v>43998</v>
      </c>
      <c r="C97" s="1" t="n">
        <v>45625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32649-2020</t>
        </is>
      </c>
      <c r="B98" s="1" t="n">
        <v>44018</v>
      </c>
      <c r="C98" s="1" t="n">
        <v>45625</v>
      </c>
      <c r="D98" t="inlineStr">
        <is>
          <t>ÖREBRO LÄN</t>
        </is>
      </c>
      <c r="E98" t="inlineStr">
        <is>
          <t>HÄLLEFORS</t>
        </is>
      </c>
      <c r="F98" t="inlineStr">
        <is>
          <t>Kyrkan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34415-2020</t>
        </is>
      </c>
      <c r="B99" s="1" t="n">
        <v>44032</v>
      </c>
      <c r="C99" s="1" t="n">
        <v>45625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35825-2020</t>
        </is>
      </c>
      <c r="B100" s="1" t="n">
        <v>44047</v>
      </c>
      <c r="C100" s="1" t="n">
        <v>45625</v>
      </c>
      <c r="D100" t="inlineStr">
        <is>
          <t>ÖREBRO LÄN</t>
        </is>
      </c>
      <c r="E100" t="inlineStr">
        <is>
          <t>HÄLLEFORS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39505-2020</t>
        </is>
      </c>
      <c r="B101" s="1" t="n">
        <v>44064</v>
      </c>
      <c r="C101" s="1" t="n">
        <v>45625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39512-2020</t>
        </is>
      </c>
      <c r="B102" s="1" t="n">
        <v>44064</v>
      </c>
      <c r="C102" s="1" t="n">
        <v>45625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39557-2020</t>
        </is>
      </c>
      <c r="B103" s="1" t="n">
        <v>44064</v>
      </c>
      <c r="C103" s="1" t="n">
        <v>45625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39484-2020</t>
        </is>
      </c>
      <c r="B104" s="1" t="n">
        <v>44064</v>
      </c>
      <c r="C104" s="1" t="n">
        <v>45625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39499-2020</t>
        </is>
      </c>
      <c r="B105" s="1" t="n">
        <v>44064</v>
      </c>
      <c r="C105" s="1" t="n">
        <v>45625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39607-2020</t>
        </is>
      </c>
      <c r="B106" s="1" t="n">
        <v>44064</v>
      </c>
      <c r="C106" s="1" t="n">
        <v>45625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39572-2020</t>
        </is>
      </c>
      <c r="B107" s="1" t="n">
        <v>44064</v>
      </c>
      <c r="C107" s="1" t="n">
        <v>45625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39603-2020</t>
        </is>
      </c>
      <c r="B108" s="1" t="n">
        <v>44064</v>
      </c>
      <c r="C108" s="1" t="n">
        <v>45625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39613-2020</t>
        </is>
      </c>
      <c r="B109" s="1" t="n">
        <v>44064</v>
      </c>
      <c r="C109" s="1" t="n">
        <v>45625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39564-2020</t>
        </is>
      </c>
      <c r="B110" s="1" t="n">
        <v>44064</v>
      </c>
      <c r="C110" s="1" t="n">
        <v>45625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39914-2020</t>
        </is>
      </c>
      <c r="B111" s="1" t="n">
        <v>44067</v>
      </c>
      <c r="C111" s="1" t="n">
        <v>45625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39826-2020</t>
        </is>
      </c>
      <c r="B112" s="1" t="n">
        <v>44067</v>
      </c>
      <c r="C112" s="1" t="n">
        <v>45625</v>
      </c>
      <c r="D112" t="inlineStr">
        <is>
          <t>ÖREBRO LÄN</t>
        </is>
      </c>
      <c r="E112" t="inlineStr">
        <is>
          <t>HÄLLEFORS</t>
        </is>
      </c>
      <c r="F112" t="inlineStr">
        <is>
          <t>Sveaskog</t>
        </is>
      </c>
      <c r="G112" t="n">
        <v>12.1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39921-2020</t>
        </is>
      </c>
      <c r="B113" s="1" t="n">
        <v>44067</v>
      </c>
      <c r="C113" s="1" t="n">
        <v>45625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40467-2020</t>
        </is>
      </c>
      <c r="B114" s="1" t="n">
        <v>44069</v>
      </c>
      <c r="C114" s="1" t="n">
        <v>45625</v>
      </c>
      <c r="D114" t="inlineStr">
        <is>
          <t>ÖREBRO LÄN</t>
        </is>
      </c>
      <c r="E114" t="inlineStr">
        <is>
          <t>HÄLLEFORS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40935-2020</t>
        </is>
      </c>
      <c r="B115" s="1" t="n">
        <v>44070</v>
      </c>
      <c r="C115" s="1" t="n">
        <v>45625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42613-2020</t>
        </is>
      </c>
      <c r="B116" s="1" t="n">
        <v>44077</v>
      </c>
      <c r="C116" s="1" t="n">
        <v>45625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44924-2020</t>
        </is>
      </c>
      <c r="B117" s="1" t="n">
        <v>44083</v>
      </c>
      <c r="C117" s="1" t="n">
        <v>45625</v>
      </c>
      <c r="D117" t="inlineStr">
        <is>
          <t>ÖREBRO LÄN</t>
        </is>
      </c>
      <c r="E117" t="inlineStr">
        <is>
          <t>HÄLLEFORS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44556-2020</t>
        </is>
      </c>
      <c r="B118" s="1" t="n">
        <v>44085</v>
      </c>
      <c r="C118" s="1" t="n">
        <v>45625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45459-2020</t>
        </is>
      </c>
      <c r="B119" s="1" t="n">
        <v>44089</v>
      </c>
      <c r="C119" s="1" t="n">
        <v>45625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47609-2020</t>
        </is>
      </c>
      <c r="B120" s="1" t="n">
        <v>44098</v>
      </c>
      <c r="C120" s="1" t="n">
        <v>45625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47702-2020</t>
        </is>
      </c>
      <c r="B121" s="1" t="n">
        <v>44098</v>
      </c>
      <c r="C121" s="1" t="n">
        <v>45625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47614-2020</t>
        </is>
      </c>
      <c r="B122" s="1" t="n">
        <v>44098</v>
      </c>
      <c r="C122" s="1" t="n">
        <v>45625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47731-2020</t>
        </is>
      </c>
      <c r="B123" s="1" t="n">
        <v>44098</v>
      </c>
      <c r="C123" s="1" t="n">
        <v>45625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48127-2020</t>
        </is>
      </c>
      <c r="B124" s="1" t="n">
        <v>44102</v>
      </c>
      <c r="C124" s="1" t="n">
        <v>45625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48316-2020</t>
        </is>
      </c>
      <c r="B125" s="1" t="n">
        <v>44102</v>
      </c>
      <c r="C125" s="1" t="n">
        <v>45625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49640-2020</t>
        </is>
      </c>
      <c r="B126" s="1" t="n">
        <v>44106</v>
      </c>
      <c r="C126" s="1" t="n">
        <v>45625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49719-2020</t>
        </is>
      </c>
      <c r="B127" s="1" t="n">
        <v>44106</v>
      </c>
      <c r="C127" s="1" t="n">
        <v>45625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49642-2020</t>
        </is>
      </c>
      <c r="B128" s="1" t="n">
        <v>44106</v>
      </c>
      <c r="C128" s="1" t="n">
        <v>45625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49650-2020</t>
        </is>
      </c>
      <c r="B129" s="1" t="n">
        <v>44106</v>
      </c>
      <c r="C129" s="1" t="n">
        <v>45625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49882-2020</t>
        </is>
      </c>
      <c r="B130" s="1" t="n">
        <v>44108</v>
      </c>
      <c r="C130" s="1" t="n">
        <v>45625</v>
      </c>
      <c r="D130" t="inlineStr">
        <is>
          <t>ÖREBRO LÄN</t>
        </is>
      </c>
      <c r="E130" t="inlineStr">
        <is>
          <t>HÄLLEFORS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50345-2020</t>
        </is>
      </c>
      <c r="B131" s="1" t="n">
        <v>44110</v>
      </c>
      <c r="C131" s="1" t="n">
        <v>45625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58534-2020</t>
        </is>
      </c>
      <c r="B132" s="1" t="n">
        <v>44145</v>
      </c>
      <c r="C132" s="1" t="n">
        <v>45625</v>
      </c>
      <c r="D132" t="inlineStr">
        <is>
          <t>ÖREBRO LÄN</t>
        </is>
      </c>
      <c r="E132" t="inlineStr">
        <is>
          <t>HÄLLEFORS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58756-2020</t>
        </is>
      </c>
      <c r="B133" s="1" t="n">
        <v>44146</v>
      </c>
      <c r="C133" s="1" t="n">
        <v>45625</v>
      </c>
      <c r="D133" t="inlineStr">
        <is>
          <t>ÖREBRO LÄN</t>
        </is>
      </c>
      <c r="E133" t="inlineStr">
        <is>
          <t>HÄLLEFORS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HYPERLINK("https://klasma.github.io/Logging_1863/knärot/A 58756-2020 karta knärot.png", "A 58756-2020")</f>
        <v/>
      </c>
      <c r="V133">
        <f>HYPERLINK("https://klasma.github.io/Logging_1863/klagomål/A 58756-2020 FSC-klagomål.docx", "A 58756-2020")</f>
        <v/>
      </c>
      <c r="W133">
        <f>HYPERLINK("https://klasma.github.io/Logging_1863/klagomålsmail/A 58756-2020 FSC-klagomål mail.docx", "A 58756-2020")</f>
        <v/>
      </c>
      <c r="X133">
        <f>HYPERLINK("https://klasma.github.io/Logging_1863/tillsyn/A 58756-2020 tillsynsbegäran.docx", "A 58756-2020")</f>
        <v/>
      </c>
      <c r="Y133">
        <f>HYPERLINK("https://klasma.github.io/Logging_1863/tillsynsmail/A 58756-2020 tillsynsbegäran mail.docx", "A 58756-2020")</f>
        <v/>
      </c>
    </row>
    <row r="134" ht="15" customHeight="1">
      <c r="A134" t="inlineStr">
        <is>
          <t>A 58764-2020</t>
        </is>
      </c>
      <c r="B134" s="1" t="n">
        <v>44146</v>
      </c>
      <c r="C134" s="1" t="n">
        <v>45625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59294-2020</t>
        </is>
      </c>
      <c r="B135" s="1" t="n">
        <v>44147</v>
      </c>
      <c r="C135" s="1" t="n">
        <v>45625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59298-2020</t>
        </is>
      </c>
      <c r="B136" s="1" t="n">
        <v>44147</v>
      </c>
      <c r="C136" s="1" t="n">
        <v>45625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59601-2020</t>
        </is>
      </c>
      <c r="B137" s="1" t="n">
        <v>44149</v>
      </c>
      <c r="C137" s="1" t="n">
        <v>45625</v>
      </c>
      <c r="D137" t="inlineStr">
        <is>
          <t>ÖREBRO LÄN</t>
        </is>
      </c>
      <c r="E137" t="inlineStr">
        <is>
          <t>HÄLLEFORS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60724-2020</t>
        </is>
      </c>
      <c r="B138" s="1" t="n">
        <v>44153</v>
      </c>
      <c r="C138" s="1" t="n">
        <v>45625</v>
      </c>
      <c r="D138" t="inlineStr">
        <is>
          <t>ÖREBRO LÄN</t>
        </is>
      </c>
      <c r="E138" t="inlineStr">
        <is>
          <t>HÄLLEFORS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62454-2020</t>
        </is>
      </c>
      <c r="B139" s="1" t="n">
        <v>44160</v>
      </c>
      <c r="C139" s="1" t="n">
        <v>45625</v>
      </c>
      <c r="D139" t="inlineStr">
        <is>
          <t>ÖREBRO LÄN</t>
        </is>
      </c>
      <c r="E139" t="inlineStr">
        <is>
          <t>HÄLLEFORS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62455-2020</t>
        </is>
      </c>
      <c r="B140" s="1" t="n">
        <v>44160</v>
      </c>
      <c r="C140" s="1" t="n">
        <v>45625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62591-2020</t>
        </is>
      </c>
      <c r="B141" s="1" t="n">
        <v>44161</v>
      </c>
      <c r="C141" s="1" t="n">
        <v>45625</v>
      </c>
      <c r="D141" t="inlineStr">
        <is>
          <t>ÖREBRO LÄN</t>
        </is>
      </c>
      <c r="E141" t="inlineStr">
        <is>
          <t>HÄLLEFORS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62803-2020</t>
        </is>
      </c>
      <c r="B142" s="1" t="n">
        <v>44161</v>
      </c>
      <c r="C142" s="1" t="n">
        <v>45625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65861-2020</t>
        </is>
      </c>
      <c r="B143" s="1" t="n">
        <v>44174</v>
      </c>
      <c r="C143" s="1" t="n">
        <v>45625</v>
      </c>
      <c r="D143" t="inlineStr">
        <is>
          <t>ÖREBRO LÄN</t>
        </is>
      </c>
      <c r="E143" t="inlineStr">
        <is>
          <t>HÄLLEFORS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65856-2020</t>
        </is>
      </c>
      <c r="B144" s="1" t="n">
        <v>44174</v>
      </c>
      <c r="C144" s="1" t="n">
        <v>45625</v>
      </c>
      <c r="D144" t="inlineStr">
        <is>
          <t>ÖREBRO LÄN</t>
        </is>
      </c>
      <c r="E144" t="inlineStr">
        <is>
          <t>HÄLLEFORS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66151-2020</t>
        </is>
      </c>
      <c r="B145" s="1" t="n">
        <v>44175</v>
      </c>
      <c r="C145" s="1" t="n">
        <v>45625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67446-2020</t>
        </is>
      </c>
      <c r="B146" s="1" t="n">
        <v>44181</v>
      </c>
      <c r="C146" s="1" t="n">
        <v>45625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3619-2021</t>
        </is>
      </c>
      <c r="B147" s="1" t="n">
        <v>44221</v>
      </c>
      <c r="C147" s="1" t="n">
        <v>45625</v>
      </c>
      <c r="D147" t="inlineStr">
        <is>
          <t>ÖREBRO LÄN</t>
        </is>
      </c>
      <c r="E147" t="inlineStr">
        <is>
          <t>HÄLLEFORS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7123-2021</t>
        </is>
      </c>
      <c r="B148" s="1" t="n">
        <v>44238</v>
      </c>
      <c r="C148" s="1" t="n">
        <v>45625</v>
      </c>
      <c r="D148" t="inlineStr">
        <is>
          <t>ÖREBRO LÄN</t>
        </is>
      </c>
      <c r="E148" t="inlineStr">
        <is>
          <t>HÄLLEFORS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10083-2021</t>
        </is>
      </c>
      <c r="B149" s="1" t="n">
        <v>44256</v>
      </c>
      <c r="C149" s="1" t="n">
        <v>45625</v>
      </c>
      <c r="D149" t="inlineStr">
        <is>
          <t>ÖREBRO LÄN</t>
        </is>
      </c>
      <c r="E149" t="inlineStr">
        <is>
          <t>HÄLLEFORS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11002-2021</t>
        </is>
      </c>
      <c r="B150" s="1" t="n">
        <v>44260</v>
      </c>
      <c r="C150" s="1" t="n">
        <v>45625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11044-2021</t>
        </is>
      </c>
      <c r="B151" s="1" t="n">
        <v>44260</v>
      </c>
      <c r="C151" s="1" t="n">
        <v>45625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10976-2021</t>
        </is>
      </c>
      <c r="B152" s="1" t="n">
        <v>44260</v>
      </c>
      <c r="C152" s="1" t="n">
        <v>45625</v>
      </c>
      <c r="D152" t="inlineStr">
        <is>
          <t>ÖREBRO LÄN</t>
        </is>
      </c>
      <c r="E152" t="inlineStr">
        <is>
          <t>HÄLLEFORS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11571-2021</t>
        </is>
      </c>
      <c r="B153" s="1" t="n">
        <v>44264</v>
      </c>
      <c r="C153" s="1" t="n">
        <v>45625</v>
      </c>
      <c r="D153" t="inlineStr">
        <is>
          <t>ÖREBRO LÄN</t>
        </is>
      </c>
      <c r="E153" t="inlineStr">
        <is>
          <t>HÄLLEFORS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12127-2021</t>
        </is>
      </c>
      <c r="B154" s="1" t="n">
        <v>44266</v>
      </c>
      <c r="C154" s="1" t="n">
        <v>45625</v>
      </c>
      <c r="D154" t="inlineStr">
        <is>
          <t>ÖREBRO LÄN</t>
        </is>
      </c>
      <c r="E154" t="inlineStr">
        <is>
          <t>HÄLLEFORS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12339-2021</t>
        </is>
      </c>
      <c r="B155" s="1" t="n">
        <v>44267</v>
      </c>
      <c r="C155" s="1" t="n">
        <v>45625</v>
      </c>
      <c r="D155" t="inlineStr">
        <is>
          <t>ÖREBRO LÄN</t>
        </is>
      </c>
      <c r="E155" t="inlineStr">
        <is>
          <t>HÄLLEFORS</t>
        </is>
      </c>
      <c r="F155" t="inlineStr">
        <is>
          <t>Bergvik skog väst AB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12966-2021</t>
        </is>
      </c>
      <c r="B156" s="1" t="n">
        <v>44271</v>
      </c>
      <c r="C156" s="1" t="n">
        <v>45625</v>
      </c>
      <c r="D156" t="inlineStr">
        <is>
          <t>ÖREBRO LÄN</t>
        </is>
      </c>
      <c r="E156" t="inlineStr">
        <is>
          <t>HÄLLEFORS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13347-2021</t>
        </is>
      </c>
      <c r="B157" s="1" t="n">
        <v>44273</v>
      </c>
      <c r="C157" s="1" t="n">
        <v>45625</v>
      </c>
      <c r="D157" t="inlineStr">
        <is>
          <t>ÖREBRO LÄN</t>
        </is>
      </c>
      <c r="E157" t="inlineStr">
        <is>
          <t>HÄLLEFORS</t>
        </is>
      </c>
      <c r="F157" t="inlineStr">
        <is>
          <t>Bergvik skog väst AB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15799-2021</t>
        </is>
      </c>
      <c r="B158" s="1" t="n">
        <v>44286</v>
      </c>
      <c r="C158" s="1" t="n">
        <v>45625</v>
      </c>
      <c r="D158" t="inlineStr">
        <is>
          <t>ÖREBRO LÄN</t>
        </is>
      </c>
      <c r="E158" t="inlineStr">
        <is>
          <t>HÄLLEFORS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19033-2021</t>
        </is>
      </c>
      <c r="B159" s="1" t="n">
        <v>44308</v>
      </c>
      <c r="C159" s="1" t="n">
        <v>45625</v>
      </c>
      <c r="D159" t="inlineStr">
        <is>
          <t>ÖREBRO LÄN</t>
        </is>
      </c>
      <c r="E159" t="inlineStr">
        <is>
          <t>HÄLLEFORS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20071-2021</t>
        </is>
      </c>
      <c r="B160" s="1" t="n">
        <v>44314</v>
      </c>
      <c r="C160" s="1" t="n">
        <v>45625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20072-2021</t>
        </is>
      </c>
      <c r="B161" s="1" t="n">
        <v>44314</v>
      </c>
      <c r="C161" s="1" t="n">
        <v>45625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20070-2021</t>
        </is>
      </c>
      <c r="B162" s="1" t="n">
        <v>44314</v>
      </c>
      <c r="C162" s="1" t="n">
        <v>45625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20238-2021</t>
        </is>
      </c>
      <c r="B163" s="1" t="n">
        <v>44314</v>
      </c>
      <c r="C163" s="1" t="n">
        <v>45625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20244-2021</t>
        </is>
      </c>
      <c r="B164" s="1" t="n">
        <v>44314</v>
      </c>
      <c r="C164" s="1" t="n">
        <v>45625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22053-2021</t>
        </is>
      </c>
      <c r="B165" s="1" t="n">
        <v>44323</v>
      </c>
      <c r="C165" s="1" t="n">
        <v>45625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22819-2021</t>
        </is>
      </c>
      <c r="B166" s="1" t="n">
        <v>44328</v>
      </c>
      <c r="C166" s="1" t="n">
        <v>45625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26527-2021</t>
        </is>
      </c>
      <c r="B167" s="1" t="n">
        <v>44348</v>
      </c>
      <c r="C167" s="1" t="n">
        <v>45625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26537-2021</t>
        </is>
      </c>
      <c r="B168" s="1" t="n">
        <v>44348</v>
      </c>
      <c r="C168" s="1" t="n">
        <v>45625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27175-2021</t>
        </is>
      </c>
      <c r="B169" s="1" t="n">
        <v>44350</v>
      </c>
      <c r="C169" s="1" t="n">
        <v>45625</v>
      </c>
      <c r="D169" t="inlineStr">
        <is>
          <t>ÖREBRO LÄN</t>
        </is>
      </c>
      <c r="E169" t="inlineStr">
        <is>
          <t>HÄLLEFORS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27513-2021</t>
        </is>
      </c>
      <c r="B170" s="1" t="n">
        <v>44351</v>
      </c>
      <c r="C170" s="1" t="n">
        <v>45625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28657-2021</t>
        </is>
      </c>
      <c r="B171" s="1" t="n">
        <v>44357</v>
      </c>
      <c r="C171" s="1" t="n">
        <v>45625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34898-2021</t>
        </is>
      </c>
      <c r="B172" s="1" t="n">
        <v>44383</v>
      </c>
      <c r="C172" s="1" t="n">
        <v>45625</v>
      </c>
      <c r="D172" t="inlineStr">
        <is>
          <t>ÖREBRO LÄN</t>
        </is>
      </c>
      <c r="E172" t="inlineStr">
        <is>
          <t>HÄLLEFORS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34893-2021</t>
        </is>
      </c>
      <c r="B173" s="1" t="n">
        <v>44383</v>
      </c>
      <c r="C173" s="1" t="n">
        <v>45625</v>
      </c>
      <c r="D173" t="inlineStr">
        <is>
          <t>ÖREBRO LÄN</t>
        </is>
      </c>
      <c r="E173" t="inlineStr">
        <is>
          <t>HÄLLEFORS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35594-2021</t>
        </is>
      </c>
      <c r="B174" s="1" t="n">
        <v>44386</v>
      </c>
      <c r="C174" s="1" t="n">
        <v>45625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37028-2021</t>
        </is>
      </c>
      <c r="B175" s="1" t="n">
        <v>44393</v>
      </c>
      <c r="C175" s="1" t="n">
        <v>45625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38908-2021</t>
        </is>
      </c>
      <c r="B176" s="1" t="n">
        <v>44411</v>
      </c>
      <c r="C176" s="1" t="n">
        <v>45625</v>
      </c>
      <c r="D176" t="inlineStr">
        <is>
          <t>ÖREBRO LÄN</t>
        </is>
      </c>
      <c r="E176" t="inlineStr">
        <is>
          <t>HÄLLEFORS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44322-2021</t>
        </is>
      </c>
      <c r="B177" s="1" t="n">
        <v>44435</v>
      </c>
      <c r="C177" s="1" t="n">
        <v>45625</v>
      </c>
      <c r="D177" t="inlineStr">
        <is>
          <t>ÖREBRO LÄN</t>
        </is>
      </c>
      <c r="E177" t="inlineStr">
        <is>
          <t>HÄLLEFORS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44905-2021</t>
        </is>
      </c>
      <c r="B178" s="1" t="n">
        <v>44438</v>
      </c>
      <c r="C178" s="1" t="n">
        <v>45625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46114-2021</t>
        </is>
      </c>
      <c r="B179" s="1" t="n">
        <v>44442</v>
      </c>
      <c r="C179" s="1" t="n">
        <v>45625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46335-2021</t>
        </is>
      </c>
      <c r="B180" s="1" t="n">
        <v>44442</v>
      </c>
      <c r="C180" s="1" t="n">
        <v>45625</v>
      </c>
      <c r="D180" t="inlineStr">
        <is>
          <t>ÖREBRO LÄN</t>
        </is>
      </c>
      <c r="E180" t="inlineStr">
        <is>
          <t>HÄLLEFORS</t>
        </is>
      </c>
      <c r="F180" t="inlineStr">
        <is>
          <t>Bergvik skog väst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46280-2021</t>
        </is>
      </c>
      <c r="B181" s="1" t="n">
        <v>44442</v>
      </c>
      <c r="C181" s="1" t="n">
        <v>45625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49154-2021</t>
        </is>
      </c>
      <c r="B182" s="1" t="n">
        <v>44453</v>
      </c>
      <c r="C182" s="1" t="n">
        <v>45625</v>
      </c>
      <c r="D182" t="inlineStr">
        <is>
          <t>ÖREBRO LÄN</t>
        </is>
      </c>
      <c r="E182" t="inlineStr">
        <is>
          <t>HÄLLEFORS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51488-2021</t>
        </is>
      </c>
      <c r="B183" s="1" t="n">
        <v>44460</v>
      </c>
      <c r="C183" s="1" t="n">
        <v>45625</v>
      </c>
      <c r="D183" t="inlineStr">
        <is>
          <t>ÖREBRO LÄN</t>
        </is>
      </c>
      <c r="E183" t="inlineStr">
        <is>
          <t>HÄLLEFORS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52172-2021</t>
        </is>
      </c>
      <c r="B184" s="1" t="n">
        <v>44462</v>
      </c>
      <c r="C184" s="1" t="n">
        <v>45625</v>
      </c>
      <c r="D184" t="inlineStr">
        <is>
          <t>ÖREBRO LÄN</t>
        </is>
      </c>
      <c r="E184" t="inlineStr">
        <is>
          <t>HÄLLEFORS</t>
        </is>
      </c>
      <c r="F184" t="inlineStr">
        <is>
          <t>Bergvik skog väst AB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56295-2021</t>
        </is>
      </c>
      <c r="B185" s="1" t="n">
        <v>44477</v>
      </c>
      <c r="C185" s="1" t="n">
        <v>45625</v>
      </c>
      <c r="D185" t="inlineStr">
        <is>
          <t>ÖREBRO LÄN</t>
        </is>
      </c>
      <c r="E185" t="inlineStr">
        <is>
          <t>HÄLLEFORS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58133-2021</t>
        </is>
      </c>
      <c r="B186" s="1" t="n">
        <v>44487</v>
      </c>
      <c r="C186" s="1" t="n">
        <v>45625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59382-2021</t>
        </is>
      </c>
      <c r="B187" s="1" t="n">
        <v>44491</v>
      </c>
      <c r="C187" s="1" t="n">
        <v>45625</v>
      </c>
      <c r="D187" t="inlineStr">
        <is>
          <t>ÖREBRO LÄN</t>
        </is>
      </c>
      <c r="E187" t="inlineStr">
        <is>
          <t>HÄLLEFORS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59374-2021</t>
        </is>
      </c>
      <c r="B188" s="1" t="n">
        <v>44491</v>
      </c>
      <c r="C188" s="1" t="n">
        <v>45625</v>
      </c>
      <c r="D188" t="inlineStr">
        <is>
          <t>ÖREBRO LÄN</t>
        </is>
      </c>
      <c r="E188" t="inlineStr">
        <is>
          <t>HÄLLEFORS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60518-2021</t>
        </is>
      </c>
      <c r="B189" s="1" t="n">
        <v>44496</v>
      </c>
      <c r="C189" s="1" t="n">
        <v>45625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62178-2021</t>
        </is>
      </c>
      <c r="B190" s="1" t="n">
        <v>44502</v>
      </c>
      <c r="C190" s="1" t="n">
        <v>45625</v>
      </c>
      <c r="D190" t="inlineStr">
        <is>
          <t>ÖREBRO LÄN</t>
        </is>
      </c>
      <c r="E190" t="inlineStr">
        <is>
          <t>HÄLLEFORS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65240-2021</t>
        </is>
      </c>
      <c r="B191" s="1" t="n">
        <v>44515</v>
      </c>
      <c r="C191" s="1" t="n">
        <v>45625</v>
      </c>
      <c r="D191" t="inlineStr">
        <is>
          <t>ÖREBRO LÄN</t>
        </is>
      </c>
      <c r="E191" t="inlineStr">
        <is>
          <t>HÄLLEFORS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65054-2021</t>
        </is>
      </c>
      <c r="B192" s="1" t="n">
        <v>44515</v>
      </c>
      <c r="C192" s="1" t="n">
        <v>45625</v>
      </c>
      <c r="D192" t="inlineStr">
        <is>
          <t>ÖREBRO LÄN</t>
        </is>
      </c>
      <c r="E192" t="inlineStr">
        <is>
          <t>HÄLLEFORS</t>
        </is>
      </c>
      <c r="F192" t="inlineStr">
        <is>
          <t>Bergvik skog väst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67027-2021</t>
        </is>
      </c>
      <c r="B193" s="1" t="n">
        <v>44522</v>
      </c>
      <c r="C193" s="1" t="n">
        <v>45625</v>
      </c>
      <c r="D193" t="inlineStr">
        <is>
          <t>ÖREBRO LÄN</t>
        </is>
      </c>
      <c r="E193" t="inlineStr">
        <is>
          <t>HÄLLEFORS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67439-2021</t>
        </is>
      </c>
      <c r="B194" s="1" t="n">
        <v>44523</v>
      </c>
      <c r="C194" s="1" t="n">
        <v>45625</v>
      </c>
      <c r="D194" t="inlineStr">
        <is>
          <t>ÖREBRO LÄN</t>
        </is>
      </c>
      <c r="E194" t="inlineStr">
        <is>
          <t>HÄLLEFORS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67780-2021</t>
        </is>
      </c>
      <c r="B195" s="1" t="n">
        <v>44525</v>
      </c>
      <c r="C195" s="1" t="n">
        <v>45625</v>
      </c>
      <c r="D195" t="inlineStr">
        <is>
          <t>ÖREBRO LÄN</t>
        </is>
      </c>
      <c r="E195" t="inlineStr">
        <is>
          <t>HÄLLEFORS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67843-2021</t>
        </is>
      </c>
      <c r="B196" s="1" t="n">
        <v>44525</v>
      </c>
      <c r="C196" s="1" t="n">
        <v>45625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67971-2021</t>
        </is>
      </c>
      <c r="B197" s="1" t="n">
        <v>44525</v>
      </c>
      <c r="C197" s="1" t="n">
        <v>45625</v>
      </c>
      <c r="D197" t="inlineStr">
        <is>
          <t>ÖREBRO LÄN</t>
        </is>
      </c>
      <c r="E197" t="inlineStr">
        <is>
          <t>HÄLLEFORS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67967-2021</t>
        </is>
      </c>
      <c r="B198" s="1" t="n">
        <v>44525</v>
      </c>
      <c r="C198" s="1" t="n">
        <v>45625</v>
      </c>
      <c r="D198" t="inlineStr">
        <is>
          <t>ÖREBRO LÄN</t>
        </is>
      </c>
      <c r="E198" t="inlineStr">
        <is>
          <t>HÄLLEFORS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67953-2021</t>
        </is>
      </c>
      <c r="B199" s="1" t="n">
        <v>44525</v>
      </c>
      <c r="C199" s="1" t="n">
        <v>45625</v>
      </c>
      <c r="D199" t="inlineStr">
        <is>
          <t>ÖREBRO LÄN</t>
        </is>
      </c>
      <c r="E199" t="inlineStr">
        <is>
          <t>HÄLLEFORS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70356-2021</t>
        </is>
      </c>
      <c r="B200" s="1" t="n">
        <v>44536</v>
      </c>
      <c r="C200" s="1" t="n">
        <v>45625</v>
      </c>
      <c r="D200" t="inlineStr">
        <is>
          <t>ÖREBRO LÄN</t>
        </is>
      </c>
      <c r="E200" t="inlineStr">
        <is>
          <t>HÄLLEFORS</t>
        </is>
      </c>
      <c r="F200" t="inlineStr">
        <is>
          <t>Bergvik skog väst AB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71766-2021</t>
        </is>
      </c>
      <c r="B201" s="1" t="n">
        <v>44543</v>
      </c>
      <c r="C201" s="1" t="n">
        <v>45625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71826-2021</t>
        </is>
      </c>
      <c r="B202" s="1" t="n">
        <v>44543</v>
      </c>
      <c r="C202" s="1" t="n">
        <v>45625</v>
      </c>
      <c r="D202" t="inlineStr">
        <is>
          <t>ÖREBRO LÄN</t>
        </is>
      </c>
      <c r="E202" t="inlineStr">
        <is>
          <t>HÄLLEFORS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73201-2021</t>
        </is>
      </c>
      <c r="B203" s="1" t="n">
        <v>44550</v>
      </c>
      <c r="C203" s="1" t="n">
        <v>45625</v>
      </c>
      <c r="D203" t="inlineStr">
        <is>
          <t>ÖREBRO LÄN</t>
        </is>
      </c>
      <c r="E203" t="inlineStr">
        <is>
          <t>HÄLLEFORS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74464-2021</t>
        </is>
      </c>
      <c r="B204" s="1" t="n">
        <v>44560</v>
      </c>
      <c r="C204" s="1" t="n">
        <v>45625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4548-2022</t>
        </is>
      </c>
      <c r="B205" s="1" t="n">
        <v>44590</v>
      </c>
      <c r="C205" s="1" t="n">
        <v>45625</v>
      </c>
      <c r="D205" t="inlineStr">
        <is>
          <t>ÖREBRO LÄN</t>
        </is>
      </c>
      <c r="E205" t="inlineStr">
        <is>
          <t>HÄLLEFORS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4716-2022</t>
        </is>
      </c>
      <c r="B206" s="1" t="n">
        <v>44592</v>
      </c>
      <c r="C206" s="1" t="n">
        <v>45625</v>
      </c>
      <c r="D206" t="inlineStr">
        <is>
          <t>ÖREBRO LÄN</t>
        </is>
      </c>
      <c r="E206" t="inlineStr">
        <is>
          <t>HÄLLEFORS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5025-2022</t>
        </is>
      </c>
      <c r="B207" s="1" t="n">
        <v>44593</v>
      </c>
      <c r="C207" s="1" t="n">
        <v>45625</v>
      </c>
      <c r="D207" t="inlineStr">
        <is>
          <t>ÖREBRO LÄN</t>
        </is>
      </c>
      <c r="E207" t="inlineStr">
        <is>
          <t>HÄLLEFORS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6107-2022</t>
        </is>
      </c>
      <c r="B208" s="1" t="n">
        <v>44599</v>
      </c>
      <c r="C208" s="1" t="n">
        <v>45625</v>
      </c>
      <c r="D208" t="inlineStr">
        <is>
          <t>ÖREBRO LÄN</t>
        </is>
      </c>
      <c r="E208" t="inlineStr">
        <is>
          <t>HÄLLEFORS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6231-2022</t>
        </is>
      </c>
      <c r="B209" s="1" t="n">
        <v>44600</v>
      </c>
      <c r="C209" s="1" t="n">
        <v>45625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7294-2022</t>
        </is>
      </c>
      <c r="B210" s="1" t="n">
        <v>44606</v>
      </c>
      <c r="C210" s="1" t="n">
        <v>45625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7774-2022</t>
        </is>
      </c>
      <c r="B211" s="1" t="n">
        <v>44608</v>
      </c>
      <c r="C211" s="1" t="n">
        <v>45625</v>
      </c>
      <c r="D211" t="inlineStr">
        <is>
          <t>ÖREBRO LÄN</t>
        </is>
      </c>
      <c r="E211" t="inlineStr">
        <is>
          <t>HÄLLEFORS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8387-2022</t>
        </is>
      </c>
      <c r="B212" s="1" t="n">
        <v>44610</v>
      </c>
      <c r="C212" s="1" t="n">
        <v>45625</v>
      </c>
      <c r="D212" t="inlineStr">
        <is>
          <t>ÖREBRO LÄN</t>
        </is>
      </c>
      <c r="E212" t="inlineStr">
        <is>
          <t>HÄLLEFORS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8503-2022</t>
        </is>
      </c>
      <c r="B213" s="1" t="n">
        <v>44613</v>
      </c>
      <c r="C213" s="1" t="n">
        <v>45625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8513-2022</t>
        </is>
      </c>
      <c r="B214" s="1" t="n">
        <v>44613</v>
      </c>
      <c r="C214" s="1" t="n">
        <v>45625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9387-2022</t>
        </is>
      </c>
      <c r="B215" s="1" t="n">
        <v>44616</v>
      </c>
      <c r="C215" s="1" t="n">
        <v>45625</v>
      </c>
      <c r="D215" t="inlineStr">
        <is>
          <t>ÖREBRO LÄN</t>
        </is>
      </c>
      <c r="E215" t="inlineStr">
        <is>
          <t>HÄLLEFORS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9405-2022</t>
        </is>
      </c>
      <c r="B216" s="1" t="n">
        <v>44616</v>
      </c>
      <c r="C216" s="1" t="n">
        <v>45625</v>
      </c>
      <c r="D216" t="inlineStr">
        <is>
          <t>ÖREBRO LÄN</t>
        </is>
      </c>
      <c r="E216" t="inlineStr">
        <is>
          <t>HÄLLEFORS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9411-2022</t>
        </is>
      </c>
      <c r="B217" s="1" t="n">
        <v>44616</v>
      </c>
      <c r="C217" s="1" t="n">
        <v>45625</v>
      </c>
      <c r="D217" t="inlineStr">
        <is>
          <t>ÖREBRO LÄN</t>
        </is>
      </c>
      <c r="E217" t="inlineStr">
        <is>
          <t>HÄLLEFORS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9417-2022</t>
        </is>
      </c>
      <c r="B218" s="1" t="n">
        <v>44616</v>
      </c>
      <c r="C218" s="1" t="n">
        <v>45625</v>
      </c>
      <c r="D218" t="inlineStr">
        <is>
          <t>ÖREBRO LÄN</t>
        </is>
      </c>
      <c r="E218" t="inlineStr">
        <is>
          <t>HÄLLEFORS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9378-2022</t>
        </is>
      </c>
      <c r="B219" s="1" t="n">
        <v>44616</v>
      </c>
      <c r="C219" s="1" t="n">
        <v>45625</v>
      </c>
      <c r="D219" t="inlineStr">
        <is>
          <t>ÖREBRO LÄN</t>
        </is>
      </c>
      <c r="E219" t="inlineStr">
        <is>
          <t>HÄLLEFORS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9424-2022</t>
        </is>
      </c>
      <c r="B220" s="1" t="n">
        <v>44616</v>
      </c>
      <c r="C220" s="1" t="n">
        <v>45625</v>
      </c>
      <c r="D220" t="inlineStr">
        <is>
          <t>ÖREBRO LÄN</t>
        </is>
      </c>
      <c r="E220" t="inlineStr">
        <is>
          <t>HÄLLEFORS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13382-2022</t>
        </is>
      </c>
      <c r="B221" s="1" t="n">
        <v>44645</v>
      </c>
      <c r="C221" s="1" t="n">
        <v>45625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15073-2022</t>
        </is>
      </c>
      <c r="B222" s="1" t="n">
        <v>44657</v>
      </c>
      <c r="C222" s="1" t="n">
        <v>45625</v>
      </c>
      <c r="D222" t="inlineStr">
        <is>
          <t>ÖREBRO LÄN</t>
        </is>
      </c>
      <c r="E222" t="inlineStr">
        <is>
          <t>HÄLLEFORS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15475-2022</t>
        </is>
      </c>
      <c r="B223" s="1" t="n">
        <v>44662</v>
      </c>
      <c r="C223" s="1" t="n">
        <v>45625</v>
      </c>
      <c r="D223" t="inlineStr">
        <is>
          <t>ÖREBRO LÄN</t>
        </is>
      </c>
      <c r="E223" t="inlineStr">
        <is>
          <t>HÄLLEFORS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15771-2022</t>
        </is>
      </c>
      <c r="B224" s="1" t="n">
        <v>44663</v>
      </c>
      <c r="C224" s="1" t="n">
        <v>45625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18424-2022</t>
        </is>
      </c>
      <c r="B225" s="1" t="n">
        <v>44686</v>
      </c>
      <c r="C225" s="1" t="n">
        <v>45625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18803-2022</t>
        </is>
      </c>
      <c r="B226" s="1" t="n">
        <v>44690</v>
      </c>
      <c r="C226" s="1" t="n">
        <v>45625</v>
      </c>
      <c r="D226" t="inlineStr">
        <is>
          <t>ÖREBRO LÄN</t>
        </is>
      </c>
      <c r="E226" t="inlineStr">
        <is>
          <t>HÄLLEFORS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18801-2022</t>
        </is>
      </c>
      <c r="B227" s="1" t="n">
        <v>44690</v>
      </c>
      <c r="C227" s="1" t="n">
        <v>45625</v>
      </c>
      <c r="D227" t="inlineStr">
        <is>
          <t>ÖREBRO LÄN</t>
        </is>
      </c>
      <c r="E227" t="inlineStr">
        <is>
          <t>HÄLLEFORS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18882-2022</t>
        </is>
      </c>
      <c r="B228" s="1" t="n">
        <v>44690</v>
      </c>
      <c r="C228" s="1" t="n">
        <v>45625</v>
      </c>
      <c r="D228" t="inlineStr">
        <is>
          <t>ÖREBRO LÄN</t>
        </is>
      </c>
      <c r="E228" t="inlineStr">
        <is>
          <t>HÄLLEFORS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19367-2022</t>
        </is>
      </c>
      <c r="B229" s="1" t="n">
        <v>44692</v>
      </c>
      <c r="C229" s="1" t="n">
        <v>45625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19864-2022</t>
        </is>
      </c>
      <c r="B230" s="1" t="n">
        <v>44697</v>
      </c>
      <c r="C230" s="1" t="n">
        <v>45625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20354-2022</t>
        </is>
      </c>
      <c r="B231" s="1" t="n">
        <v>44699</v>
      </c>
      <c r="C231" s="1" t="n">
        <v>45625</v>
      </c>
      <c r="D231" t="inlineStr">
        <is>
          <t>ÖREBRO LÄN</t>
        </is>
      </c>
      <c r="E231" t="inlineStr">
        <is>
          <t>HÄLLEFORS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21801-2022</t>
        </is>
      </c>
      <c r="B232" s="1" t="n">
        <v>44708</v>
      </c>
      <c r="C232" s="1" t="n">
        <v>45625</v>
      </c>
      <c r="D232" t="inlineStr">
        <is>
          <t>ÖREBRO LÄN</t>
        </is>
      </c>
      <c r="E232" t="inlineStr">
        <is>
          <t>HÄLLEFORS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22673-2022</t>
        </is>
      </c>
      <c r="B233" s="1" t="n">
        <v>44714</v>
      </c>
      <c r="C233" s="1" t="n">
        <v>45625</v>
      </c>
      <c r="D233" t="inlineStr">
        <is>
          <t>ÖREBRO LÄN</t>
        </is>
      </c>
      <c r="E233" t="inlineStr">
        <is>
          <t>HÄLLEFORS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23121-2022</t>
        </is>
      </c>
      <c r="B234" s="1" t="n">
        <v>44719</v>
      </c>
      <c r="C234" s="1" t="n">
        <v>45625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23022-2022</t>
        </is>
      </c>
      <c r="B235" s="1" t="n">
        <v>44719</v>
      </c>
      <c r="C235" s="1" t="n">
        <v>45625</v>
      </c>
      <c r="D235" t="inlineStr">
        <is>
          <t>ÖREBRO LÄN</t>
        </is>
      </c>
      <c r="E235" t="inlineStr">
        <is>
          <t>HÄLLEFORS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23665-2022</t>
        </is>
      </c>
      <c r="B236" s="1" t="n">
        <v>44721</v>
      </c>
      <c r="C236" s="1" t="n">
        <v>45625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23719-2022</t>
        </is>
      </c>
      <c r="B237" s="1" t="n">
        <v>44722</v>
      </c>
      <c r="C237" s="1" t="n">
        <v>45625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23882-2022</t>
        </is>
      </c>
      <c r="B238" s="1" t="n">
        <v>44722</v>
      </c>
      <c r="C238" s="1" t="n">
        <v>45625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28004-2022</t>
        </is>
      </c>
      <c r="B239" s="1" t="n">
        <v>44746</v>
      </c>
      <c r="C239" s="1" t="n">
        <v>45625</v>
      </c>
      <c r="D239" t="inlineStr">
        <is>
          <t>ÖREBRO LÄN</t>
        </is>
      </c>
      <c r="E239" t="inlineStr">
        <is>
          <t>HÄLLEFORS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28558-2022</t>
        </is>
      </c>
      <c r="B240" s="1" t="n">
        <v>44748</v>
      </c>
      <c r="C240" s="1" t="n">
        <v>45625</v>
      </c>
      <c r="D240" t="inlineStr">
        <is>
          <t>ÖREBRO LÄN</t>
        </is>
      </c>
      <c r="E240" t="inlineStr">
        <is>
          <t>HÄLLEFORS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28788-2022</t>
        </is>
      </c>
      <c r="B241" s="1" t="n">
        <v>44749</v>
      </c>
      <c r="C241" s="1" t="n">
        <v>45625</v>
      </c>
      <c r="D241" t="inlineStr">
        <is>
          <t>ÖREBRO LÄN</t>
        </is>
      </c>
      <c r="E241" t="inlineStr">
        <is>
          <t>HÄLLEFORS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28784-2022</t>
        </is>
      </c>
      <c r="B242" s="1" t="n">
        <v>44749</v>
      </c>
      <c r="C242" s="1" t="n">
        <v>45625</v>
      </c>
      <c r="D242" t="inlineStr">
        <is>
          <t>ÖREBRO LÄN</t>
        </is>
      </c>
      <c r="E242" t="inlineStr">
        <is>
          <t>HÄLLEFORS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29062-2022</t>
        </is>
      </c>
      <c r="B243" s="1" t="n">
        <v>44750</v>
      </c>
      <c r="C243" s="1" t="n">
        <v>45625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29058-2022</t>
        </is>
      </c>
      <c r="B244" s="1" t="n">
        <v>44750</v>
      </c>
      <c r="C244" s="1" t="n">
        <v>45625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29661-2022</t>
        </is>
      </c>
      <c r="B245" s="1" t="n">
        <v>44754</v>
      </c>
      <c r="C245" s="1" t="n">
        <v>45625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29665-2022</t>
        </is>
      </c>
      <c r="B246" s="1" t="n">
        <v>44754</v>
      </c>
      <c r="C246" s="1" t="n">
        <v>45625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29662-2022</t>
        </is>
      </c>
      <c r="B247" s="1" t="n">
        <v>44754</v>
      </c>
      <c r="C247" s="1" t="n">
        <v>45625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29664-2022</t>
        </is>
      </c>
      <c r="B248" s="1" t="n">
        <v>44754</v>
      </c>
      <c r="C248" s="1" t="n">
        <v>45625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29668-2022</t>
        </is>
      </c>
      <c r="B249" s="1" t="n">
        <v>44754</v>
      </c>
      <c r="C249" s="1" t="n">
        <v>45625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29669-2022</t>
        </is>
      </c>
      <c r="B250" s="1" t="n">
        <v>44754</v>
      </c>
      <c r="C250" s="1" t="n">
        <v>45625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29663-2022</t>
        </is>
      </c>
      <c r="B251" s="1" t="n">
        <v>44754</v>
      </c>
      <c r="C251" s="1" t="n">
        <v>45625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29667-2022</t>
        </is>
      </c>
      <c r="B252" s="1" t="n">
        <v>44754</v>
      </c>
      <c r="C252" s="1" t="n">
        <v>45625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29884-2022</t>
        </is>
      </c>
      <c r="B253" s="1" t="n">
        <v>44756</v>
      </c>
      <c r="C253" s="1" t="n">
        <v>45625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30380-2022</t>
        </is>
      </c>
      <c r="B254" s="1" t="n">
        <v>44760</v>
      </c>
      <c r="C254" s="1" t="n">
        <v>45625</v>
      </c>
      <c r="D254" t="inlineStr">
        <is>
          <t>ÖREBRO LÄN</t>
        </is>
      </c>
      <c r="E254" t="inlineStr">
        <is>
          <t>HÄLLEFORS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30532-2022</t>
        </is>
      </c>
      <c r="B255" s="1" t="n">
        <v>44762</v>
      </c>
      <c r="C255" s="1" t="n">
        <v>45625</v>
      </c>
      <c r="D255" t="inlineStr">
        <is>
          <t>ÖREBRO LÄN</t>
        </is>
      </c>
      <c r="E255" t="inlineStr">
        <is>
          <t>HÄLLEFORS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33609-2022</t>
        </is>
      </c>
      <c r="B256" s="1" t="n">
        <v>44782</v>
      </c>
      <c r="C256" s="1" t="n">
        <v>45625</v>
      </c>
      <c r="D256" t="inlineStr">
        <is>
          <t>ÖREBRO LÄN</t>
        </is>
      </c>
      <c r="E256" t="inlineStr">
        <is>
          <t>HÄLLEFORS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34103-2022</t>
        </is>
      </c>
      <c r="B257" s="1" t="n">
        <v>44782</v>
      </c>
      <c r="C257" s="1" t="n">
        <v>45625</v>
      </c>
      <c r="D257" t="inlineStr">
        <is>
          <t>ÖREBRO LÄN</t>
        </is>
      </c>
      <c r="E257" t="inlineStr">
        <is>
          <t>HÄLLEFORS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33617-2022</t>
        </is>
      </c>
      <c r="B258" s="1" t="n">
        <v>44782</v>
      </c>
      <c r="C258" s="1" t="n">
        <v>45625</v>
      </c>
      <c r="D258" t="inlineStr">
        <is>
          <t>ÖREBRO LÄN</t>
        </is>
      </c>
      <c r="E258" t="inlineStr">
        <is>
          <t>HÄLLEFORS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33488-2022</t>
        </is>
      </c>
      <c r="B259" s="1" t="n">
        <v>44788</v>
      </c>
      <c r="C259" s="1" t="n">
        <v>45625</v>
      </c>
      <c r="D259" t="inlineStr">
        <is>
          <t>ÖREBRO LÄN</t>
        </is>
      </c>
      <c r="E259" t="inlineStr">
        <is>
          <t>HÄLLEFORS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34015-2022</t>
        </is>
      </c>
      <c r="B260" s="1" t="n">
        <v>44791</v>
      </c>
      <c r="C260" s="1" t="n">
        <v>45625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34311-2022</t>
        </is>
      </c>
      <c r="B261" s="1" t="n">
        <v>44792</v>
      </c>
      <c r="C261" s="1" t="n">
        <v>45625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34384-2022</t>
        </is>
      </c>
      <c r="B262" s="1" t="n">
        <v>44792</v>
      </c>
      <c r="C262" s="1" t="n">
        <v>45625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34313-2022</t>
        </is>
      </c>
      <c r="B263" s="1" t="n">
        <v>44792</v>
      </c>
      <c r="C263" s="1" t="n">
        <v>45625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34355-2022</t>
        </is>
      </c>
      <c r="B264" s="1" t="n">
        <v>44792</v>
      </c>
      <c r="C264" s="1" t="n">
        <v>45625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34344-2022</t>
        </is>
      </c>
      <c r="B265" s="1" t="n">
        <v>44792</v>
      </c>
      <c r="C265" s="1" t="n">
        <v>45625</v>
      </c>
      <c r="D265" t="inlineStr">
        <is>
          <t>ÖREBRO LÄN</t>
        </is>
      </c>
      <c r="E265" t="inlineStr">
        <is>
          <t>HÄLLEFORS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34478-2022</t>
        </is>
      </c>
      <c r="B266" s="1" t="n">
        <v>44792</v>
      </c>
      <c r="C266" s="1" t="n">
        <v>45625</v>
      </c>
      <c r="D266" t="inlineStr">
        <is>
          <t>ÖREBRO LÄN</t>
        </is>
      </c>
      <c r="E266" t="inlineStr">
        <is>
          <t>HÄLLEFORS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34479-2022</t>
        </is>
      </c>
      <c r="B267" s="1" t="n">
        <v>44792</v>
      </c>
      <c r="C267" s="1" t="n">
        <v>45625</v>
      </c>
      <c r="D267" t="inlineStr">
        <is>
          <t>ÖREBRO LÄN</t>
        </is>
      </c>
      <c r="E267" t="inlineStr">
        <is>
          <t>HÄLLEFORS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34480-2022</t>
        </is>
      </c>
      <c r="B268" s="1" t="n">
        <v>44792</v>
      </c>
      <c r="C268" s="1" t="n">
        <v>45625</v>
      </c>
      <c r="D268" t="inlineStr">
        <is>
          <t>ÖREBRO LÄN</t>
        </is>
      </c>
      <c r="E268" t="inlineStr">
        <is>
          <t>HÄLLEFORS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34653-2022</t>
        </is>
      </c>
      <c r="B269" s="1" t="n">
        <v>44795</v>
      </c>
      <c r="C269" s="1" t="n">
        <v>45625</v>
      </c>
      <c r="D269" t="inlineStr">
        <is>
          <t>ÖREBRO LÄN</t>
        </is>
      </c>
      <c r="E269" t="inlineStr">
        <is>
          <t>HÄLLEFORS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35243-2022</t>
        </is>
      </c>
      <c r="B270" s="1" t="n">
        <v>44798</v>
      </c>
      <c r="C270" s="1" t="n">
        <v>45625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35345-2022</t>
        </is>
      </c>
      <c r="B271" s="1" t="n">
        <v>44798</v>
      </c>
      <c r="C271" s="1" t="n">
        <v>45625</v>
      </c>
      <c r="D271" t="inlineStr">
        <is>
          <t>ÖREBRO LÄN</t>
        </is>
      </c>
      <c r="E271" t="inlineStr">
        <is>
          <t>HÄLLEFORS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36635-2022</t>
        </is>
      </c>
      <c r="B272" s="1" t="n">
        <v>44804</v>
      </c>
      <c r="C272" s="1" t="n">
        <v>45625</v>
      </c>
      <c r="D272" t="inlineStr">
        <is>
          <t>ÖREBRO LÄN</t>
        </is>
      </c>
      <c r="E272" t="inlineStr">
        <is>
          <t>HÄLLEFORS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37027-2022</t>
        </is>
      </c>
      <c r="B273" s="1" t="n">
        <v>44806</v>
      </c>
      <c r="C273" s="1" t="n">
        <v>45625</v>
      </c>
      <c r="D273" t="inlineStr">
        <is>
          <t>ÖREBRO LÄN</t>
        </is>
      </c>
      <c r="E273" t="inlineStr">
        <is>
          <t>HÄLLEFORS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37783-2022</t>
        </is>
      </c>
      <c r="B274" s="1" t="n">
        <v>44810</v>
      </c>
      <c r="C274" s="1" t="n">
        <v>45625</v>
      </c>
      <c r="D274" t="inlineStr">
        <is>
          <t>ÖREBRO LÄN</t>
        </is>
      </c>
      <c r="E274" t="inlineStr">
        <is>
          <t>HÄLLEFORS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38030-2022</t>
        </is>
      </c>
      <c r="B275" s="1" t="n">
        <v>44811</v>
      </c>
      <c r="C275" s="1" t="n">
        <v>45625</v>
      </c>
      <c r="D275" t="inlineStr">
        <is>
          <t>ÖREBRO LÄN</t>
        </is>
      </c>
      <c r="E275" t="inlineStr">
        <is>
          <t>HÄLLEFORS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37999-2022</t>
        </is>
      </c>
      <c r="B276" s="1" t="n">
        <v>44811</v>
      </c>
      <c r="C276" s="1" t="n">
        <v>45625</v>
      </c>
      <c r="D276" t="inlineStr">
        <is>
          <t>ÖREBRO LÄN</t>
        </is>
      </c>
      <c r="E276" t="inlineStr">
        <is>
          <t>HÄLLEFORS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38018-2022</t>
        </is>
      </c>
      <c r="B277" s="1" t="n">
        <v>44811</v>
      </c>
      <c r="C277" s="1" t="n">
        <v>45625</v>
      </c>
      <c r="D277" t="inlineStr">
        <is>
          <t>ÖREBRO LÄN</t>
        </is>
      </c>
      <c r="E277" t="inlineStr">
        <is>
          <t>HÄLLEFORS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38024-2022</t>
        </is>
      </c>
      <c r="B278" s="1" t="n">
        <v>44811</v>
      </c>
      <c r="C278" s="1" t="n">
        <v>45625</v>
      </c>
      <c r="D278" t="inlineStr">
        <is>
          <t>ÖREBRO LÄN</t>
        </is>
      </c>
      <c r="E278" t="inlineStr">
        <is>
          <t>HÄLLEFORS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38072-2022</t>
        </is>
      </c>
      <c r="B279" s="1" t="n">
        <v>44811</v>
      </c>
      <c r="C279" s="1" t="n">
        <v>45625</v>
      </c>
      <c r="D279" t="inlineStr">
        <is>
          <t>ÖREBRO LÄN</t>
        </is>
      </c>
      <c r="E279" t="inlineStr">
        <is>
          <t>HÄLLEFORS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38063-2022</t>
        </is>
      </c>
      <c r="B280" s="1" t="n">
        <v>44811</v>
      </c>
      <c r="C280" s="1" t="n">
        <v>45625</v>
      </c>
      <c r="D280" t="inlineStr">
        <is>
          <t>ÖREBRO LÄN</t>
        </is>
      </c>
      <c r="E280" t="inlineStr">
        <is>
          <t>HÄLLEFORS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38068-2022</t>
        </is>
      </c>
      <c r="B281" s="1" t="n">
        <v>44811</v>
      </c>
      <c r="C281" s="1" t="n">
        <v>45625</v>
      </c>
      <c r="D281" t="inlineStr">
        <is>
          <t>ÖREBRO LÄN</t>
        </is>
      </c>
      <c r="E281" t="inlineStr">
        <is>
          <t>HÄLLEFORS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38239-2022</t>
        </is>
      </c>
      <c r="B282" s="1" t="n">
        <v>44812</v>
      </c>
      <c r="C282" s="1" t="n">
        <v>45625</v>
      </c>
      <c r="D282" t="inlineStr">
        <is>
          <t>ÖREBRO LÄN</t>
        </is>
      </c>
      <c r="E282" t="inlineStr">
        <is>
          <t>HÄLLEFORS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38245-2022</t>
        </is>
      </c>
      <c r="B283" s="1" t="n">
        <v>44812</v>
      </c>
      <c r="C283" s="1" t="n">
        <v>45625</v>
      </c>
      <c r="D283" t="inlineStr">
        <is>
          <t>ÖREBRO LÄN</t>
        </is>
      </c>
      <c r="E283" t="inlineStr">
        <is>
          <t>HÄLLEFORS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38655-2022</t>
        </is>
      </c>
      <c r="B284" s="1" t="n">
        <v>44813</v>
      </c>
      <c r="C284" s="1" t="n">
        <v>45625</v>
      </c>
      <c r="D284" t="inlineStr">
        <is>
          <t>ÖREBRO LÄN</t>
        </is>
      </c>
      <c r="E284" t="inlineStr">
        <is>
          <t>HÄLLEFORS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38656-2022</t>
        </is>
      </c>
      <c r="B285" s="1" t="n">
        <v>44813</v>
      </c>
      <c r="C285" s="1" t="n">
        <v>45625</v>
      </c>
      <c r="D285" t="inlineStr">
        <is>
          <t>ÖREBRO LÄN</t>
        </is>
      </c>
      <c r="E285" t="inlineStr">
        <is>
          <t>HÄLLEFORS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39179-2022</t>
        </is>
      </c>
      <c r="B286" s="1" t="n">
        <v>44817</v>
      </c>
      <c r="C286" s="1" t="n">
        <v>45625</v>
      </c>
      <c r="D286" t="inlineStr">
        <is>
          <t>ÖREBRO LÄN</t>
        </is>
      </c>
      <c r="E286" t="inlineStr">
        <is>
          <t>HÄLLEFORS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39031-2022</t>
        </is>
      </c>
      <c r="B287" s="1" t="n">
        <v>44817</v>
      </c>
      <c r="C287" s="1" t="n">
        <v>45625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39178-2022</t>
        </is>
      </c>
      <c r="B288" s="1" t="n">
        <v>44817</v>
      </c>
      <c r="C288" s="1" t="n">
        <v>45625</v>
      </c>
      <c r="D288" t="inlineStr">
        <is>
          <t>ÖREBRO LÄN</t>
        </is>
      </c>
      <c r="E288" t="inlineStr">
        <is>
          <t>HÄLLEFORS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39169-2022</t>
        </is>
      </c>
      <c r="B289" s="1" t="n">
        <v>44817</v>
      </c>
      <c r="C289" s="1" t="n">
        <v>45625</v>
      </c>
      <c r="D289" t="inlineStr">
        <is>
          <t>ÖREBRO LÄN</t>
        </is>
      </c>
      <c r="E289" t="inlineStr">
        <is>
          <t>HÄLLEFORS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39183-2022</t>
        </is>
      </c>
      <c r="B290" s="1" t="n">
        <v>44817</v>
      </c>
      <c r="C290" s="1" t="n">
        <v>45625</v>
      </c>
      <c r="D290" t="inlineStr">
        <is>
          <t>ÖREBRO LÄN</t>
        </is>
      </c>
      <c r="E290" t="inlineStr">
        <is>
          <t>HÄLLEFORS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39327-2022</t>
        </is>
      </c>
      <c r="B291" s="1" t="n">
        <v>44817</v>
      </c>
      <c r="C291" s="1" t="n">
        <v>45625</v>
      </c>
      <c r="D291" t="inlineStr">
        <is>
          <t>ÖREBRO LÄN</t>
        </is>
      </c>
      <c r="E291" t="inlineStr">
        <is>
          <t>HÄLLEFORS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39876-2022</t>
        </is>
      </c>
      <c r="B292" s="1" t="n">
        <v>44819</v>
      </c>
      <c r="C292" s="1" t="n">
        <v>45625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40530-2022</t>
        </is>
      </c>
      <c r="B293" s="1" t="n">
        <v>44823</v>
      </c>
      <c r="C293" s="1" t="n">
        <v>45625</v>
      </c>
      <c r="D293" t="inlineStr">
        <is>
          <t>ÖREBRO LÄN</t>
        </is>
      </c>
      <c r="E293" t="inlineStr">
        <is>
          <t>HÄLLEFORS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40553-2022</t>
        </is>
      </c>
      <c r="B294" s="1" t="n">
        <v>44823</v>
      </c>
      <c r="C294" s="1" t="n">
        <v>45625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40917-2022</t>
        </is>
      </c>
      <c r="B295" s="1" t="n">
        <v>44825</v>
      </c>
      <c r="C295" s="1" t="n">
        <v>45625</v>
      </c>
      <c r="D295" t="inlineStr">
        <is>
          <t>ÖREBRO LÄN</t>
        </is>
      </c>
      <c r="E295" t="inlineStr">
        <is>
          <t>HÄLLEFORS</t>
        </is>
      </c>
      <c r="F295" t="inlineStr">
        <is>
          <t>Bergvik skog väst AB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41112-2022</t>
        </is>
      </c>
      <c r="B296" s="1" t="n">
        <v>44825</v>
      </c>
      <c r="C296" s="1" t="n">
        <v>45625</v>
      </c>
      <c r="D296" t="inlineStr">
        <is>
          <t>ÖREBRO LÄN</t>
        </is>
      </c>
      <c r="E296" t="inlineStr">
        <is>
          <t>HÄLLEFORS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41096-2022</t>
        </is>
      </c>
      <c r="B297" s="1" t="n">
        <v>44825</v>
      </c>
      <c r="C297" s="1" t="n">
        <v>45625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41089-2022</t>
        </is>
      </c>
      <c r="B298" s="1" t="n">
        <v>44825</v>
      </c>
      <c r="C298" s="1" t="n">
        <v>45625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42028-2022</t>
        </is>
      </c>
      <c r="B299" s="1" t="n">
        <v>44830</v>
      </c>
      <c r="C299" s="1" t="n">
        <v>45625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42862-2022</t>
        </is>
      </c>
      <c r="B300" s="1" t="n">
        <v>44832</v>
      </c>
      <c r="C300" s="1" t="n">
        <v>45625</v>
      </c>
      <c r="D300" t="inlineStr">
        <is>
          <t>ÖREBRO LÄN</t>
        </is>
      </c>
      <c r="E300" t="inlineStr">
        <is>
          <t>HÄLLEFORS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42863-2022</t>
        </is>
      </c>
      <c r="B301" s="1" t="n">
        <v>44832</v>
      </c>
      <c r="C301" s="1" t="n">
        <v>45625</v>
      </c>
      <c r="D301" t="inlineStr">
        <is>
          <t>ÖREBRO LÄN</t>
        </is>
      </c>
      <c r="E301" t="inlineStr">
        <is>
          <t>HÄLLEFORS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44209-2022</t>
        </is>
      </c>
      <c r="B302" s="1" t="n">
        <v>44839</v>
      </c>
      <c r="C302" s="1" t="n">
        <v>45625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44171-2022</t>
        </is>
      </c>
      <c r="B303" s="1" t="n">
        <v>44839</v>
      </c>
      <c r="C303" s="1" t="n">
        <v>45625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44939-2022</t>
        </is>
      </c>
      <c r="B304" s="1" t="n">
        <v>44841</v>
      </c>
      <c r="C304" s="1" t="n">
        <v>45625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44810-2022</t>
        </is>
      </c>
      <c r="B305" s="1" t="n">
        <v>44841</v>
      </c>
      <c r="C305" s="1" t="n">
        <v>45625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47190-2022</t>
        </is>
      </c>
      <c r="B306" s="1" t="n">
        <v>44852</v>
      </c>
      <c r="C306" s="1" t="n">
        <v>45625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47604-2022</t>
        </is>
      </c>
      <c r="B307" s="1" t="n">
        <v>44854</v>
      </c>
      <c r="C307" s="1" t="n">
        <v>45625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47601-2022</t>
        </is>
      </c>
      <c r="B308" s="1" t="n">
        <v>44854</v>
      </c>
      <c r="C308" s="1" t="n">
        <v>45625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48184-2022</t>
        </is>
      </c>
      <c r="B309" s="1" t="n">
        <v>44858</v>
      </c>
      <c r="C309" s="1" t="n">
        <v>45625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49215-2022</t>
        </is>
      </c>
      <c r="B310" s="1" t="n">
        <v>44861</v>
      </c>
      <c r="C310" s="1" t="n">
        <v>45625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49375-2022</t>
        </is>
      </c>
      <c r="B311" s="1" t="n">
        <v>44861</v>
      </c>
      <c r="C311" s="1" t="n">
        <v>45625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49787-2022</t>
        </is>
      </c>
      <c r="B312" s="1" t="n">
        <v>44862</v>
      </c>
      <c r="C312" s="1" t="n">
        <v>45625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50703-2022</t>
        </is>
      </c>
      <c r="B313" s="1" t="n">
        <v>44867</v>
      </c>
      <c r="C313" s="1" t="n">
        <v>45625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50714-2022</t>
        </is>
      </c>
      <c r="B314" s="1" t="n">
        <v>44867</v>
      </c>
      <c r="C314" s="1" t="n">
        <v>45625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51088-2022</t>
        </is>
      </c>
      <c r="B315" s="1" t="n">
        <v>44868</v>
      </c>
      <c r="C315" s="1" t="n">
        <v>45625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51373-2022</t>
        </is>
      </c>
      <c r="B316" s="1" t="n">
        <v>44869</v>
      </c>
      <c r="C316" s="1" t="n">
        <v>45625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51603-2022</t>
        </is>
      </c>
      <c r="B317" s="1" t="n">
        <v>44871</v>
      </c>
      <c r="C317" s="1" t="n">
        <v>45625</v>
      </c>
      <c r="D317" t="inlineStr">
        <is>
          <t>ÖREBRO LÄN</t>
        </is>
      </c>
      <c r="E317" t="inlineStr">
        <is>
          <t>HÄLLEFORS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51605-2022</t>
        </is>
      </c>
      <c r="B318" s="1" t="n">
        <v>44871</v>
      </c>
      <c r="C318" s="1" t="n">
        <v>45625</v>
      </c>
      <c r="D318" t="inlineStr">
        <is>
          <t>ÖREBRO LÄN</t>
        </is>
      </c>
      <c r="E318" t="inlineStr">
        <is>
          <t>HÄLLEFORS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52128-2022</t>
        </is>
      </c>
      <c r="B319" s="1" t="n">
        <v>44873</v>
      </c>
      <c r="C319" s="1" t="n">
        <v>45625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52138-2022</t>
        </is>
      </c>
      <c r="B320" s="1" t="n">
        <v>44873</v>
      </c>
      <c r="C320" s="1" t="n">
        <v>45625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52377-2022</t>
        </is>
      </c>
      <c r="B321" s="1" t="n">
        <v>44874</v>
      </c>
      <c r="C321" s="1" t="n">
        <v>45625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52481-2022</t>
        </is>
      </c>
      <c r="B322" s="1" t="n">
        <v>44874</v>
      </c>
      <c r="C322" s="1" t="n">
        <v>45625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52367-2022</t>
        </is>
      </c>
      <c r="B323" s="1" t="n">
        <v>44874</v>
      </c>
      <c r="C323" s="1" t="n">
        <v>45625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53035-2022</t>
        </is>
      </c>
      <c r="B324" s="1" t="n">
        <v>44876</v>
      </c>
      <c r="C324" s="1" t="n">
        <v>45625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53152-2022</t>
        </is>
      </c>
      <c r="B325" s="1" t="n">
        <v>44876</v>
      </c>
      <c r="C325" s="1" t="n">
        <v>45625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53157-2022</t>
        </is>
      </c>
      <c r="B326" s="1" t="n">
        <v>44876</v>
      </c>
      <c r="C326" s="1" t="n">
        <v>45625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53154-2022</t>
        </is>
      </c>
      <c r="B327" s="1" t="n">
        <v>44876</v>
      </c>
      <c r="C327" s="1" t="n">
        <v>45625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53699-2022</t>
        </is>
      </c>
      <c r="B328" s="1" t="n">
        <v>44880</v>
      </c>
      <c r="C328" s="1" t="n">
        <v>45625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54530-2022</t>
        </is>
      </c>
      <c r="B329" s="1" t="n">
        <v>44882</v>
      </c>
      <c r="C329" s="1" t="n">
        <v>45625</v>
      </c>
      <c r="D329" t="inlineStr">
        <is>
          <t>ÖREBRO LÄN</t>
        </is>
      </c>
      <c r="E329" t="inlineStr">
        <is>
          <t>HÄLLEFORS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55167-2022</t>
        </is>
      </c>
      <c r="B330" s="1" t="n">
        <v>44886</v>
      </c>
      <c r="C330" s="1" t="n">
        <v>45625</v>
      </c>
      <c r="D330" t="inlineStr">
        <is>
          <t>ÖREBRO LÄN</t>
        </is>
      </c>
      <c r="E330" t="inlineStr">
        <is>
          <t>HÄLLEFORS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55299-2022</t>
        </is>
      </c>
      <c r="B331" s="1" t="n">
        <v>44887</v>
      </c>
      <c r="C331" s="1" t="n">
        <v>45625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56750-2022</t>
        </is>
      </c>
      <c r="B332" s="1" t="n">
        <v>44894</v>
      </c>
      <c r="C332" s="1" t="n">
        <v>45625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57455-2022</t>
        </is>
      </c>
      <c r="B333" s="1" t="n">
        <v>44896</v>
      </c>
      <c r="C333" s="1" t="n">
        <v>45625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57697-2022</t>
        </is>
      </c>
      <c r="B334" s="1" t="n">
        <v>44897</v>
      </c>
      <c r="C334" s="1" t="n">
        <v>45625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58499-2022</t>
        </is>
      </c>
      <c r="B335" s="1" t="n">
        <v>44902</v>
      </c>
      <c r="C335" s="1" t="n">
        <v>45625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59184-2022</t>
        </is>
      </c>
      <c r="B336" s="1" t="n">
        <v>44904</v>
      </c>
      <c r="C336" s="1" t="n">
        <v>45625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59485-2022</t>
        </is>
      </c>
      <c r="B337" s="1" t="n">
        <v>44907</v>
      </c>
      <c r="C337" s="1" t="n">
        <v>45625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59557-2022</t>
        </is>
      </c>
      <c r="B338" s="1" t="n">
        <v>44907</v>
      </c>
      <c r="C338" s="1" t="n">
        <v>45625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60167-2022</t>
        </is>
      </c>
      <c r="B339" s="1" t="n">
        <v>44909</v>
      </c>
      <c r="C339" s="1" t="n">
        <v>45625</v>
      </c>
      <c r="D339" t="inlineStr">
        <is>
          <t>ÖREBRO LÄN</t>
        </is>
      </c>
      <c r="E339" t="inlineStr">
        <is>
          <t>HÄLLEFORS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60932-2022</t>
        </is>
      </c>
      <c r="B340" s="1" t="n">
        <v>44914</v>
      </c>
      <c r="C340" s="1" t="n">
        <v>45625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62131-2022</t>
        </is>
      </c>
      <c r="B341" s="1" t="n">
        <v>44922</v>
      </c>
      <c r="C341" s="1" t="n">
        <v>45625</v>
      </c>
      <c r="D341" t="inlineStr">
        <is>
          <t>ÖREBRO LÄN</t>
        </is>
      </c>
      <c r="E341" t="inlineStr">
        <is>
          <t>HÄLLEFORS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62265-2022</t>
        </is>
      </c>
      <c r="B342" s="1" t="n">
        <v>44923</v>
      </c>
      <c r="C342" s="1" t="n">
        <v>45625</v>
      </c>
      <c r="D342" t="inlineStr">
        <is>
          <t>ÖREBRO LÄN</t>
        </is>
      </c>
      <c r="E342" t="inlineStr">
        <is>
          <t>HÄLLEFORS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62501-2022</t>
        </is>
      </c>
      <c r="B343" s="1" t="n">
        <v>44924</v>
      </c>
      <c r="C343" s="1" t="n">
        <v>45625</v>
      </c>
      <c r="D343" t="inlineStr">
        <is>
          <t>ÖREBRO LÄN</t>
        </is>
      </c>
      <c r="E343" t="inlineStr">
        <is>
          <t>HÄLLEFORS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272-2023</t>
        </is>
      </c>
      <c r="B344" s="1" t="n">
        <v>44928</v>
      </c>
      <c r="C344" s="1" t="n">
        <v>45625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623-2023</t>
        </is>
      </c>
      <c r="B345" s="1" t="n">
        <v>44930</v>
      </c>
      <c r="C345" s="1" t="n">
        <v>45625</v>
      </c>
      <c r="D345" t="inlineStr">
        <is>
          <t>ÖREBRO LÄN</t>
        </is>
      </c>
      <c r="E345" t="inlineStr">
        <is>
          <t>HÄLLEFORS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2283-2023</t>
        </is>
      </c>
      <c r="B346" s="1" t="n">
        <v>44942</v>
      </c>
      <c r="C346" s="1" t="n">
        <v>45625</v>
      </c>
      <c r="D346" t="inlineStr">
        <is>
          <t>ÖREBRO LÄN</t>
        </is>
      </c>
      <c r="E346" t="inlineStr">
        <is>
          <t>HÄLLEFORS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4352-2023</t>
        </is>
      </c>
      <c r="B347" s="1" t="n">
        <v>44954</v>
      </c>
      <c r="C347" s="1" t="n">
        <v>45625</v>
      </c>
      <c r="D347" t="inlineStr">
        <is>
          <t>ÖREBRO LÄN</t>
        </is>
      </c>
      <c r="E347" t="inlineStr">
        <is>
          <t>HÄLLEFORS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4353-2023</t>
        </is>
      </c>
      <c r="B348" s="1" t="n">
        <v>44954</v>
      </c>
      <c r="C348" s="1" t="n">
        <v>45625</v>
      </c>
      <c r="D348" t="inlineStr">
        <is>
          <t>ÖREBRO LÄN</t>
        </is>
      </c>
      <c r="E348" t="inlineStr">
        <is>
          <t>HÄLLEFORS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4994-2023</t>
        </is>
      </c>
      <c r="B349" s="1" t="n">
        <v>44958</v>
      </c>
      <c r="C349" s="1" t="n">
        <v>45625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5195-2023</t>
        </is>
      </c>
      <c r="B350" s="1" t="n">
        <v>44959</v>
      </c>
      <c r="C350" s="1" t="n">
        <v>45625</v>
      </c>
      <c r="D350" t="inlineStr">
        <is>
          <t>ÖREBRO LÄN</t>
        </is>
      </c>
      <c r="E350" t="inlineStr">
        <is>
          <t>HÄLLEFORS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5583-2023</t>
        </is>
      </c>
      <c r="B351" s="1" t="n">
        <v>44960</v>
      </c>
      <c r="C351" s="1" t="n">
        <v>45625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6292-2023</t>
        </is>
      </c>
      <c r="B352" s="1" t="n">
        <v>44965</v>
      </c>
      <c r="C352" s="1" t="n">
        <v>45625</v>
      </c>
      <c r="D352" t="inlineStr">
        <is>
          <t>ÖREBRO LÄN</t>
        </is>
      </c>
      <c r="E352" t="inlineStr">
        <is>
          <t>HÄLLEFORS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6289-2023</t>
        </is>
      </c>
      <c r="B353" s="1" t="n">
        <v>44965</v>
      </c>
      <c r="C353" s="1" t="n">
        <v>45625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6296-2023</t>
        </is>
      </c>
      <c r="B354" s="1" t="n">
        <v>44965</v>
      </c>
      <c r="C354" s="1" t="n">
        <v>45625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8911-2023</t>
        </is>
      </c>
      <c r="B355" s="1" t="n">
        <v>44979</v>
      </c>
      <c r="C355" s="1" t="n">
        <v>45625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9009-2023</t>
        </is>
      </c>
      <c r="B356" s="1" t="n">
        <v>44979</v>
      </c>
      <c r="C356" s="1" t="n">
        <v>45625</v>
      </c>
      <c r="D356" t="inlineStr">
        <is>
          <t>ÖREBRO LÄN</t>
        </is>
      </c>
      <c r="E356" t="inlineStr">
        <is>
          <t>HÄLLEFORS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9516-2023</t>
        </is>
      </c>
      <c r="B357" s="1" t="n">
        <v>44981</v>
      </c>
      <c r="C357" s="1" t="n">
        <v>45625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9518-2023</t>
        </is>
      </c>
      <c r="B358" s="1" t="n">
        <v>44981</v>
      </c>
      <c r="C358" s="1" t="n">
        <v>45625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9515-2023</t>
        </is>
      </c>
      <c r="B359" s="1" t="n">
        <v>44981</v>
      </c>
      <c r="C359" s="1" t="n">
        <v>45625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9513-2023</t>
        </is>
      </c>
      <c r="B360" s="1" t="n">
        <v>44981</v>
      </c>
      <c r="C360" s="1" t="n">
        <v>45625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9524-2023</t>
        </is>
      </c>
      <c r="B361" s="1" t="n">
        <v>44981</v>
      </c>
      <c r="C361" s="1" t="n">
        <v>45625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10164-2023</t>
        </is>
      </c>
      <c r="B362" s="1" t="n">
        <v>44986</v>
      </c>
      <c r="C362" s="1" t="n">
        <v>45625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10522-2023</t>
        </is>
      </c>
      <c r="B363" s="1" t="n">
        <v>44987</v>
      </c>
      <c r="C363" s="1" t="n">
        <v>45625</v>
      </c>
      <c r="D363" t="inlineStr">
        <is>
          <t>ÖREBRO LÄN</t>
        </is>
      </c>
      <c r="E363" t="inlineStr">
        <is>
          <t>HÄLLEFORS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12696-2023</t>
        </is>
      </c>
      <c r="B364" s="1" t="n">
        <v>45000</v>
      </c>
      <c r="C364" s="1" t="n">
        <v>45625</v>
      </c>
      <c r="D364" t="inlineStr">
        <is>
          <t>ÖREBRO LÄN</t>
        </is>
      </c>
      <c r="E364" t="inlineStr">
        <is>
          <t>HÄLLEFORS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12693-2023</t>
        </is>
      </c>
      <c r="B365" s="1" t="n">
        <v>45000</v>
      </c>
      <c r="C365" s="1" t="n">
        <v>45625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12546-2023</t>
        </is>
      </c>
      <c r="B366" s="1" t="n">
        <v>45000</v>
      </c>
      <c r="C366" s="1" t="n">
        <v>45625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12545-2023</t>
        </is>
      </c>
      <c r="B367" s="1" t="n">
        <v>45000</v>
      </c>
      <c r="C367" s="1" t="n">
        <v>45625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12697-2023</t>
        </is>
      </c>
      <c r="B368" s="1" t="n">
        <v>45000</v>
      </c>
      <c r="C368" s="1" t="n">
        <v>45625</v>
      </c>
      <c r="D368" t="inlineStr">
        <is>
          <t>ÖREBRO LÄN</t>
        </is>
      </c>
      <c r="E368" t="inlineStr">
        <is>
          <t>HÄLLEFORS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13299-2023</t>
        </is>
      </c>
      <c r="B369" s="1" t="n">
        <v>45005</v>
      </c>
      <c r="C369" s="1" t="n">
        <v>45625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13758-2023</t>
        </is>
      </c>
      <c r="B370" s="1" t="n">
        <v>45007</v>
      </c>
      <c r="C370" s="1" t="n">
        <v>45625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13739-2023</t>
        </is>
      </c>
      <c r="B371" s="1" t="n">
        <v>45007</v>
      </c>
      <c r="C371" s="1" t="n">
        <v>45625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13757-2023</t>
        </is>
      </c>
      <c r="B372" s="1" t="n">
        <v>45007</v>
      </c>
      <c r="C372" s="1" t="n">
        <v>45625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14120-2023</t>
        </is>
      </c>
      <c r="B373" s="1" t="n">
        <v>45009</v>
      </c>
      <c r="C373" s="1" t="n">
        <v>45625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14127-2023</t>
        </is>
      </c>
      <c r="B374" s="1" t="n">
        <v>45009</v>
      </c>
      <c r="C374" s="1" t="n">
        <v>45625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14894-2023</t>
        </is>
      </c>
      <c r="B375" s="1" t="n">
        <v>45015</v>
      </c>
      <c r="C375" s="1" t="n">
        <v>45625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15247-2023</t>
        </is>
      </c>
      <c r="B376" s="1" t="n">
        <v>45019</v>
      </c>
      <c r="C376" s="1" t="n">
        <v>45625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15249-2023</t>
        </is>
      </c>
      <c r="B377" s="1" t="n">
        <v>45019</v>
      </c>
      <c r="C377" s="1" t="n">
        <v>45625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15248-2023</t>
        </is>
      </c>
      <c r="B378" s="1" t="n">
        <v>45019</v>
      </c>
      <c r="C378" s="1" t="n">
        <v>45625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15941-2023</t>
        </is>
      </c>
      <c r="B379" s="1" t="n">
        <v>45022</v>
      </c>
      <c r="C379" s="1" t="n">
        <v>45625</v>
      </c>
      <c r="D379" t="inlineStr">
        <is>
          <t>ÖREBRO LÄN</t>
        </is>
      </c>
      <c r="E379" t="inlineStr">
        <is>
          <t>HÄLLEFORS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16026-2023</t>
        </is>
      </c>
      <c r="B380" s="1" t="n">
        <v>45027</v>
      </c>
      <c r="C380" s="1" t="n">
        <v>45625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16053-2023</t>
        </is>
      </c>
      <c r="B381" s="1" t="n">
        <v>45027</v>
      </c>
      <c r="C381" s="1" t="n">
        <v>45625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17765-2023</t>
        </is>
      </c>
      <c r="B382" s="1" t="n">
        <v>45037</v>
      </c>
      <c r="C382" s="1" t="n">
        <v>45625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17769-2023</t>
        </is>
      </c>
      <c r="B383" s="1" t="n">
        <v>45037</v>
      </c>
      <c r="C383" s="1" t="n">
        <v>45625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17762-2023</t>
        </is>
      </c>
      <c r="B384" s="1" t="n">
        <v>45037</v>
      </c>
      <c r="C384" s="1" t="n">
        <v>45625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17767-2023</t>
        </is>
      </c>
      <c r="B385" s="1" t="n">
        <v>45037</v>
      </c>
      <c r="C385" s="1" t="n">
        <v>45625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17764-2023</t>
        </is>
      </c>
      <c r="B386" s="1" t="n">
        <v>45037</v>
      </c>
      <c r="C386" s="1" t="n">
        <v>45625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18848-2023</t>
        </is>
      </c>
      <c r="B387" s="1" t="n">
        <v>45044</v>
      </c>
      <c r="C387" s="1" t="n">
        <v>45625</v>
      </c>
      <c r="D387" t="inlineStr">
        <is>
          <t>ÖREBRO LÄN</t>
        </is>
      </c>
      <c r="E387" t="inlineStr">
        <is>
          <t>HÄLLEFORS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19083-2023</t>
        </is>
      </c>
      <c r="B388" s="1" t="n">
        <v>45048</v>
      </c>
      <c r="C388" s="1" t="n">
        <v>45625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19753-2023</t>
        </is>
      </c>
      <c r="B389" s="1" t="n">
        <v>45051</v>
      </c>
      <c r="C389" s="1" t="n">
        <v>45625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20177-2023</t>
        </is>
      </c>
      <c r="B390" s="1" t="n">
        <v>45055</v>
      </c>
      <c r="C390" s="1" t="n">
        <v>45625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20494-2023</t>
        </is>
      </c>
      <c r="B391" s="1" t="n">
        <v>45057</v>
      </c>
      <c r="C391" s="1" t="n">
        <v>45625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20511-2023</t>
        </is>
      </c>
      <c r="B392" s="1" t="n">
        <v>45057</v>
      </c>
      <c r="C392" s="1" t="n">
        <v>45625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20524-2023</t>
        </is>
      </c>
      <c r="B393" s="1" t="n">
        <v>45057</v>
      </c>
      <c r="C393" s="1" t="n">
        <v>45625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20827-2023</t>
        </is>
      </c>
      <c r="B394" s="1" t="n">
        <v>45058</v>
      </c>
      <c r="C394" s="1" t="n">
        <v>45625</v>
      </c>
      <c r="D394" t="inlineStr">
        <is>
          <t>ÖREBRO LÄN</t>
        </is>
      </c>
      <c r="E394" t="inlineStr">
        <is>
          <t>HÄLLEFORS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20676-2023</t>
        </is>
      </c>
      <c r="B395" s="1" t="n">
        <v>45058</v>
      </c>
      <c r="C395" s="1" t="n">
        <v>45625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21642-2023</t>
        </is>
      </c>
      <c r="B396" s="1" t="n">
        <v>45063</v>
      </c>
      <c r="C396" s="1" t="n">
        <v>45625</v>
      </c>
      <c r="D396" t="inlineStr">
        <is>
          <t>ÖREBRO LÄN</t>
        </is>
      </c>
      <c r="E396" t="inlineStr">
        <is>
          <t>HÄLLEFORS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21901-2023</t>
        </is>
      </c>
      <c r="B397" s="1" t="n">
        <v>45068</v>
      </c>
      <c r="C397" s="1" t="n">
        <v>45625</v>
      </c>
      <c r="D397" t="inlineStr">
        <is>
          <t>ÖREBRO LÄN</t>
        </is>
      </c>
      <c r="E397" t="inlineStr">
        <is>
          <t>HÄLLEFORS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21845-2023</t>
        </is>
      </c>
      <c r="B398" s="1" t="n">
        <v>45068</v>
      </c>
      <c r="C398" s="1" t="n">
        <v>45625</v>
      </c>
      <c r="D398" t="inlineStr">
        <is>
          <t>ÖREBRO LÄN</t>
        </is>
      </c>
      <c r="E398" t="inlineStr">
        <is>
          <t>HÄLLEFORS</t>
        </is>
      </c>
      <c r="F398" t="inlineStr">
        <is>
          <t>Kyrkan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22514-2023</t>
        </is>
      </c>
      <c r="B399" s="1" t="n">
        <v>45071</v>
      </c>
      <c r="C399" s="1" t="n">
        <v>45625</v>
      </c>
      <c r="D399" t="inlineStr">
        <is>
          <t>ÖREBRO LÄN</t>
        </is>
      </c>
      <c r="E399" t="inlineStr">
        <is>
          <t>HÄLLEFORS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23077-2023</t>
        </is>
      </c>
      <c r="B400" s="1" t="n">
        <v>45075</v>
      </c>
      <c r="C400" s="1" t="n">
        <v>45625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23168-2023</t>
        </is>
      </c>
      <c r="B401" s="1" t="n">
        <v>45075</v>
      </c>
      <c r="C401" s="1" t="n">
        <v>45625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23170-2023</t>
        </is>
      </c>
      <c r="B402" s="1" t="n">
        <v>45075</v>
      </c>
      <c r="C402" s="1" t="n">
        <v>45625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23549-2023</t>
        </is>
      </c>
      <c r="B403" s="1" t="n">
        <v>45077</v>
      </c>
      <c r="C403" s="1" t="n">
        <v>45625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23561-2023</t>
        </is>
      </c>
      <c r="B404" s="1" t="n">
        <v>45077</v>
      </c>
      <c r="C404" s="1" t="n">
        <v>45625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24014-2023</t>
        </is>
      </c>
      <c r="B405" s="1" t="n">
        <v>45078</v>
      </c>
      <c r="C405" s="1" t="n">
        <v>45625</v>
      </c>
      <c r="D405" t="inlineStr">
        <is>
          <t>ÖREBRO LÄN</t>
        </is>
      </c>
      <c r="E405" t="inlineStr">
        <is>
          <t>HÄLLEFORS</t>
        </is>
      </c>
      <c r="F405" t="inlineStr">
        <is>
          <t>Kommuner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24018-2023</t>
        </is>
      </c>
      <c r="B406" s="1" t="n">
        <v>45078</v>
      </c>
      <c r="C406" s="1" t="n">
        <v>45625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24335-2023</t>
        </is>
      </c>
      <c r="B407" s="1" t="n">
        <v>45081</v>
      </c>
      <c r="C407" s="1" t="n">
        <v>45625</v>
      </c>
      <c r="D407" t="inlineStr">
        <is>
          <t>ÖREBRO LÄN</t>
        </is>
      </c>
      <c r="E407" t="inlineStr">
        <is>
          <t>HÄLLEFORS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24361-2023</t>
        </is>
      </c>
      <c r="B408" s="1" t="n">
        <v>45082</v>
      </c>
      <c r="C408" s="1" t="n">
        <v>45625</v>
      </c>
      <c r="D408" t="inlineStr">
        <is>
          <t>ÖREBRO LÄN</t>
        </is>
      </c>
      <c r="E408" t="inlineStr">
        <is>
          <t>HÄLLEFORS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24359-2023</t>
        </is>
      </c>
      <c r="B409" s="1" t="n">
        <v>45082</v>
      </c>
      <c r="C409" s="1" t="n">
        <v>45625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24564-2023</t>
        </is>
      </c>
      <c r="B410" s="1" t="n">
        <v>45083</v>
      </c>
      <c r="C410" s="1" t="n">
        <v>45625</v>
      </c>
      <c r="D410" t="inlineStr">
        <is>
          <t>ÖREBRO LÄN</t>
        </is>
      </c>
      <c r="E410" t="inlineStr">
        <is>
          <t>HÄLLEFORS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25695-2023</t>
        </is>
      </c>
      <c r="B411" s="1" t="n">
        <v>45089</v>
      </c>
      <c r="C411" s="1" t="n">
        <v>45625</v>
      </c>
      <c r="D411" t="inlineStr">
        <is>
          <t>ÖREBRO LÄN</t>
        </is>
      </c>
      <c r="E411" t="inlineStr">
        <is>
          <t>HÄLLEFORS</t>
        </is>
      </c>
      <c r="G411" t="n">
        <v>12.8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26070-2023</t>
        </is>
      </c>
      <c r="B412" s="1" t="n">
        <v>45091</v>
      </c>
      <c r="C412" s="1" t="n">
        <v>45625</v>
      </c>
      <c r="D412" t="inlineStr">
        <is>
          <t>ÖREBRO LÄN</t>
        </is>
      </c>
      <c r="E412" t="inlineStr">
        <is>
          <t>HÄLLEFORS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27935-2023</t>
        </is>
      </c>
      <c r="B413" s="1" t="n">
        <v>45098</v>
      </c>
      <c r="C413" s="1" t="n">
        <v>45625</v>
      </c>
      <c r="D413" t="inlineStr">
        <is>
          <t>ÖREBRO LÄN</t>
        </is>
      </c>
      <c r="E413" t="inlineStr">
        <is>
          <t>HÄLLEFORS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27949-2023</t>
        </is>
      </c>
      <c r="B414" s="1" t="n">
        <v>45098</v>
      </c>
      <c r="C414" s="1" t="n">
        <v>45625</v>
      </c>
      <c r="D414" t="inlineStr">
        <is>
          <t>ÖREBRO LÄN</t>
        </is>
      </c>
      <c r="E414" t="inlineStr">
        <is>
          <t>HÄLLEFORS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30282-2023</t>
        </is>
      </c>
      <c r="B415" s="1" t="n">
        <v>45110</v>
      </c>
      <c r="C415" s="1" t="n">
        <v>45625</v>
      </c>
      <c r="D415" t="inlineStr">
        <is>
          <t>ÖREBRO LÄN</t>
        </is>
      </c>
      <c r="E415" t="inlineStr">
        <is>
          <t>HÄLLEFORS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30865-2023</t>
        </is>
      </c>
      <c r="B416" s="1" t="n">
        <v>45113</v>
      </c>
      <c r="C416" s="1" t="n">
        <v>45625</v>
      </c>
      <c r="D416" t="inlineStr">
        <is>
          <t>ÖREBRO LÄN</t>
        </is>
      </c>
      <c r="E416" t="inlineStr">
        <is>
          <t>HÄLLEFORS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33098-2023</t>
        </is>
      </c>
      <c r="B417" s="1" t="n">
        <v>45126</v>
      </c>
      <c r="C417" s="1" t="n">
        <v>45625</v>
      </c>
      <c r="D417" t="inlineStr">
        <is>
          <t>ÖREBRO LÄN</t>
        </is>
      </c>
      <c r="E417" t="inlineStr">
        <is>
          <t>HÄLLEFORS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33608-2023</t>
        </is>
      </c>
      <c r="B418" s="1" t="n">
        <v>45132</v>
      </c>
      <c r="C418" s="1" t="n">
        <v>45625</v>
      </c>
      <c r="D418" t="inlineStr">
        <is>
          <t>ÖREBRO LÄN</t>
        </is>
      </c>
      <c r="E418" t="inlineStr">
        <is>
          <t>HÄLLEFORS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34271-2023</t>
        </is>
      </c>
      <c r="B419" s="1" t="n">
        <v>45138</v>
      </c>
      <c r="C419" s="1" t="n">
        <v>45625</v>
      </c>
      <c r="D419" t="inlineStr">
        <is>
          <t>ÖREBRO LÄN</t>
        </is>
      </c>
      <c r="E419" t="inlineStr">
        <is>
          <t>HÄLLEFORS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35083-2023</t>
        </is>
      </c>
      <c r="B420" s="1" t="n">
        <v>45145</v>
      </c>
      <c r="C420" s="1" t="n">
        <v>45625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35106-2023</t>
        </is>
      </c>
      <c r="B421" s="1" t="n">
        <v>45145</v>
      </c>
      <c r="C421" s="1" t="n">
        <v>45625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35183-2023</t>
        </is>
      </c>
      <c r="B422" s="1" t="n">
        <v>45145</v>
      </c>
      <c r="C422" s="1" t="n">
        <v>45625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35191-2023</t>
        </is>
      </c>
      <c r="B423" s="1" t="n">
        <v>45145</v>
      </c>
      <c r="C423" s="1" t="n">
        <v>45625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35188-2023</t>
        </is>
      </c>
      <c r="B424" s="1" t="n">
        <v>45145</v>
      </c>
      <c r="C424" s="1" t="n">
        <v>45625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35064-2023</t>
        </is>
      </c>
      <c r="B425" s="1" t="n">
        <v>45145</v>
      </c>
      <c r="C425" s="1" t="n">
        <v>45625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35723-2023</t>
        </is>
      </c>
      <c r="B426" s="1" t="n">
        <v>45147</v>
      </c>
      <c r="C426" s="1" t="n">
        <v>45625</v>
      </c>
      <c r="D426" t="inlineStr">
        <is>
          <t>ÖREBRO LÄN</t>
        </is>
      </c>
      <c r="E426" t="inlineStr">
        <is>
          <t>HÄLLEFORS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36453-2023</t>
        </is>
      </c>
      <c r="B427" s="1" t="n">
        <v>45152</v>
      </c>
      <c r="C427" s="1" t="n">
        <v>45625</v>
      </c>
      <c r="D427" t="inlineStr">
        <is>
          <t>ÖREBRO LÄN</t>
        </is>
      </c>
      <c r="E427" t="inlineStr">
        <is>
          <t>HÄLLEFORS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37321-2023</t>
        </is>
      </c>
      <c r="B428" s="1" t="n">
        <v>45156</v>
      </c>
      <c r="C428" s="1" t="n">
        <v>45625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38403-2023</t>
        </is>
      </c>
      <c r="B429" s="1" t="n">
        <v>45162</v>
      </c>
      <c r="C429" s="1" t="n">
        <v>45625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38429-2023</t>
        </is>
      </c>
      <c r="B430" s="1" t="n">
        <v>45162</v>
      </c>
      <c r="C430" s="1" t="n">
        <v>45625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38402-2023</t>
        </is>
      </c>
      <c r="B431" s="1" t="n">
        <v>45162</v>
      </c>
      <c r="C431" s="1" t="n">
        <v>45625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39183-2023</t>
        </is>
      </c>
      <c r="B432" s="1" t="n">
        <v>45166</v>
      </c>
      <c r="C432" s="1" t="n">
        <v>45625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39167-2023</t>
        </is>
      </c>
      <c r="B433" s="1" t="n">
        <v>45166</v>
      </c>
      <c r="C433" s="1" t="n">
        <v>45625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39195-2023</t>
        </is>
      </c>
      <c r="B434" s="1" t="n">
        <v>45166</v>
      </c>
      <c r="C434" s="1" t="n">
        <v>45625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39205-2023</t>
        </is>
      </c>
      <c r="B435" s="1" t="n">
        <v>45166</v>
      </c>
      <c r="C435" s="1" t="n">
        <v>45625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39451-2023</t>
        </is>
      </c>
      <c r="B436" s="1" t="n">
        <v>45166</v>
      </c>
      <c r="C436" s="1" t="n">
        <v>45625</v>
      </c>
      <c r="D436" t="inlineStr">
        <is>
          <t>ÖREBRO LÄN</t>
        </is>
      </c>
      <c r="E436" t="inlineStr">
        <is>
          <t>HÄLLEFORS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39864-2023</t>
        </is>
      </c>
      <c r="B437" s="1" t="n">
        <v>45168</v>
      </c>
      <c r="C437" s="1" t="n">
        <v>45625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39869-2023</t>
        </is>
      </c>
      <c r="B438" s="1" t="n">
        <v>45168</v>
      </c>
      <c r="C438" s="1" t="n">
        <v>45625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40167-2023</t>
        </is>
      </c>
      <c r="B439" s="1" t="n">
        <v>45169</v>
      </c>
      <c r="C439" s="1" t="n">
        <v>45625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40820-2023</t>
        </is>
      </c>
      <c r="B440" s="1" t="n">
        <v>45171</v>
      </c>
      <c r="C440" s="1" t="n">
        <v>45625</v>
      </c>
      <c r="D440" t="inlineStr">
        <is>
          <t>ÖREBRO LÄN</t>
        </is>
      </c>
      <c r="E440" t="inlineStr">
        <is>
          <t>HÄLLEFORS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40917-2023</t>
        </is>
      </c>
      <c r="B441" s="1" t="n">
        <v>45173</v>
      </c>
      <c r="C441" s="1" t="n">
        <v>45625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41193-2023</t>
        </is>
      </c>
      <c r="B442" s="1" t="n">
        <v>45174</v>
      </c>
      <c r="C442" s="1" t="n">
        <v>45625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41205-2023</t>
        </is>
      </c>
      <c r="B443" s="1" t="n">
        <v>45174</v>
      </c>
      <c r="C443" s="1" t="n">
        <v>45625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41621-2023</t>
        </is>
      </c>
      <c r="B444" s="1" t="n">
        <v>45175</v>
      </c>
      <c r="C444" s="1" t="n">
        <v>45625</v>
      </c>
      <c r="D444" t="inlineStr">
        <is>
          <t>ÖREBRO LÄN</t>
        </is>
      </c>
      <c r="E444" t="inlineStr">
        <is>
          <t>HÄLLEFORS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41809-2023</t>
        </is>
      </c>
      <c r="B445" s="1" t="n">
        <v>45176</v>
      </c>
      <c r="C445" s="1" t="n">
        <v>45625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41898-2023</t>
        </is>
      </c>
      <c r="B446" s="1" t="n">
        <v>45176</v>
      </c>
      <c r="C446" s="1" t="n">
        <v>45625</v>
      </c>
      <c r="D446" t="inlineStr">
        <is>
          <t>ÖREBRO LÄN</t>
        </is>
      </c>
      <c r="E446" t="inlineStr">
        <is>
          <t>HÄLLEFORS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41810-2023</t>
        </is>
      </c>
      <c r="B447" s="1" t="n">
        <v>45176</v>
      </c>
      <c r="C447" s="1" t="n">
        <v>45625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41755-2023</t>
        </is>
      </c>
      <c r="B448" s="1" t="n">
        <v>45176</v>
      </c>
      <c r="C448" s="1" t="n">
        <v>45625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41811-2023</t>
        </is>
      </c>
      <c r="B449" s="1" t="n">
        <v>45176</v>
      </c>
      <c r="C449" s="1" t="n">
        <v>45625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41822-2023</t>
        </is>
      </c>
      <c r="B450" s="1" t="n">
        <v>45176</v>
      </c>
      <c r="C450" s="1" t="n">
        <v>45625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42266-2023</t>
        </is>
      </c>
      <c r="B451" s="1" t="n">
        <v>45180</v>
      </c>
      <c r="C451" s="1" t="n">
        <v>45625</v>
      </c>
      <c r="D451" t="inlineStr">
        <is>
          <t>ÖREBRO LÄN</t>
        </is>
      </c>
      <c r="E451" t="inlineStr">
        <is>
          <t>HÄLLEFORS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43482-2023</t>
        </is>
      </c>
      <c r="B452" s="1" t="n">
        <v>45184</v>
      </c>
      <c r="C452" s="1" t="n">
        <v>45625</v>
      </c>
      <c r="D452" t="inlineStr">
        <is>
          <t>ÖREBRO LÄN</t>
        </is>
      </c>
      <c r="E452" t="inlineStr">
        <is>
          <t>HÄLLEFORS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43941-2023</t>
        </is>
      </c>
      <c r="B453" s="1" t="n">
        <v>45187</v>
      </c>
      <c r="C453" s="1" t="n">
        <v>45625</v>
      </c>
      <c r="D453" t="inlineStr">
        <is>
          <t>ÖREBRO LÄN</t>
        </is>
      </c>
      <c r="E453" t="inlineStr">
        <is>
          <t>HÄLLEFORS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44796-2023</t>
        </is>
      </c>
      <c r="B454" s="1" t="n">
        <v>45190</v>
      </c>
      <c r="C454" s="1" t="n">
        <v>45625</v>
      </c>
      <c r="D454" t="inlineStr">
        <is>
          <t>ÖREBRO LÄN</t>
        </is>
      </c>
      <c r="E454" t="inlineStr">
        <is>
          <t>HÄLLEFORS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45710-2023</t>
        </is>
      </c>
      <c r="B455" s="1" t="n">
        <v>45195</v>
      </c>
      <c r="C455" s="1" t="n">
        <v>45625</v>
      </c>
      <c r="D455" t="inlineStr">
        <is>
          <t>ÖREBRO LÄN</t>
        </is>
      </c>
      <c r="E455" t="inlineStr">
        <is>
          <t>HÄLLEFORS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45694-2023</t>
        </is>
      </c>
      <c r="B456" s="1" t="n">
        <v>45195</v>
      </c>
      <c r="C456" s="1" t="n">
        <v>45625</v>
      </c>
      <c r="D456" t="inlineStr">
        <is>
          <t>ÖREBRO LÄN</t>
        </is>
      </c>
      <c r="E456" t="inlineStr">
        <is>
          <t>HÄLLEFORS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46980-2023</t>
        </is>
      </c>
      <c r="B457" s="1" t="n">
        <v>45201</v>
      </c>
      <c r="C457" s="1" t="n">
        <v>45625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46997-2023</t>
        </is>
      </c>
      <c r="B458" s="1" t="n">
        <v>45201</v>
      </c>
      <c r="C458" s="1" t="n">
        <v>45625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46987-2023</t>
        </is>
      </c>
      <c r="B459" s="1" t="n">
        <v>45201</v>
      </c>
      <c r="C459" s="1" t="n">
        <v>45625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47007-2023</t>
        </is>
      </c>
      <c r="B460" s="1" t="n">
        <v>45201</v>
      </c>
      <c r="C460" s="1" t="n">
        <v>45625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48645-2023</t>
        </is>
      </c>
      <c r="B461" s="1" t="n">
        <v>45208</v>
      </c>
      <c r="C461" s="1" t="n">
        <v>45625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49709-2023</t>
        </is>
      </c>
      <c r="B462" s="1" t="n">
        <v>45212</v>
      </c>
      <c r="C462" s="1" t="n">
        <v>45625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50443-2023</t>
        </is>
      </c>
      <c r="B463" s="1" t="n">
        <v>45216</v>
      </c>
      <c r="C463" s="1" t="n">
        <v>45625</v>
      </c>
      <c r="D463" t="inlineStr">
        <is>
          <t>ÖREBRO LÄN</t>
        </is>
      </c>
      <c r="E463" t="inlineStr">
        <is>
          <t>HÄLLEFORS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50754-2023</t>
        </is>
      </c>
      <c r="B464" s="1" t="n">
        <v>45217</v>
      </c>
      <c r="C464" s="1" t="n">
        <v>45625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50864-2023</t>
        </is>
      </c>
      <c r="B465" s="1" t="n">
        <v>45218</v>
      </c>
      <c r="C465" s="1" t="n">
        <v>45625</v>
      </c>
      <c r="D465" t="inlineStr">
        <is>
          <t>ÖREBRO LÄN</t>
        </is>
      </c>
      <c r="E465" t="inlineStr">
        <is>
          <t>HÄLLEFORS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51159-2023</t>
        </is>
      </c>
      <c r="B466" s="1" t="n">
        <v>45219</v>
      </c>
      <c r="C466" s="1" t="n">
        <v>45625</v>
      </c>
      <c r="D466" t="inlineStr">
        <is>
          <t>ÖREBRO LÄN</t>
        </is>
      </c>
      <c r="E466" t="inlineStr">
        <is>
          <t>HÄLLEFORS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51212-2023</t>
        </is>
      </c>
      <c r="B467" s="1" t="n">
        <v>45219</v>
      </c>
      <c r="C467" s="1" t="n">
        <v>45625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51216-2023</t>
        </is>
      </c>
      <c r="B468" s="1" t="n">
        <v>45219</v>
      </c>
      <c r="C468" s="1" t="n">
        <v>45625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51280-2023</t>
        </is>
      </c>
      <c r="B469" s="1" t="n">
        <v>45219</v>
      </c>
      <c r="C469" s="1" t="n">
        <v>45625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51213-2023</t>
        </is>
      </c>
      <c r="B470" s="1" t="n">
        <v>45219</v>
      </c>
      <c r="C470" s="1" t="n">
        <v>45625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52198-2023</t>
        </is>
      </c>
      <c r="B471" s="1" t="n">
        <v>45224</v>
      </c>
      <c r="C471" s="1" t="n">
        <v>45625</v>
      </c>
      <c r="D471" t="inlineStr">
        <is>
          <t>ÖREBRO LÄN</t>
        </is>
      </c>
      <c r="E471" t="inlineStr">
        <is>
          <t>HÄLLEFORS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52372-2023</t>
        </is>
      </c>
      <c r="B472" s="1" t="n">
        <v>45224</v>
      </c>
      <c r="C472" s="1" t="n">
        <v>45625</v>
      </c>
      <c r="D472" t="inlineStr">
        <is>
          <t>ÖREBRO LÄN</t>
        </is>
      </c>
      <c r="E472" t="inlineStr">
        <is>
          <t>HÄLLEFORS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53923-2023</t>
        </is>
      </c>
      <c r="B473" s="1" t="n">
        <v>45231</v>
      </c>
      <c r="C473" s="1" t="n">
        <v>45625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53892-2023</t>
        </is>
      </c>
      <c r="B474" s="1" t="n">
        <v>45231</v>
      </c>
      <c r="C474" s="1" t="n">
        <v>45625</v>
      </c>
      <c r="D474" t="inlineStr">
        <is>
          <t>ÖREBRO LÄN</t>
        </is>
      </c>
      <c r="E474" t="inlineStr">
        <is>
          <t>HÄLLEFORS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54105-2023</t>
        </is>
      </c>
      <c r="B475" s="1" t="n">
        <v>45232</v>
      </c>
      <c r="C475" s="1" t="n">
        <v>45625</v>
      </c>
      <c r="D475" t="inlineStr">
        <is>
          <t>ÖREBRO LÄN</t>
        </is>
      </c>
      <c r="E475" t="inlineStr">
        <is>
          <t>HÄLLEFORS</t>
        </is>
      </c>
      <c r="F475" t="inlineStr">
        <is>
          <t>Kommuner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54843-2023</t>
        </is>
      </c>
      <c r="B476" s="1" t="n">
        <v>45236</v>
      </c>
      <c r="C476" s="1" t="n">
        <v>45625</v>
      </c>
      <c r="D476" t="inlineStr">
        <is>
          <t>ÖREBRO LÄN</t>
        </is>
      </c>
      <c r="E476" t="inlineStr">
        <is>
          <t>HÄLLEFORS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55300-2023</t>
        </is>
      </c>
      <c r="B477" s="1" t="n">
        <v>45237</v>
      </c>
      <c r="C477" s="1" t="n">
        <v>45625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55392-2023</t>
        </is>
      </c>
      <c r="B478" s="1" t="n">
        <v>45238</v>
      </c>
      <c r="C478" s="1" t="n">
        <v>45625</v>
      </c>
      <c r="D478" t="inlineStr">
        <is>
          <t>ÖREBRO LÄN</t>
        </is>
      </c>
      <c r="E478" t="inlineStr">
        <is>
          <t>HÄLLEFORS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55459-2023</t>
        </is>
      </c>
      <c r="B479" s="1" t="n">
        <v>45238</v>
      </c>
      <c r="C479" s="1" t="n">
        <v>45625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55467-2023</t>
        </is>
      </c>
      <c r="B480" s="1" t="n">
        <v>45238</v>
      </c>
      <c r="C480" s="1" t="n">
        <v>45625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55497-2023</t>
        </is>
      </c>
      <c r="B481" s="1" t="n">
        <v>45238</v>
      </c>
      <c r="C481" s="1" t="n">
        <v>45625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55397-2023</t>
        </is>
      </c>
      <c r="B482" s="1" t="n">
        <v>45238</v>
      </c>
      <c r="C482" s="1" t="n">
        <v>45625</v>
      </c>
      <c r="D482" t="inlineStr">
        <is>
          <t>ÖREBRO LÄN</t>
        </is>
      </c>
      <c r="E482" t="inlineStr">
        <is>
          <t>HÄLLEFORS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55453-2023</t>
        </is>
      </c>
      <c r="B483" s="1" t="n">
        <v>45238</v>
      </c>
      <c r="C483" s="1" t="n">
        <v>45625</v>
      </c>
      <c r="D483" t="inlineStr">
        <is>
          <t>ÖREBRO LÄN</t>
        </is>
      </c>
      <c r="E483" t="inlineStr">
        <is>
          <t>HÄLLEFORS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55471-2023</t>
        </is>
      </c>
      <c r="B484" s="1" t="n">
        <v>45238</v>
      </c>
      <c r="C484" s="1" t="n">
        <v>45625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55477-2023</t>
        </is>
      </c>
      <c r="B485" s="1" t="n">
        <v>45238</v>
      </c>
      <c r="C485" s="1" t="n">
        <v>45625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55756-2023</t>
        </is>
      </c>
      <c r="B486" s="1" t="n">
        <v>45239</v>
      </c>
      <c r="C486" s="1" t="n">
        <v>45625</v>
      </c>
      <c r="D486" t="inlineStr">
        <is>
          <t>ÖREBRO LÄN</t>
        </is>
      </c>
      <c r="E486" t="inlineStr">
        <is>
          <t>HÄLLEFORS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55754-2023</t>
        </is>
      </c>
      <c r="B487" s="1" t="n">
        <v>45239</v>
      </c>
      <c r="C487" s="1" t="n">
        <v>45625</v>
      </c>
      <c r="D487" t="inlineStr">
        <is>
          <t>ÖREBRO LÄN</t>
        </is>
      </c>
      <c r="E487" t="inlineStr">
        <is>
          <t>HÄLLEFORS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58210-2023</t>
        </is>
      </c>
      <c r="B488" s="1" t="n">
        <v>45250</v>
      </c>
      <c r="C488" s="1" t="n">
        <v>45625</v>
      </c>
      <c r="D488" t="inlineStr">
        <is>
          <t>ÖREBRO LÄN</t>
        </is>
      </c>
      <c r="E488" t="inlineStr">
        <is>
          <t>HÄLLEFORS</t>
        </is>
      </c>
      <c r="F488" t="inlineStr">
        <is>
          <t>Sveaskog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58425-2023</t>
        </is>
      </c>
      <c r="B489" s="1" t="n">
        <v>45250</v>
      </c>
      <c r="C489" s="1" t="n">
        <v>45625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58424-2023</t>
        </is>
      </c>
      <c r="B490" s="1" t="n">
        <v>45250</v>
      </c>
      <c r="C490" s="1" t="n">
        <v>45625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58990-2023</t>
        </is>
      </c>
      <c r="B491" s="1" t="n">
        <v>45252</v>
      </c>
      <c r="C491" s="1" t="n">
        <v>45625</v>
      </c>
      <c r="D491" t="inlineStr">
        <is>
          <t>ÖREBRO LÄN</t>
        </is>
      </c>
      <c r="E491" t="inlineStr">
        <is>
          <t>HÄLLEFORS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60302-2023</t>
        </is>
      </c>
      <c r="B492" s="1" t="n">
        <v>45258</v>
      </c>
      <c r="C492" s="1" t="n">
        <v>45625</v>
      </c>
      <c r="D492" t="inlineStr">
        <is>
          <t>ÖREBRO LÄN</t>
        </is>
      </c>
      <c r="E492" t="inlineStr">
        <is>
          <t>HÄLLEFORS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60669-2023</t>
        </is>
      </c>
      <c r="B493" s="1" t="n">
        <v>45260</v>
      </c>
      <c r="C493" s="1" t="n">
        <v>45625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60686-2023</t>
        </is>
      </c>
      <c r="B494" s="1" t="n">
        <v>45260</v>
      </c>
      <c r="C494" s="1" t="n">
        <v>45625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60697-2023</t>
        </is>
      </c>
      <c r="B495" s="1" t="n">
        <v>45260</v>
      </c>
      <c r="C495" s="1" t="n">
        <v>45625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60727-2023</t>
        </is>
      </c>
      <c r="B496" s="1" t="n">
        <v>45260</v>
      </c>
      <c r="C496" s="1" t="n">
        <v>45625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60717-2023</t>
        </is>
      </c>
      <c r="B497" s="1" t="n">
        <v>45260</v>
      </c>
      <c r="C497" s="1" t="n">
        <v>45625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61435-2023</t>
        </is>
      </c>
      <c r="B498" s="1" t="n">
        <v>45264</v>
      </c>
      <c r="C498" s="1" t="n">
        <v>45625</v>
      </c>
      <c r="D498" t="inlineStr">
        <is>
          <t>ÖREBRO LÄN</t>
        </is>
      </c>
      <c r="E498" t="inlineStr">
        <is>
          <t>HÄLLEFORS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65111-2023</t>
        </is>
      </c>
      <c r="B499" s="1" t="n">
        <v>45288</v>
      </c>
      <c r="C499" s="1" t="n">
        <v>45625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65091-2023</t>
        </is>
      </c>
      <c r="B500" s="1" t="n">
        <v>45288</v>
      </c>
      <c r="C500" s="1" t="n">
        <v>45625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65119-2023</t>
        </is>
      </c>
      <c r="B501" s="1" t="n">
        <v>45288</v>
      </c>
      <c r="C501" s="1" t="n">
        <v>45625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65135-2023</t>
        </is>
      </c>
      <c r="B502" s="1" t="n">
        <v>45288</v>
      </c>
      <c r="C502" s="1" t="n">
        <v>45625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1288-2024</t>
        </is>
      </c>
      <c r="B503" s="1" t="n">
        <v>45303</v>
      </c>
      <c r="C503" s="1" t="n">
        <v>45625</v>
      </c>
      <c r="D503" t="inlineStr">
        <is>
          <t>ÖREBRO LÄN</t>
        </is>
      </c>
      <c r="E503" t="inlineStr">
        <is>
          <t>HÄLLEFORS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2079-2024</t>
        </is>
      </c>
      <c r="B504" s="1" t="n">
        <v>45309</v>
      </c>
      <c r="C504" s="1" t="n">
        <v>45625</v>
      </c>
      <c r="D504" t="inlineStr">
        <is>
          <t>ÖREBRO LÄN</t>
        </is>
      </c>
      <c r="E504" t="inlineStr">
        <is>
          <t>HÄLLEFORS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3057-2024</t>
        </is>
      </c>
      <c r="B505" s="1" t="n">
        <v>45316</v>
      </c>
      <c r="C505" s="1" t="n">
        <v>45625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12.2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3091-2024</t>
        </is>
      </c>
      <c r="B506" s="1" t="n">
        <v>45316</v>
      </c>
      <c r="C506" s="1" t="n">
        <v>45625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3068-2024</t>
        </is>
      </c>
      <c r="B507" s="1" t="n">
        <v>45316</v>
      </c>
      <c r="C507" s="1" t="n">
        <v>45625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3145-2024</t>
        </is>
      </c>
      <c r="B508" s="1" t="n">
        <v>45316</v>
      </c>
      <c r="C508" s="1" t="n">
        <v>45625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3246-2024</t>
        </is>
      </c>
      <c r="B509" s="1" t="n">
        <v>45317</v>
      </c>
      <c r="C509" s="1" t="n">
        <v>45625</v>
      </c>
      <c r="D509" t="inlineStr">
        <is>
          <t>ÖREBRO LÄN</t>
        </is>
      </c>
      <c r="E509" t="inlineStr">
        <is>
          <t>HÄLLEFORS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3778-2024</t>
        </is>
      </c>
      <c r="B510" s="1" t="n">
        <v>45321</v>
      </c>
      <c r="C510" s="1" t="n">
        <v>45625</v>
      </c>
      <c r="D510" t="inlineStr">
        <is>
          <t>ÖREBRO LÄN</t>
        </is>
      </c>
      <c r="E510" t="inlineStr">
        <is>
          <t>HÄLLEFORS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4774-2024</t>
        </is>
      </c>
      <c r="B511" s="1" t="n">
        <v>45328</v>
      </c>
      <c r="C511" s="1" t="n">
        <v>45625</v>
      </c>
      <c r="D511" t="inlineStr">
        <is>
          <t>ÖREBRO LÄN</t>
        </is>
      </c>
      <c r="E511" t="inlineStr">
        <is>
          <t>HÄLLEFORS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5643-2024</t>
        </is>
      </c>
      <c r="B512" s="1" t="n">
        <v>45334</v>
      </c>
      <c r="C512" s="1" t="n">
        <v>45625</v>
      </c>
      <c r="D512" t="inlineStr">
        <is>
          <t>ÖREBRO LÄN</t>
        </is>
      </c>
      <c r="E512" t="inlineStr">
        <is>
          <t>HÄLLEFORS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5657-2024</t>
        </is>
      </c>
      <c r="B513" s="1" t="n">
        <v>45334</v>
      </c>
      <c r="C513" s="1" t="n">
        <v>45625</v>
      </c>
      <c r="D513" t="inlineStr">
        <is>
          <t>ÖREBRO LÄN</t>
        </is>
      </c>
      <c r="E513" t="inlineStr">
        <is>
          <t>HÄLLEFORS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5764-2024</t>
        </is>
      </c>
      <c r="B514" s="1" t="n">
        <v>45335</v>
      </c>
      <c r="C514" s="1" t="n">
        <v>45625</v>
      </c>
      <c r="D514" t="inlineStr">
        <is>
          <t>ÖREBRO LÄN</t>
        </is>
      </c>
      <c r="E514" t="inlineStr">
        <is>
          <t>HÄLLEFORS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5762-2024</t>
        </is>
      </c>
      <c r="B515" s="1" t="n">
        <v>45335</v>
      </c>
      <c r="C515" s="1" t="n">
        <v>45625</v>
      </c>
      <c r="D515" t="inlineStr">
        <is>
          <t>ÖREBRO LÄN</t>
        </is>
      </c>
      <c r="E515" t="inlineStr">
        <is>
          <t>HÄLLEFORS</t>
        </is>
      </c>
      <c r="G515" t="n">
        <v>12.1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7066-2024</t>
        </is>
      </c>
      <c r="B516" s="1" t="n">
        <v>45343</v>
      </c>
      <c r="C516" s="1" t="n">
        <v>45625</v>
      </c>
      <c r="D516" t="inlineStr">
        <is>
          <t>ÖREBRO LÄN</t>
        </is>
      </c>
      <c r="E516" t="inlineStr">
        <is>
          <t>HÄLLEFORS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8292-2024</t>
        </is>
      </c>
      <c r="B517" s="1" t="n">
        <v>45352</v>
      </c>
      <c r="C517" s="1" t="n">
        <v>45625</v>
      </c>
      <c r="D517" t="inlineStr">
        <is>
          <t>ÖREBRO LÄN</t>
        </is>
      </c>
      <c r="E517" t="inlineStr">
        <is>
          <t>HÄLLEFORS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8519-2024</t>
        </is>
      </c>
      <c r="B518" s="1" t="n">
        <v>45355</v>
      </c>
      <c r="C518" s="1" t="n">
        <v>45625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9895-2024</t>
        </is>
      </c>
      <c r="B519" s="1" t="n">
        <v>45363</v>
      </c>
      <c r="C519" s="1" t="n">
        <v>45625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9906-2024</t>
        </is>
      </c>
      <c r="B520" s="1" t="n">
        <v>45363</v>
      </c>
      <c r="C520" s="1" t="n">
        <v>45625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9854-2024</t>
        </is>
      </c>
      <c r="B521" s="1" t="n">
        <v>45363</v>
      </c>
      <c r="C521" s="1" t="n">
        <v>45625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11098-2024</t>
        </is>
      </c>
      <c r="B522" s="1" t="n">
        <v>45371</v>
      </c>
      <c r="C522" s="1" t="n">
        <v>45625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11459-2024</t>
        </is>
      </c>
      <c r="B523" s="1" t="n">
        <v>45372</v>
      </c>
      <c r="C523" s="1" t="n">
        <v>45625</v>
      </c>
      <c r="D523" t="inlineStr">
        <is>
          <t>ÖREBRO LÄN</t>
        </is>
      </c>
      <c r="E523" t="inlineStr">
        <is>
          <t>HÄLLEFORS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11467-2024</t>
        </is>
      </c>
      <c r="B524" s="1" t="n">
        <v>45372</v>
      </c>
      <c r="C524" s="1" t="n">
        <v>45625</v>
      </c>
      <c r="D524" t="inlineStr">
        <is>
          <t>ÖREBRO LÄN</t>
        </is>
      </c>
      <c r="E524" t="inlineStr">
        <is>
          <t>HÄLLEFORS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12546-2024</t>
        </is>
      </c>
      <c r="B525" s="1" t="n">
        <v>45379</v>
      </c>
      <c r="C525" s="1" t="n">
        <v>45625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12547-2024</t>
        </is>
      </c>
      <c r="B526" s="1" t="n">
        <v>45379</v>
      </c>
      <c r="C526" s="1" t="n">
        <v>45625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12540-2024</t>
        </is>
      </c>
      <c r="B527" s="1" t="n">
        <v>45379</v>
      </c>
      <c r="C527" s="1" t="n">
        <v>45625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13294-2024</t>
        </is>
      </c>
      <c r="B528" s="1" t="n">
        <v>45386</v>
      </c>
      <c r="C528" s="1" t="n">
        <v>45625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11.1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13731-2024</t>
        </is>
      </c>
      <c r="B529" s="1" t="n">
        <v>45390</v>
      </c>
      <c r="C529" s="1" t="n">
        <v>45625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14128-2024</t>
        </is>
      </c>
      <c r="B530" s="1" t="n">
        <v>45392</v>
      </c>
      <c r="C530" s="1" t="n">
        <v>45625</v>
      </c>
      <c r="D530" t="inlineStr">
        <is>
          <t>ÖREBRO LÄN</t>
        </is>
      </c>
      <c r="E530" t="inlineStr">
        <is>
          <t>HÄLLEFORS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14709-2024</t>
        </is>
      </c>
      <c r="B531" s="1" t="n">
        <v>45397</v>
      </c>
      <c r="C531" s="1" t="n">
        <v>45625</v>
      </c>
      <c r="D531" t="inlineStr">
        <is>
          <t>ÖREBRO LÄN</t>
        </is>
      </c>
      <c r="E531" t="inlineStr">
        <is>
          <t>HÄLLEFORS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15013-2024</t>
        </is>
      </c>
      <c r="B532" s="1" t="n">
        <v>45399</v>
      </c>
      <c r="C532" s="1" t="n">
        <v>45625</v>
      </c>
      <c r="D532" t="inlineStr">
        <is>
          <t>ÖREBRO LÄN</t>
        </is>
      </c>
      <c r="E532" t="inlineStr">
        <is>
          <t>HÄLLEFORS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15011-2024</t>
        </is>
      </c>
      <c r="B533" s="1" t="n">
        <v>45399</v>
      </c>
      <c r="C533" s="1" t="n">
        <v>45625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15757-2024</t>
        </is>
      </c>
      <c r="B534" s="1" t="n">
        <v>45404</v>
      </c>
      <c r="C534" s="1" t="n">
        <v>45625</v>
      </c>
      <c r="D534" t="inlineStr">
        <is>
          <t>ÖREBRO LÄN</t>
        </is>
      </c>
      <c r="E534" t="inlineStr">
        <is>
          <t>HÄLLEFORS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15755-2024</t>
        </is>
      </c>
      <c r="B535" s="1" t="n">
        <v>45404</v>
      </c>
      <c r="C535" s="1" t="n">
        <v>45625</v>
      </c>
      <c r="D535" t="inlineStr">
        <is>
          <t>ÖREBRO LÄN</t>
        </is>
      </c>
      <c r="E535" t="inlineStr">
        <is>
          <t>HÄLLEFORS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16933-2024</t>
        </is>
      </c>
      <c r="B536" s="1" t="n">
        <v>45411</v>
      </c>
      <c r="C536" s="1" t="n">
        <v>45625</v>
      </c>
      <c r="D536" t="inlineStr">
        <is>
          <t>ÖREBRO LÄN</t>
        </is>
      </c>
      <c r="E536" t="inlineStr">
        <is>
          <t>HÄLLEFORS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16999-2024</t>
        </is>
      </c>
      <c r="B537" s="1" t="n">
        <v>45412</v>
      </c>
      <c r="C537" s="1" t="n">
        <v>45625</v>
      </c>
      <c r="D537" t="inlineStr">
        <is>
          <t>ÖREBRO LÄN</t>
        </is>
      </c>
      <c r="E537" t="inlineStr">
        <is>
          <t>HÄLLEFORS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17000-2024</t>
        </is>
      </c>
      <c r="B538" s="1" t="n">
        <v>45412</v>
      </c>
      <c r="C538" s="1" t="n">
        <v>45625</v>
      </c>
      <c r="D538" t="inlineStr">
        <is>
          <t>ÖREBRO LÄN</t>
        </is>
      </c>
      <c r="E538" t="inlineStr">
        <is>
          <t>HÄLLEFORS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16998-2024</t>
        </is>
      </c>
      <c r="B539" s="1" t="n">
        <v>45412</v>
      </c>
      <c r="C539" s="1" t="n">
        <v>45625</v>
      </c>
      <c r="D539" t="inlineStr">
        <is>
          <t>ÖREBRO LÄN</t>
        </is>
      </c>
      <c r="E539" t="inlineStr">
        <is>
          <t>HÄLLEFORS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17305-2024</t>
        </is>
      </c>
      <c r="B540" s="1" t="n">
        <v>45414</v>
      </c>
      <c r="C540" s="1" t="n">
        <v>45625</v>
      </c>
      <c r="D540" t="inlineStr">
        <is>
          <t>ÖREBRO LÄN</t>
        </is>
      </c>
      <c r="E540" t="inlineStr">
        <is>
          <t>HÄLLEFORS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17242-2024</t>
        </is>
      </c>
      <c r="B541" s="1" t="n">
        <v>45414</v>
      </c>
      <c r="C541" s="1" t="n">
        <v>45625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18168-2024</t>
        </is>
      </c>
      <c r="B542" s="1" t="n">
        <v>45420</v>
      </c>
      <c r="C542" s="1" t="n">
        <v>45625</v>
      </c>
      <c r="D542" t="inlineStr">
        <is>
          <t>ÖREBRO LÄN</t>
        </is>
      </c>
      <c r="E542" t="inlineStr">
        <is>
          <t>HÄLLEFORS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19054-2024</t>
        </is>
      </c>
      <c r="B543" s="1" t="n">
        <v>45427</v>
      </c>
      <c r="C543" s="1" t="n">
        <v>45625</v>
      </c>
      <c r="D543" t="inlineStr">
        <is>
          <t>ÖREBRO LÄN</t>
        </is>
      </c>
      <c r="E543" t="inlineStr">
        <is>
          <t>HÄLLEFORS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19055-2024</t>
        </is>
      </c>
      <c r="B544" s="1" t="n">
        <v>45427</v>
      </c>
      <c r="C544" s="1" t="n">
        <v>45625</v>
      </c>
      <c r="D544" t="inlineStr">
        <is>
          <t>ÖREBRO LÄN</t>
        </is>
      </c>
      <c r="E544" t="inlineStr">
        <is>
          <t>HÄLLEFORS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18889-2024</t>
        </is>
      </c>
      <c r="B545" s="1" t="n">
        <v>45427</v>
      </c>
      <c r="C545" s="1" t="n">
        <v>45625</v>
      </c>
      <c r="D545" t="inlineStr">
        <is>
          <t>ÖREBRO LÄN</t>
        </is>
      </c>
      <c r="E545" t="inlineStr">
        <is>
          <t>HÄLLEFORS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19356-2024</t>
        </is>
      </c>
      <c r="B546" s="1" t="n">
        <v>45429</v>
      </c>
      <c r="C546" s="1" t="n">
        <v>45625</v>
      </c>
      <c r="D546" t="inlineStr">
        <is>
          <t>ÖREBRO LÄN</t>
        </is>
      </c>
      <c r="E546" t="inlineStr">
        <is>
          <t>HÄLLEFORS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19683-2024</t>
        </is>
      </c>
      <c r="B547" s="1" t="n">
        <v>45432</v>
      </c>
      <c r="C547" s="1" t="n">
        <v>45625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19805-2024</t>
        </is>
      </c>
      <c r="B548" s="1" t="n">
        <v>45433</v>
      </c>
      <c r="C548" s="1" t="n">
        <v>45625</v>
      </c>
      <c r="D548" t="inlineStr">
        <is>
          <t>ÖREBRO LÄN</t>
        </is>
      </c>
      <c r="E548" t="inlineStr">
        <is>
          <t>HÄLLEFORS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20075-2024</t>
        </is>
      </c>
      <c r="B549" s="1" t="n">
        <v>45434</v>
      </c>
      <c r="C549" s="1" t="n">
        <v>45625</v>
      </c>
      <c r="D549" t="inlineStr">
        <is>
          <t>ÖREBRO LÄN</t>
        </is>
      </c>
      <c r="E549" t="inlineStr">
        <is>
          <t>HÄLLEFORS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20118-2024</t>
        </is>
      </c>
      <c r="B550" s="1" t="n">
        <v>45434</v>
      </c>
      <c r="C550" s="1" t="n">
        <v>45625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20122-2024</t>
        </is>
      </c>
      <c r="B551" s="1" t="n">
        <v>45434</v>
      </c>
      <c r="C551" s="1" t="n">
        <v>45625</v>
      </c>
      <c r="D551" t="inlineStr">
        <is>
          <t>ÖREBRO LÄN</t>
        </is>
      </c>
      <c r="E551" t="inlineStr">
        <is>
          <t>HÄLLEFORS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20069-2024</t>
        </is>
      </c>
      <c r="B552" s="1" t="n">
        <v>45434</v>
      </c>
      <c r="C552" s="1" t="n">
        <v>45625</v>
      </c>
      <c r="D552" t="inlineStr">
        <is>
          <t>ÖREBRO LÄN</t>
        </is>
      </c>
      <c r="E552" t="inlineStr">
        <is>
          <t>HÄLLEFORS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20128-2024</t>
        </is>
      </c>
      <c r="B553" s="1" t="n">
        <v>45434</v>
      </c>
      <c r="C553" s="1" t="n">
        <v>45625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21001-2024</t>
        </is>
      </c>
      <c r="B554" s="1" t="n">
        <v>45439</v>
      </c>
      <c r="C554" s="1" t="n">
        <v>45625</v>
      </c>
      <c r="D554" t="inlineStr">
        <is>
          <t>ÖREBRO LÄN</t>
        </is>
      </c>
      <c r="E554" t="inlineStr">
        <is>
          <t>HÄLLEFORS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21267-2024</t>
        </is>
      </c>
      <c r="B555" s="1" t="n">
        <v>45440</v>
      </c>
      <c r="C555" s="1" t="n">
        <v>45625</v>
      </c>
      <c r="D555" t="inlineStr">
        <is>
          <t>ÖREBRO LÄN</t>
        </is>
      </c>
      <c r="E555" t="inlineStr">
        <is>
          <t>HÄLLEFORS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21315-2024</t>
        </is>
      </c>
      <c r="B556" s="1" t="n">
        <v>45440</v>
      </c>
      <c r="C556" s="1" t="n">
        <v>45625</v>
      </c>
      <c r="D556" t="inlineStr">
        <is>
          <t>ÖREBRO LÄN</t>
        </is>
      </c>
      <c r="E556" t="inlineStr">
        <is>
          <t>HÄLLEFORS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21489-2024</t>
        </is>
      </c>
      <c r="B557" s="1" t="n">
        <v>45441</v>
      </c>
      <c r="C557" s="1" t="n">
        <v>45625</v>
      </c>
      <c r="D557" t="inlineStr">
        <is>
          <t>ÖREBRO LÄN</t>
        </is>
      </c>
      <c r="E557" t="inlineStr">
        <is>
          <t>HÄLLEFORS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23037-2024</t>
        </is>
      </c>
      <c r="B558" s="1" t="n">
        <v>45450</v>
      </c>
      <c r="C558" s="1" t="n">
        <v>45625</v>
      </c>
      <c r="D558" t="inlineStr">
        <is>
          <t>ÖREBRO LÄN</t>
        </is>
      </c>
      <c r="E558" t="inlineStr">
        <is>
          <t>HÄLLEFORS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23036-2024</t>
        </is>
      </c>
      <c r="B559" s="1" t="n">
        <v>45450</v>
      </c>
      <c r="C559" s="1" t="n">
        <v>45625</v>
      </c>
      <c r="D559" t="inlineStr">
        <is>
          <t>ÖREBRO LÄN</t>
        </is>
      </c>
      <c r="E559" t="inlineStr">
        <is>
          <t>HÄLLEFORS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23218-2024</t>
        </is>
      </c>
      <c r="B560" s="1" t="n">
        <v>45452</v>
      </c>
      <c r="C560" s="1" t="n">
        <v>45625</v>
      </c>
      <c r="D560" t="inlineStr">
        <is>
          <t>ÖREBRO LÄN</t>
        </is>
      </c>
      <c r="E560" t="inlineStr">
        <is>
          <t>HÄLLEFORS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23360-2024</t>
        </is>
      </c>
      <c r="B561" s="1" t="n">
        <v>45453</v>
      </c>
      <c r="C561" s="1" t="n">
        <v>45625</v>
      </c>
      <c r="D561" t="inlineStr">
        <is>
          <t>ÖREBRO LÄN</t>
        </is>
      </c>
      <c r="E561" t="inlineStr">
        <is>
          <t>HÄLLEFORS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24014-2024</t>
        </is>
      </c>
      <c r="B562" s="1" t="n">
        <v>45456</v>
      </c>
      <c r="C562" s="1" t="n">
        <v>45625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24011-2024</t>
        </is>
      </c>
      <c r="B563" s="1" t="n">
        <v>45456</v>
      </c>
      <c r="C563" s="1" t="n">
        <v>45625</v>
      </c>
      <c r="D563" t="inlineStr">
        <is>
          <t>ÖREBRO LÄN</t>
        </is>
      </c>
      <c r="E563" t="inlineStr">
        <is>
          <t>HÄLLEFORS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24679-2024</t>
        </is>
      </c>
      <c r="B564" s="1" t="n">
        <v>45460</v>
      </c>
      <c r="C564" s="1" t="n">
        <v>45625</v>
      </c>
      <c r="D564" t="inlineStr">
        <is>
          <t>ÖREBRO LÄN</t>
        </is>
      </c>
      <c r="E564" t="inlineStr">
        <is>
          <t>HÄLLEFORS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25220-2024</t>
        </is>
      </c>
      <c r="B565" s="1" t="n">
        <v>45462</v>
      </c>
      <c r="C565" s="1" t="n">
        <v>45625</v>
      </c>
      <c r="D565" t="inlineStr">
        <is>
          <t>ÖREBRO LÄN</t>
        </is>
      </c>
      <c r="E565" t="inlineStr">
        <is>
          <t>HÄLLEFORS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25059-2024</t>
        </is>
      </c>
      <c r="B566" s="1" t="n">
        <v>45462</v>
      </c>
      <c r="C566" s="1" t="n">
        <v>45625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25460-2024</t>
        </is>
      </c>
      <c r="B567" s="1" t="n">
        <v>45463</v>
      </c>
      <c r="C567" s="1" t="n">
        <v>45625</v>
      </c>
      <c r="D567" t="inlineStr">
        <is>
          <t>ÖREBRO LÄN</t>
        </is>
      </c>
      <c r="E567" t="inlineStr">
        <is>
          <t>HÄLLEFORS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25896-2024</t>
        </is>
      </c>
      <c r="B568" s="1" t="n">
        <v>45467</v>
      </c>
      <c r="C568" s="1" t="n">
        <v>45625</v>
      </c>
      <c r="D568" t="inlineStr">
        <is>
          <t>ÖREBRO LÄN</t>
        </is>
      </c>
      <c r="E568" t="inlineStr">
        <is>
          <t>HÄLLEFORS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26747-2024</t>
        </is>
      </c>
      <c r="B569" s="1" t="n">
        <v>45470</v>
      </c>
      <c r="C569" s="1" t="n">
        <v>45625</v>
      </c>
      <c r="D569" t="inlineStr">
        <is>
          <t>ÖREBRO LÄN</t>
        </is>
      </c>
      <c r="E569" t="inlineStr">
        <is>
          <t>HÄLLEFORS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28575-2024</t>
        </is>
      </c>
      <c r="B570" s="1" t="n">
        <v>45478</v>
      </c>
      <c r="C570" s="1" t="n">
        <v>45625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28564-2024</t>
        </is>
      </c>
      <c r="B571" s="1" t="n">
        <v>45478</v>
      </c>
      <c r="C571" s="1" t="n">
        <v>45625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28628-2024</t>
        </is>
      </c>
      <c r="B572" s="1" t="n">
        <v>45478</v>
      </c>
      <c r="C572" s="1" t="n">
        <v>45625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28605-2024</t>
        </is>
      </c>
      <c r="B573" s="1" t="n">
        <v>45478</v>
      </c>
      <c r="C573" s="1" t="n">
        <v>45625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28653-2024</t>
        </is>
      </c>
      <c r="B574" s="1" t="n">
        <v>45478</v>
      </c>
      <c r="C574" s="1" t="n">
        <v>45625</v>
      </c>
      <c r="D574" t="inlineStr">
        <is>
          <t>ÖREBRO LÄN</t>
        </is>
      </c>
      <c r="E574" t="inlineStr">
        <is>
          <t>HÄLLEFORS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29027-2024</t>
        </is>
      </c>
      <c r="B575" s="1" t="n">
        <v>45481</v>
      </c>
      <c r="C575" s="1" t="n">
        <v>45625</v>
      </c>
      <c r="D575" t="inlineStr">
        <is>
          <t>ÖREBRO LÄN</t>
        </is>
      </c>
      <c r="E575" t="inlineStr">
        <is>
          <t>HÄLLEFORS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28986-2024</t>
        </is>
      </c>
      <c r="B576" s="1" t="n">
        <v>45481</v>
      </c>
      <c r="C576" s="1" t="n">
        <v>45625</v>
      </c>
      <c r="D576" t="inlineStr">
        <is>
          <t>ÖREBRO LÄN</t>
        </is>
      </c>
      <c r="E576" t="inlineStr">
        <is>
          <t>HÄLLEFORS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29340-2024</t>
        </is>
      </c>
      <c r="B577" s="1" t="n">
        <v>45483</v>
      </c>
      <c r="C577" s="1" t="n">
        <v>45625</v>
      </c>
      <c r="D577" t="inlineStr">
        <is>
          <t>ÖREBRO LÄN</t>
        </is>
      </c>
      <c r="E577" t="inlineStr">
        <is>
          <t>HÄLLEFORS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30307-2024</t>
        </is>
      </c>
      <c r="B578" s="1" t="n">
        <v>45490</v>
      </c>
      <c r="C578" s="1" t="n">
        <v>45625</v>
      </c>
      <c r="D578" t="inlineStr">
        <is>
          <t>ÖREBRO LÄN</t>
        </is>
      </c>
      <c r="E578" t="inlineStr">
        <is>
          <t>HÄLLEFORS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30591-2024</t>
        </is>
      </c>
      <c r="B579" s="1" t="n">
        <v>45493</v>
      </c>
      <c r="C579" s="1" t="n">
        <v>45625</v>
      </c>
      <c r="D579" t="inlineStr">
        <is>
          <t>ÖREBRO LÄN</t>
        </is>
      </c>
      <c r="E579" t="inlineStr">
        <is>
          <t>HÄLLEFORS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30592-2024</t>
        </is>
      </c>
      <c r="B580" s="1" t="n">
        <v>45493</v>
      </c>
      <c r="C580" s="1" t="n">
        <v>45625</v>
      </c>
      <c r="D580" t="inlineStr">
        <is>
          <t>ÖREBRO LÄN</t>
        </is>
      </c>
      <c r="E580" t="inlineStr">
        <is>
          <t>HÄLLEFORS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30994-2024</t>
        </is>
      </c>
      <c r="B581" s="1" t="n">
        <v>45499</v>
      </c>
      <c r="C581" s="1" t="n">
        <v>45625</v>
      </c>
      <c r="D581" t="inlineStr">
        <is>
          <t>ÖREBRO LÄN</t>
        </is>
      </c>
      <c r="E581" t="inlineStr">
        <is>
          <t>HÄLLEFORS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32266-2024</t>
        </is>
      </c>
      <c r="B582" s="1" t="n">
        <v>45512</v>
      </c>
      <c r="C582" s="1" t="n">
        <v>45625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33066-2024</t>
        </is>
      </c>
      <c r="B583" s="1" t="n">
        <v>45517</v>
      </c>
      <c r="C583" s="1" t="n">
        <v>45625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32938-2024</t>
        </is>
      </c>
      <c r="B584" s="1" t="n">
        <v>45517</v>
      </c>
      <c r="C584" s="1" t="n">
        <v>45625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32937-2024</t>
        </is>
      </c>
      <c r="B585" s="1" t="n">
        <v>45517</v>
      </c>
      <c r="C585" s="1" t="n">
        <v>45625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32935-2024</t>
        </is>
      </c>
      <c r="B586" s="1" t="n">
        <v>45517</v>
      </c>
      <c r="C586" s="1" t="n">
        <v>45625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33646-2024</t>
        </is>
      </c>
      <c r="B587" s="1" t="n">
        <v>45520</v>
      </c>
      <c r="C587" s="1" t="n">
        <v>45625</v>
      </c>
      <c r="D587" t="inlineStr">
        <is>
          <t>ÖREBRO LÄN</t>
        </is>
      </c>
      <c r="E587" t="inlineStr">
        <is>
          <t>HÄLLEFORS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33944-2024</t>
        </is>
      </c>
      <c r="B588" s="1" t="n">
        <v>45523</v>
      </c>
      <c r="C588" s="1" t="n">
        <v>45625</v>
      </c>
      <c r="D588" t="inlineStr">
        <is>
          <t>ÖREBRO LÄN</t>
        </is>
      </c>
      <c r="E588" t="inlineStr">
        <is>
          <t>HÄLLEFORS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35861-2024</t>
        </is>
      </c>
      <c r="B589" s="1" t="n">
        <v>45533</v>
      </c>
      <c r="C589" s="1" t="n">
        <v>45625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25.9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35860-2024</t>
        </is>
      </c>
      <c r="B590" s="1" t="n">
        <v>45533</v>
      </c>
      <c r="C590" s="1" t="n">
        <v>45625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35864-2024</t>
        </is>
      </c>
      <c r="B591" s="1" t="n">
        <v>45533</v>
      </c>
      <c r="C591" s="1" t="n">
        <v>45625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35862-2024</t>
        </is>
      </c>
      <c r="B592" s="1" t="n">
        <v>45533</v>
      </c>
      <c r="C592" s="1" t="n">
        <v>45625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36090-2024</t>
        </is>
      </c>
      <c r="B593" s="1" t="n">
        <v>45533</v>
      </c>
      <c r="C593" s="1" t="n">
        <v>45625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36149-2024</t>
        </is>
      </c>
      <c r="B594" s="1" t="n">
        <v>45534</v>
      </c>
      <c r="C594" s="1" t="n">
        <v>45625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36159-2024</t>
        </is>
      </c>
      <c r="B595" s="1" t="n">
        <v>45534</v>
      </c>
      <c r="C595" s="1" t="n">
        <v>45625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36114-2024</t>
        </is>
      </c>
      <c r="B596" s="1" t="n">
        <v>45534</v>
      </c>
      <c r="C596" s="1" t="n">
        <v>45625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36152-2024</t>
        </is>
      </c>
      <c r="B597" s="1" t="n">
        <v>45534</v>
      </c>
      <c r="C597" s="1" t="n">
        <v>45625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36276-2024</t>
        </is>
      </c>
      <c r="B598" s="1" t="n">
        <v>45534</v>
      </c>
      <c r="C598" s="1" t="n">
        <v>45625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36637-2024</t>
        </is>
      </c>
      <c r="B599" s="1" t="n">
        <v>45537</v>
      </c>
      <c r="C599" s="1" t="n">
        <v>45625</v>
      </c>
      <c r="D599" t="inlineStr">
        <is>
          <t>ÖREBRO LÄN</t>
        </is>
      </c>
      <c r="E599" t="inlineStr">
        <is>
          <t>HÄLLEFORS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37542-2024</t>
        </is>
      </c>
      <c r="B600" s="1" t="n">
        <v>45541</v>
      </c>
      <c r="C600" s="1" t="n">
        <v>45625</v>
      </c>
      <c r="D600" t="inlineStr">
        <is>
          <t>ÖREBRO LÄN</t>
        </is>
      </c>
      <c r="E600" t="inlineStr">
        <is>
          <t>HÄLLEFORS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38010-2024</t>
        </is>
      </c>
      <c r="B601" s="1" t="n">
        <v>45544</v>
      </c>
      <c r="C601" s="1" t="n">
        <v>45625</v>
      </c>
      <c r="D601" t="inlineStr">
        <is>
          <t>ÖREBRO LÄN</t>
        </is>
      </c>
      <c r="E601" t="inlineStr">
        <is>
          <t>HÄLLEFORS</t>
        </is>
      </c>
      <c r="G601" t="n">
        <v>22.7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38713-2024</t>
        </is>
      </c>
      <c r="B602" s="1" t="n">
        <v>45547</v>
      </c>
      <c r="C602" s="1" t="n">
        <v>45625</v>
      </c>
      <c r="D602" t="inlineStr">
        <is>
          <t>ÖREBRO LÄN</t>
        </is>
      </c>
      <c r="E602" t="inlineStr">
        <is>
          <t>HÄLLEFORS</t>
        </is>
      </c>
      <c r="F602" t="inlineStr">
        <is>
          <t>Bergvik skog väst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38916-2024</t>
        </is>
      </c>
      <c r="B603" s="1" t="n">
        <v>45547</v>
      </c>
      <c r="C603" s="1" t="n">
        <v>45625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39171-2024</t>
        </is>
      </c>
      <c r="B604" s="1" t="n">
        <v>45548</v>
      </c>
      <c r="C604" s="1" t="n">
        <v>45625</v>
      </c>
      <c r="D604" t="inlineStr">
        <is>
          <t>ÖREBRO LÄN</t>
        </is>
      </c>
      <c r="E604" t="inlineStr">
        <is>
          <t>HÄLLEFORS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39513-2024</t>
        </is>
      </c>
      <c r="B605" s="1" t="n">
        <v>45551</v>
      </c>
      <c r="C605" s="1" t="n">
        <v>45625</v>
      </c>
      <c r="D605" t="inlineStr">
        <is>
          <t>ÖREBRO LÄN</t>
        </is>
      </c>
      <c r="E605" t="inlineStr">
        <is>
          <t>HÄLLEFORS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42920-2024</t>
        </is>
      </c>
      <c r="B606" s="1" t="n">
        <v>45567</v>
      </c>
      <c r="C606" s="1" t="n">
        <v>45625</v>
      </c>
      <c r="D606" t="inlineStr">
        <is>
          <t>ÖREBRO LÄN</t>
        </is>
      </c>
      <c r="E606" t="inlineStr">
        <is>
          <t>HÄLLEFORS</t>
        </is>
      </c>
      <c r="F606" t="inlineStr">
        <is>
          <t>Bergvik skog väst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42921-2024</t>
        </is>
      </c>
      <c r="B607" s="1" t="n">
        <v>45567</v>
      </c>
      <c r="C607" s="1" t="n">
        <v>45625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42918-2024</t>
        </is>
      </c>
      <c r="B608" s="1" t="n">
        <v>45567</v>
      </c>
      <c r="C608" s="1" t="n">
        <v>45625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43096-2024</t>
        </is>
      </c>
      <c r="B609" s="1" t="n">
        <v>45567</v>
      </c>
      <c r="C609" s="1" t="n">
        <v>45625</v>
      </c>
      <c r="D609" t="inlineStr">
        <is>
          <t>ÖREBRO LÄN</t>
        </is>
      </c>
      <c r="E609" t="inlineStr">
        <is>
          <t>HÄLLEFORS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43876-2024</t>
        </is>
      </c>
      <c r="B610" s="1" t="n">
        <v>45572</v>
      </c>
      <c r="C610" s="1" t="n">
        <v>45625</v>
      </c>
      <c r="D610" t="inlineStr">
        <is>
          <t>ÖREBRO LÄN</t>
        </is>
      </c>
      <c r="E610" t="inlineStr">
        <is>
          <t>HÄLLEFORS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43966-2024</t>
        </is>
      </c>
      <c r="B611" s="1" t="n">
        <v>45572</v>
      </c>
      <c r="C611" s="1" t="n">
        <v>45625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44007-2024</t>
        </is>
      </c>
      <c r="B612" s="1" t="n">
        <v>45572</v>
      </c>
      <c r="C612" s="1" t="n">
        <v>45625</v>
      </c>
      <c r="D612" t="inlineStr">
        <is>
          <t>ÖREBRO LÄN</t>
        </is>
      </c>
      <c r="E612" t="inlineStr">
        <is>
          <t>HÄLLEFORS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44015-2024</t>
        </is>
      </c>
      <c r="B613" s="1" t="n">
        <v>45572</v>
      </c>
      <c r="C613" s="1" t="n">
        <v>45625</v>
      </c>
      <c r="D613" t="inlineStr">
        <is>
          <t>ÖREBRO LÄN</t>
        </is>
      </c>
      <c r="E613" t="inlineStr">
        <is>
          <t>HÄLLEFORS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44052-2024</t>
        </is>
      </c>
      <c r="B614" s="1" t="n">
        <v>45572</v>
      </c>
      <c r="C614" s="1" t="n">
        <v>45625</v>
      </c>
      <c r="D614" t="inlineStr">
        <is>
          <t>ÖREBRO LÄN</t>
        </is>
      </c>
      <c r="E614" t="inlineStr">
        <is>
          <t>HÄLLEFORS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44105-2024</t>
        </is>
      </c>
      <c r="B615" s="1" t="n">
        <v>45572</v>
      </c>
      <c r="C615" s="1" t="n">
        <v>45625</v>
      </c>
      <c r="D615" t="inlineStr">
        <is>
          <t>ÖREBRO LÄN</t>
        </is>
      </c>
      <c r="E615" t="inlineStr">
        <is>
          <t>HÄLLEFORS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44129-2024</t>
        </is>
      </c>
      <c r="B616" s="1" t="n">
        <v>45572</v>
      </c>
      <c r="C616" s="1" t="n">
        <v>45625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43886-2024</t>
        </is>
      </c>
      <c r="B617" s="1" t="n">
        <v>45572</v>
      </c>
      <c r="C617" s="1" t="n">
        <v>45625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44062-2024</t>
        </is>
      </c>
      <c r="B618" s="1" t="n">
        <v>45572</v>
      </c>
      <c r="C618" s="1" t="n">
        <v>45625</v>
      </c>
      <c r="D618" t="inlineStr">
        <is>
          <t>ÖREBRO LÄN</t>
        </is>
      </c>
      <c r="E618" t="inlineStr">
        <is>
          <t>HÄLLEFORS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44143-2024</t>
        </is>
      </c>
      <c r="B619" s="1" t="n">
        <v>45572</v>
      </c>
      <c r="C619" s="1" t="n">
        <v>45625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44123-2024</t>
        </is>
      </c>
      <c r="B620" s="1" t="n">
        <v>45572</v>
      </c>
      <c r="C620" s="1" t="n">
        <v>45625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44107-2024</t>
        </is>
      </c>
      <c r="B621" s="1" t="n">
        <v>45572</v>
      </c>
      <c r="C621" s="1" t="n">
        <v>45625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44091-2024</t>
        </is>
      </c>
      <c r="B622" s="1" t="n">
        <v>45572</v>
      </c>
      <c r="C622" s="1" t="n">
        <v>45625</v>
      </c>
      <c r="D622" t="inlineStr">
        <is>
          <t>ÖREBRO LÄN</t>
        </is>
      </c>
      <c r="E622" t="inlineStr">
        <is>
          <t>HÄLLEFORS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44106-2024</t>
        </is>
      </c>
      <c r="B623" s="1" t="n">
        <v>45572</v>
      </c>
      <c r="C623" s="1" t="n">
        <v>45625</v>
      </c>
      <c r="D623" t="inlineStr">
        <is>
          <t>ÖREBRO LÄN</t>
        </is>
      </c>
      <c r="E623" t="inlineStr">
        <is>
          <t>HÄLLEFORS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44122-2024</t>
        </is>
      </c>
      <c r="B624" s="1" t="n">
        <v>45572</v>
      </c>
      <c r="C624" s="1" t="n">
        <v>45625</v>
      </c>
      <c r="D624" t="inlineStr">
        <is>
          <t>ÖREBRO LÄN</t>
        </is>
      </c>
      <c r="E624" t="inlineStr">
        <is>
          <t>HÄLLEFORS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44088-2024</t>
        </is>
      </c>
      <c r="B625" s="1" t="n">
        <v>45572</v>
      </c>
      <c r="C625" s="1" t="n">
        <v>45625</v>
      </c>
      <c r="D625" t="inlineStr">
        <is>
          <t>ÖREBRO LÄN</t>
        </is>
      </c>
      <c r="E625" t="inlineStr">
        <is>
          <t>HÄLLEFORS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44772-2024</t>
        </is>
      </c>
      <c r="B626" s="1" t="n">
        <v>45574</v>
      </c>
      <c r="C626" s="1" t="n">
        <v>45625</v>
      </c>
      <c r="D626" t="inlineStr">
        <is>
          <t>ÖREBRO LÄN</t>
        </is>
      </c>
      <c r="E626" t="inlineStr">
        <is>
          <t>HÄLLEFORS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45689-2024</t>
        </is>
      </c>
      <c r="B627" s="1" t="n">
        <v>45579</v>
      </c>
      <c r="C627" s="1" t="n">
        <v>45625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45691-2024</t>
        </is>
      </c>
      <c r="B628" s="1" t="n">
        <v>45579</v>
      </c>
      <c r="C628" s="1" t="n">
        <v>45625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46168-2024</t>
        </is>
      </c>
      <c r="B629" s="1" t="n">
        <v>45581</v>
      </c>
      <c r="C629" s="1" t="n">
        <v>45625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46599-2024</t>
        </is>
      </c>
      <c r="B630" s="1" t="n">
        <v>45582</v>
      </c>
      <c r="C630" s="1" t="n">
        <v>45625</v>
      </c>
      <c r="D630" t="inlineStr">
        <is>
          <t>ÖREBRO LÄN</t>
        </is>
      </c>
      <c r="E630" t="inlineStr">
        <is>
          <t>HÄLLEFORS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45625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46616-2024</t>
        </is>
      </c>
      <c r="B632" s="1" t="n">
        <v>45583</v>
      </c>
      <c r="C632" s="1" t="n">
        <v>45625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46621-2024</t>
        </is>
      </c>
      <c r="B633" s="1" t="n">
        <v>45583</v>
      </c>
      <c r="C633" s="1" t="n">
        <v>45625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46642-2024</t>
        </is>
      </c>
      <c r="B634" s="1" t="n">
        <v>45583</v>
      </c>
      <c r="C634" s="1" t="n">
        <v>45625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47811-2024</t>
        </is>
      </c>
      <c r="B635" s="1" t="n">
        <v>45588</v>
      </c>
      <c r="C635" s="1" t="n">
        <v>45625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47906-2024</t>
        </is>
      </c>
      <c r="B636" s="1" t="n">
        <v>45589</v>
      </c>
      <c r="C636" s="1" t="n">
        <v>45625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47907-2024</t>
        </is>
      </c>
      <c r="B637" s="1" t="n">
        <v>45589</v>
      </c>
      <c r="C637" s="1" t="n">
        <v>45625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48429-2024</t>
        </is>
      </c>
      <c r="B638" s="1" t="n">
        <v>45590</v>
      </c>
      <c r="C638" s="1" t="n">
        <v>45625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48650-2024</t>
        </is>
      </c>
      <c r="B639" s="1" t="n">
        <v>45593</v>
      </c>
      <c r="C639" s="1" t="n">
        <v>45625</v>
      </c>
      <c r="D639" t="inlineStr">
        <is>
          <t>ÖREBRO LÄN</t>
        </is>
      </c>
      <c r="E639" t="inlineStr">
        <is>
          <t>HÄLLEFORS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50135-2024</t>
        </is>
      </c>
      <c r="B640" s="1" t="n">
        <v>45600</v>
      </c>
      <c r="C640" s="1" t="n">
        <v>45625</v>
      </c>
      <c r="D640" t="inlineStr">
        <is>
          <t>ÖREBRO LÄN</t>
        </is>
      </c>
      <c r="E640" t="inlineStr">
        <is>
          <t>HÄLLEFORS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50166-2024</t>
        </is>
      </c>
      <c r="B641" s="1" t="n">
        <v>45600</v>
      </c>
      <c r="C641" s="1" t="n">
        <v>45625</v>
      </c>
      <c r="D641" t="inlineStr">
        <is>
          <t>ÖREBRO LÄN</t>
        </is>
      </c>
      <c r="E641" t="inlineStr">
        <is>
          <t>HÄLLEFORS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50571-2024</t>
        </is>
      </c>
      <c r="B642" s="1" t="n">
        <v>45601</v>
      </c>
      <c r="C642" s="1" t="n">
        <v>45625</v>
      </c>
      <c r="D642" t="inlineStr">
        <is>
          <t>ÖREBRO LÄN</t>
        </is>
      </c>
      <c r="E642" t="inlineStr">
        <is>
          <t>HÄLLEFORS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51720-2024</t>
        </is>
      </c>
      <c r="B643" s="1" t="n">
        <v>45607</v>
      </c>
      <c r="C643" s="1" t="n">
        <v>45625</v>
      </c>
      <c r="D643" t="inlineStr">
        <is>
          <t>ÖREBRO LÄN</t>
        </is>
      </c>
      <c r="E643" t="inlineStr">
        <is>
          <t>HÄLLEFORS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52270-2024</t>
        </is>
      </c>
      <c r="B644" s="1" t="n">
        <v>45608</v>
      </c>
      <c r="C644" s="1" t="n">
        <v>45625</v>
      </c>
      <c r="D644" t="inlineStr">
        <is>
          <t>ÖREBRO LÄN</t>
        </is>
      </c>
      <c r="E644" t="inlineStr">
        <is>
          <t>HÄLLEFORS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52606-2024</t>
        </is>
      </c>
      <c r="B645" s="1" t="n">
        <v>45609</v>
      </c>
      <c r="C645" s="1" t="n">
        <v>45625</v>
      </c>
      <c r="D645" t="inlineStr">
        <is>
          <t>ÖREBRO LÄN</t>
        </is>
      </c>
      <c r="E645" t="inlineStr">
        <is>
          <t>HÄLLEFORS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52642-2024</t>
        </is>
      </c>
      <c r="B646" s="1" t="n">
        <v>45610</v>
      </c>
      <c r="C646" s="1" t="n">
        <v>45625</v>
      </c>
      <c r="D646" t="inlineStr">
        <is>
          <t>ÖREBRO LÄN</t>
        </is>
      </c>
      <c r="E646" t="inlineStr">
        <is>
          <t>HÄLLEFORS</t>
        </is>
      </c>
      <c r="F646" t="inlineStr">
        <is>
          <t>Bergvik skog väst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53340-2024</t>
        </is>
      </c>
      <c r="B647" s="1" t="n">
        <v>45614</v>
      </c>
      <c r="C647" s="1" t="n">
        <v>45625</v>
      </c>
      <c r="D647" t="inlineStr">
        <is>
          <t>ÖREBRO LÄN</t>
        </is>
      </c>
      <c r="E647" t="inlineStr">
        <is>
          <t>HÄLLEFORS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53344-2024</t>
        </is>
      </c>
      <c r="B648" s="1" t="n">
        <v>45614</v>
      </c>
      <c r="C648" s="1" t="n">
        <v>45625</v>
      </c>
      <c r="D648" t="inlineStr">
        <is>
          <t>ÖREBRO LÄN</t>
        </is>
      </c>
      <c r="E648" t="inlineStr">
        <is>
          <t>HÄLLEFORS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54995-2024</t>
        </is>
      </c>
      <c r="B649" s="1" t="n">
        <v>45621</v>
      </c>
      <c r="C649" s="1" t="n">
        <v>45625</v>
      </c>
      <c r="D649" t="inlineStr">
        <is>
          <t>ÖREBRO LÄN</t>
        </is>
      </c>
      <c r="E649" t="inlineStr">
        <is>
          <t>HÄLLEFORS</t>
        </is>
      </c>
      <c r="F649" t="inlineStr">
        <is>
          <t>Bergvik skog väst AB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55747-2024</t>
        </is>
      </c>
      <c r="B650" s="1" t="n">
        <v>45623</v>
      </c>
      <c r="C650" s="1" t="n">
        <v>45625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55745-2024</t>
        </is>
      </c>
      <c r="B651" s="1" t="n">
        <v>45623</v>
      </c>
      <c r="C651" s="1" t="n">
        <v>45625</v>
      </c>
      <c r="D651" t="inlineStr">
        <is>
          <t>ÖREBRO LÄN</t>
        </is>
      </c>
      <c r="E651" t="inlineStr">
        <is>
          <t>HÄLLEFORS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56184-2024</t>
        </is>
      </c>
      <c r="B652" s="1" t="n">
        <v>45624</v>
      </c>
      <c r="C652" s="1" t="n">
        <v>45625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12.6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56193-2024</t>
        </is>
      </c>
      <c r="B653" s="1" t="n">
        <v>45624</v>
      </c>
      <c r="C653" s="1" t="n">
        <v>45625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45625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56294-2024</t>
        </is>
      </c>
      <c r="B655" s="1" t="n">
        <v>45624</v>
      </c>
      <c r="C655" s="1" t="n">
        <v>45625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56298-2024</t>
        </is>
      </c>
      <c r="B656" s="1" t="n">
        <v>45624</v>
      </c>
      <c r="C656" s="1" t="n">
        <v>45625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56237-2024</t>
        </is>
      </c>
      <c r="B657" s="1" t="n">
        <v>45624</v>
      </c>
      <c r="C657" s="1" t="n">
        <v>45625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56161-2024</t>
        </is>
      </c>
      <c r="B658" s="1" t="n">
        <v>45624</v>
      </c>
      <c r="C658" s="1" t="n">
        <v>45625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2024-11-29T15:01:02Z</dcterms:created>
  <dcterms:modified xmlns:dcterms="http://purl.org/dc/terms/" xmlns:xsi="http://www.w3.org/2001/XMLSchema-instance" xsi:type="dcterms:W3CDTF">2024-11-29T15:01:03Z</dcterms:modified>
</cp:coreProperties>
</file>