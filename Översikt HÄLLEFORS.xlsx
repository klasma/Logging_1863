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45725</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45725</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45725</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45725</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45725</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45725</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45725</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45725</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45725</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45725</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45725</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45725</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45725</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45725</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45725</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45725</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45725</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58764-2020</t>
        </is>
      </c>
      <c r="B19" s="1" t="n">
        <v>44146</v>
      </c>
      <c r="C19" s="1" t="n">
        <v>45725</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128-2021</t>
        </is>
      </c>
      <c r="B20" s="1" t="n">
        <v>44200</v>
      </c>
      <c r="C20" s="1" t="n">
        <v>45725</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52079-2021</t>
        </is>
      </c>
      <c r="B21" s="1" t="n">
        <v>44463</v>
      </c>
      <c r="C21" s="1" t="n">
        <v>45725</v>
      </c>
      <c r="D21" t="inlineStr">
        <is>
          <t>ÖREBRO LÄN</t>
        </is>
      </c>
      <c r="E21" t="inlineStr">
        <is>
          <t>HÄLLEFORS</t>
        </is>
      </c>
      <c r="F21" t="inlineStr">
        <is>
          <t>Bergvik skog väst AB</t>
        </is>
      </c>
      <c r="G21" t="n">
        <v>21.6</v>
      </c>
      <c r="H21" t="n">
        <v>0</v>
      </c>
      <c r="I21" t="n">
        <v>0</v>
      </c>
      <c r="J21" t="n">
        <v>1</v>
      </c>
      <c r="K21" t="n">
        <v>0</v>
      </c>
      <c r="L21" t="n">
        <v>0</v>
      </c>
      <c r="M21" t="n">
        <v>0</v>
      </c>
      <c r="N21" t="n">
        <v>0</v>
      </c>
      <c r="O21" t="n">
        <v>1</v>
      </c>
      <c r="P21" t="n">
        <v>0</v>
      </c>
      <c r="Q21" t="n">
        <v>1</v>
      </c>
      <c r="R21" s="2" t="inlineStr">
        <is>
          <t>Lunglav</t>
        </is>
      </c>
      <c r="S21">
        <f>HYPERLINK("https://klasma.github.io/Logging_1863/artfynd/A 52079-2021 artfynd.xlsx", "A 52079-2021")</f>
        <v/>
      </c>
      <c r="T21">
        <f>HYPERLINK("https://klasma.github.io/Logging_1863/kartor/A 52079-2021 karta.png", "A 52079-2021")</f>
        <v/>
      </c>
      <c r="V21">
        <f>HYPERLINK("https://klasma.github.io/Logging_1863/klagomål/A 52079-2021 FSC-klagomål.docx", "A 52079-2021")</f>
        <v/>
      </c>
      <c r="W21">
        <f>HYPERLINK("https://klasma.github.io/Logging_1863/klagomålsmail/A 52079-2021 FSC-klagomål mail.docx", "A 52079-2021")</f>
        <v/>
      </c>
      <c r="X21">
        <f>HYPERLINK("https://klasma.github.io/Logging_1863/tillsyn/A 52079-2021 tillsynsbegäran.docx", "A 52079-2021")</f>
        <v/>
      </c>
      <c r="Y21">
        <f>HYPERLINK("https://klasma.github.io/Logging_1863/tillsynsmail/A 52079-2021 tillsynsbegäran mail.docx", "A 52079-2021")</f>
        <v/>
      </c>
    </row>
    <row r="22" ht="15" customHeight="1">
      <c r="A22" t="inlineStr">
        <is>
          <t>A 27134-2022</t>
        </is>
      </c>
      <c r="B22" s="1" t="n">
        <v>44741</v>
      </c>
      <c r="C22" s="1" t="n">
        <v>45725</v>
      </c>
      <c r="D22" t="inlineStr">
        <is>
          <t>ÖREBRO LÄN</t>
        </is>
      </c>
      <c r="E22" t="inlineStr">
        <is>
          <t>HÄLLEFORS</t>
        </is>
      </c>
      <c r="F22" t="inlineStr">
        <is>
          <t>Bergvik skog väst AB</t>
        </is>
      </c>
      <c r="G22" t="n">
        <v>8.1</v>
      </c>
      <c r="H22" t="n">
        <v>1</v>
      </c>
      <c r="I22" t="n">
        <v>0</v>
      </c>
      <c r="J22" t="n">
        <v>0</v>
      </c>
      <c r="K22" t="n">
        <v>0</v>
      </c>
      <c r="L22" t="n">
        <v>0</v>
      </c>
      <c r="M22" t="n">
        <v>0</v>
      </c>
      <c r="N22" t="n">
        <v>0</v>
      </c>
      <c r="O22" t="n">
        <v>0</v>
      </c>
      <c r="P22" t="n">
        <v>0</v>
      </c>
      <c r="Q22" t="n">
        <v>1</v>
      </c>
      <c r="R22" s="2" t="inlineStr">
        <is>
          <t>Nattviol</t>
        </is>
      </c>
      <c r="S22">
        <f>HYPERLINK("https://klasma.github.io/Logging_1863/artfynd/A 27134-2022 artfynd.xlsx", "A 27134-2022")</f>
        <v/>
      </c>
      <c r="T22">
        <f>HYPERLINK("https://klasma.github.io/Logging_1863/kartor/A 27134-2022 karta.png", "A 27134-2022")</f>
        <v/>
      </c>
      <c r="V22">
        <f>HYPERLINK("https://klasma.github.io/Logging_1863/klagomål/A 27134-2022 FSC-klagomål.docx", "A 27134-2022")</f>
        <v/>
      </c>
      <c r="W22">
        <f>HYPERLINK("https://klasma.github.io/Logging_1863/klagomålsmail/A 27134-2022 FSC-klagomål mail.docx", "A 27134-2022")</f>
        <v/>
      </c>
      <c r="X22">
        <f>HYPERLINK("https://klasma.github.io/Logging_1863/tillsyn/A 27134-2022 tillsynsbegäran.docx", "A 27134-2022")</f>
        <v/>
      </c>
      <c r="Y22">
        <f>HYPERLINK("https://klasma.github.io/Logging_1863/tillsynsmail/A 27134-2022 tillsynsbegäran mail.docx", "A 27134-2022")</f>
        <v/>
      </c>
    </row>
    <row r="23" ht="15" customHeight="1">
      <c r="A23" t="inlineStr">
        <is>
          <t>A 39540-2022</t>
        </is>
      </c>
      <c r="B23" s="1" t="n">
        <v>44818</v>
      </c>
      <c r="C23" s="1" t="n">
        <v>45725</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54267-2022</t>
        </is>
      </c>
      <c r="B24" s="1" t="n">
        <v>44882</v>
      </c>
      <c r="C24" s="1" t="n">
        <v>45725</v>
      </c>
      <c r="D24" t="inlineStr">
        <is>
          <t>ÖREBRO LÄN</t>
        </is>
      </c>
      <c r="E24" t="inlineStr">
        <is>
          <t>HÄLLEFORS</t>
        </is>
      </c>
      <c r="F24" t="inlineStr">
        <is>
          <t>Bergvik skog väst AB</t>
        </is>
      </c>
      <c r="G24" t="n">
        <v>1.3</v>
      </c>
      <c r="H24" t="n">
        <v>1</v>
      </c>
      <c r="I24" t="n">
        <v>0</v>
      </c>
      <c r="J24" t="n">
        <v>0</v>
      </c>
      <c r="K24" t="n">
        <v>1</v>
      </c>
      <c r="L24" t="n">
        <v>0</v>
      </c>
      <c r="M24" t="n">
        <v>0</v>
      </c>
      <c r="N24" t="n">
        <v>0</v>
      </c>
      <c r="O24" t="n">
        <v>1</v>
      </c>
      <c r="P24" t="n">
        <v>1</v>
      </c>
      <c r="Q24" t="n">
        <v>1</v>
      </c>
      <c r="R24" s="2" t="inlineStr">
        <is>
          <t>Knärot</t>
        </is>
      </c>
      <c r="S24">
        <f>HYPERLINK("https://klasma.github.io/Logging_1863/artfynd/A 54267-2022 artfynd.xlsx", "A 54267-2022")</f>
        <v/>
      </c>
      <c r="T24">
        <f>HYPERLINK("https://klasma.github.io/Logging_1863/kartor/A 54267-2022 karta.png", "A 54267-2022")</f>
        <v/>
      </c>
      <c r="U24">
        <f>HYPERLINK("https://klasma.github.io/Logging_1863/knärot/A 54267-2022 karta knärot.png", "A 54267-2022")</f>
        <v/>
      </c>
      <c r="V24">
        <f>HYPERLINK("https://klasma.github.io/Logging_1863/klagomål/A 54267-2022 FSC-klagomål.docx", "A 54267-2022")</f>
        <v/>
      </c>
      <c r="W24">
        <f>HYPERLINK("https://klasma.github.io/Logging_1863/klagomålsmail/A 54267-2022 FSC-klagomål mail.docx", "A 54267-2022")</f>
        <v/>
      </c>
      <c r="X24">
        <f>HYPERLINK("https://klasma.github.io/Logging_1863/tillsyn/A 54267-2022 tillsynsbegäran.docx", "A 54267-2022")</f>
        <v/>
      </c>
      <c r="Y24">
        <f>HYPERLINK("https://klasma.github.io/Logging_1863/tillsynsmail/A 54267-2022 tillsynsbegäran mail.docx", "A 54267-2022")</f>
        <v/>
      </c>
    </row>
    <row r="25" ht="15" customHeight="1">
      <c r="A25" t="inlineStr">
        <is>
          <t>A 60162-2022</t>
        </is>
      </c>
      <c r="B25" s="1" t="n">
        <v>44909</v>
      </c>
      <c r="C25" s="1" t="n">
        <v>45725</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4652-2023</t>
        </is>
      </c>
      <c r="B26" s="1" t="n">
        <v>44957</v>
      </c>
      <c r="C26" s="1" t="n">
        <v>45725</v>
      </c>
      <c r="D26" t="inlineStr">
        <is>
          <t>ÖREBRO LÄN</t>
        </is>
      </c>
      <c r="E26" t="inlineStr">
        <is>
          <t>HÄLLEFORS</t>
        </is>
      </c>
      <c r="G26" t="n">
        <v>2.5</v>
      </c>
      <c r="H26" t="n">
        <v>0</v>
      </c>
      <c r="I26" t="n">
        <v>0</v>
      </c>
      <c r="J26" t="n">
        <v>1</v>
      </c>
      <c r="K26" t="n">
        <v>0</v>
      </c>
      <c r="L26" t="n">
        <v>0</v>
      </c>
      <c r="M26" t="n">
        <v>0</v>
      </c>
      <c r="N26" t="n">
        <v>0</v>
      </c>
      <c r="O26" t="n">
        <v>1</v>
      </c>
      <c r="P26" t="n">
        <v>0</v>
      </c>
      <c r="Q26" t="n">
        <v>1</v>
      </c>
      <c r="R26" s="2" t="inlineStr">
        <is>
          <t>Vedtrappmossa</t>
        </is>
      </c>
      <c r="S26">
        <f>HYPERLINK("https://klasma.github.io/Logging_1863/artfynd/A 4652-2023 artfynd.xlsx", "A 4652-2023")</f>
        <v/>
      </c>
      <c r="T26">
        <f>HYPERLINK("https://klasma.github.io/Logging_1863/kartor/A 4652-2023 karta.png", "A 4652-2023")</f>
        <v/>
      </c>
      <c r="V26">
        <f>HYPERLINK("https://klasma.github.io/Logging_1863/klagomål/A 4652-2023 FSC-klagomål.docx", "A 4652-2023")</f>
        <v/>
      </c>
      <c r="W26">
        <f>HYPERLINK("https://klasma.github.io/Logging_1863/klagomålsmail/A 4652-2023 FSC-klagomål mail.docx", "A 4652-2023")</f>
        <v/>
      </c>
      <c r="X26">
        <f>HYPERLINK("https://klasma.github.io/Logging_1863/tillsyn/A 4652-2023 tillsynsbegäran.docx", "A 4652-2023")</f>
        <v/>
      </c>
      <c r="Y26">
        <f>HYPERLINK("https://klasma.github.io/Logging_1863/tillsynsmail/A 4652-2023 tillsynsbegäran mail.docx", "A 4652-2023")</f>
        <v/>
      </c>
    </row>
    <row r="27" ht="15" customHeight="1">
      <c r="A27" t="inlineStr">
        <is>
          <t>A 24357-2023</t>
        </is>
      </c>
      <c r="B27" s="1" t="n">
        <v>45082</v>
      </c>
      <c r="C27" s="1" t="n">
        <v>45725</v>
      </c>
      <c r="D27" t="inlineStr">
        <is>
          <t>ÖREBRO LÄN</t>
        </is>
      </c>
      <c r="E27" t="inlineStr">
        <is>
          <t>HÄLLEFORS</t>
        </is>
      </c>
      <c r="F27" t="inlineStr">
        <is>
          <t>Sveaskog</t>
        </is>
      </c>
      <c r="G27" t="n">
        <v>9</v>
      </c>
      <c r="H27" t="n">
        <v>1</v>
      </c>
      <c r="I27" t="n">
        <v>0</v>
      </c>
      <c r="J27" t="n">
        <v>0</v>
      </c>
      <c r="K27" t="n">
        <v>0</v>
      </c>
      <c r="L27" t="n">
        <v>0</v>
      </c>
      <c r="M27" t="n">
        <v>0</v>
      </c>
      <c r="N27" t="n">
        <v>0</v>
      </c>
      <c r="O27" t="n">
        <v>0</v>
      </c>
      <c r="P27" t="n">
        <v>0</v>
      </c>
      <c r="Q27" t="n">
        <v>1</v>
      </c>
      <c r="R27" s="2" t="inlineStr">
        <is>
          <t>Fläcknycklar</t>
        </is>
      </c>
      <c r="S27">
        <f>HYPERLINK("https://klasma.github.io/Logging_1863/artfynd/A 24357-2023 artfynd.xlsx", "A 24357-2023")</f>
        <v/>
      </c>
      <c r="T27">
        <f>HYPERLINK("https://klasma.github.io/Logging_1863/kartor/A 24357-2023 karta.png", "A 24357-2023")</f>
        <v/>
      </c>
      <c r="V27">
        <f>HYPERLINK("https://klasma.github.io/Logging_1863/klagomål/A 24357-2023 FSC-klagomål.docx", "A 24357-2023")</f>
        <v/>
      </c>
      <c r="W27">
        <f>HYPERLINK("https://klasma.github.io/Logging_1863/klagomålsmail/A 24357-2023 FSC-klagomål mail.docx", "A 24357-2023")</f>
        <v/>
      </c>
      <c r="X27">
        <f>HYPERLINK("https://klasma.github.io/Logging_1863/tillsyn/A 24357-2023 tillsynsbegäran.docx", "A 24357-2023")</f>
        <v/>
      </c>
      <c r="Y27">
        <f>HYPERLINK("https://klasma.github.io/Logging_1863/tillsynsmail/A 24357-2023 tillsynsbegäran mail.docx", "A 24357-2023")</f>
        <v/>
      </c>
    </row>
    <row r="28" ht="15" customHeight="1">
      <c r="A28" t="inlineStr">
        <is>
          <t>A 41834-2023</t>
        </is>
      </c>
      <c r="B28" s="1" t="n">
        <v>45176</v>
      </c>
      <c r="C28" s="1" t="n">
        <v>45725</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55623-2023</t>
        </is>
      </c>
      <c r="B29" s="1" t="n">
        <v>45238</v>
      </c>
      <c r="C29" s="1" t="n">
        <v>45725</v>
      </c>
      <c r="D29" t="inlineStr">
        <is>
          <t>ÖREBRO LÄN</t>
        </is>
      </c>
      <c r="E29" t="inlineStr">
        <is>
          <t>HÄLLEFORS</t>
        </is>
      </c>
      <c r="G29" t="n">
        <v>5.8</v>
      </c>
      <c r="H29" t="n">
        <v>0</v>
      </c>
      <c r="I29" t="n">
        <v>1</v>
      </c>
      <c r="J29" t="n">
        <v>0</v>
      </c>
      <c r="K29" t="n">
        <v>0</v>
      </c>
      <c r="L29" t="n">
        <v>0</v>
      </c>
      <c r="M29" t="n">
        <v>0</v>
      </c>
      <c r="N29" t="n">
        <v>0</v>
      </c>
      <c r="O29" t="n">
        <v>0</v>
      </c>
      <c r="P29" t="n">
        <v>0</v>
      </c>
      <c r="Q29" t="n">
        <v>1</v>
      </c>
      <c r="R29" s="2" t="inlineStr">
        <is>
          <t>Norrlandslav</t>
        </is>
      </c>
      <c r="S29">
        <f>HYPERLINK("https://klasma.github.io/Logging_1863/artfynd/A 55623-2023 artfynd.xlsx", "A 55623-2023")</f>
        <v/>
      </c>
      <c r="T29">
        <f>HYPERLINK("https://klasma.github.io/Logging_1863/kartor/A 55623-2023 karta.png", "A 55623-2023")</f>
        <v/>
      </c>
      <c r="V29">
        <f>HYPERLINK("https://klasma.github.io/Logging_1863/klagomål/A 55623-2023 FSC-klagomål.docx", "A 55623-2023")</f>
        <v/>
      </c>
      <c r="W29">
        <f>HYPERLINK("https://klasma.github.io/Logging_1863/klagomålsmail/A 55623-2023 FSC-klagomål mail.docx", "A 55623-2023")</f>
        <v/>
      </c>
      <c r="X29">
        <f>HYPERLINK("https://klasma.github.io/Logging_1863/tillsyn/A 55623-2023 tillsynsbegäran.docx", "A 55623-2023")</f>
        <v/>
      </c>
      <c r="Y29">
        <f>HYPERLINK("https://klasma.github.io/Logging_1863/tillsynsmail/A 55623-2023 tillsynsbegäran mail.docx", "A 55623-2023")</f>
        <v/>
      </c>
    </row>
    <row r="30" ht="15" customHeight="1">
      <c r="A30" t="inlineStr">
        <is>
          <t>A 14985-2024</t>
        </is>
      </c>
      <c r="B30" s="1" t="n">
        <v>45399</v>
      </c>
      <c r="C30" s="1" t="n">
        <v>45725</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v>
      </c>
      <c r="C31" s="1" t="n">
        <v>45725</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v>
      </c>
      <c r="C32" s="1" t="n">
        <v>45725</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44781-2024</t>
        </is>
      </c>
      <c r="B33" s="1" t="n">
        <v>45574</v>
      </c>
      <c r="C33" s="1" t="n">
        <v>45725</v>
      </c>
      <c r="D33" t="inlineStr">
        <is>
          <t>ÖREBRO LÄN</t>
        </is>
      </c>
      <c r="E33" t="inlineStr">
        <is>
          <t>HÄLLEFORS</t>
        </is>
      </c>
      <c r="F33" t="inlineStr">
        <is>
          <t>Sveaskog</t>
        </is>
      </c>
      <c r="G33" t="n">
        <v>2.7</v>
      </c>
      <c r="H33" t="n">
        <v>0</v>
      </c>
      <c r="I33" t="n">
        <v>1</v>
      </c>
      <c r="J33" t="n">
        <v>0</v>
      </c>
      <c r="K33" t="n">
        <v>0</v>
      </c>
      <c r="L33" t="n">
        <v>0</v>
      </c>
      <c r="M33" t="n">
        <v>0</v>
      </c>
      <c r="N33" t="n">
        <v>0</v>
      </c>
      <c r="O33" t="n">
        <v>0</v>
      </c>
      <c r="P33" t="n">
        <v>0</v>
      </c>
      <c r="Q33" t="n">
        <v>1</v>
      </c>
      <c r="R33" s="2" t="inlineStr">
        <is>
          <t>Rödgul trumpetsvamp</t>
        </is>
      </c>
      <c r="S33">
        <f>HYPERLINK("https://klasma.github.io/Logging_1863/artfynd/A 44781-2024 artfynd.xlsx", "A 44781-2024")</f>
        <v/>
      </c>
      <c r="T33">
        <f>HYPERLINK("https://klasma.github.io/Logging_1863/kartor/A 44781-2024 karta.png", "A 44781-2024")</f>
        <v/>
      </c>
      <c r="V33">
        <f>HYPERLINK("https://klasma.github.io/Logging_1863/klagomål/A 44781-2024 FSC-klagomål.docx", "A 44781-2024")</f>
        <v/>
      </c>
      <c r="W33">
        <f>HYPERLINK("https://klasma.github.io/Logging_1863/klagomålsmail/A 44781-2024 FSC-klagomål mail.docx", "A 44781-2024")</f>
        <v/>
      </c>
      <c r="X33">
        <f>HYPERLINK("https://klasma.github.io/Logging_1863/tillsyn/A 44781-2024 tillsynsbegäran.docx", "A 44781-2024")</f>
        <v/>
      </c>
      <c r="Y33">
        <f>HYPERLINK("https://klasma.github.io/Logging_1863/tillsynsmail/A 44781-2024 tillsynsbegäran mail.docx", "A 44781-2024")</f>
        <v/>
      </c>
    </row>
    <row r="34" ht="15" customHeight="1">
      <c r="A34" t="inlineStr">
        <is>
          <t>A 55749-2024</t>
        </is>
      </c>
      <c r="B34" s="1" t="n">
        <v>45623</v>
      </c>
      <c r="C34" s="1" t="n">
        <v>45725</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421-2025</t>
        </is>
      </c>
      <c r="B35" s="1" t="n">
        <v>45663</v>
      </c>
      <c r="C35" s="1" t="n">
        <v>45725</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5244-2025</t>
        </is>
      </c>
      <c r="B36" s="1" t="n">
        <v>45692</v>
      </c>
      <c r="C36" s="1" t="n">
        <v>45725</v>
      </c>
      <c r="D36" t="inlineStr">
        <is>
          <t>ÖREBRO LÄN</t>
        </is>
      </c>
      <c r="E36" t="inlineStr">
        <is>
          <t>HÄLLEFORS</t>
        </is>
      </c>
      <c r="F36" t="inlineStr">
        <is>
          <t>Bergvik skog väst AB</t>
        </is>
      </c>
      <c r="G36" t="n">
        <v>9.199999999999999</v>
      </c>
      <c r="H36" t="n">
        <v>0</v>
      </c>
      <c r="I36" t="n">
        <v>0</v>
      </c>
      <c r="J36" t="n">
        <v>1</v>
      </c>
      <c r="K36" t="n">
        <v>0</v>
      </c>
      <c r="L36" t="n">
        <v>0</v>
      </c>
      <c r="M36" t="n">
        <v>0</v>
      </c>
      <c r="N36" t="n">
        <v>0</v>
      </c>
      <c r="O36" t="n">
        <v>1</v>
      </c>
      <c r="P36" t="n">
        <v>0</v>
      </c>
      <c r="Q36" t="n">
        <v>1</v>
      </c>
      <c r="R36" s="2" t="inlineStr">
        <is>
          <t>Lunglav</t>
        </is>
      </c>
      <c r="S36">
        <f>HYPERLINK("https://klasma.github.io/Logging_1863/artfynd/A 5244-2025 artfynd.xlsx", "A 5244-2025")</f>
        <v/>
      </c>
      <c r="T36">
        <f>HYPERLINK("https://klasma.github.io/Logging_1863/kartor/A 5244-2025 karta.png", "A 5244-2025")</f>
        <v/>
      </c>
      <c r="V36">
        <f>HYPERLINK("https://klasma.github.io/Logging_1863/klagomål/A 5244-2025 FSC-klagomål.docx", "A 5244-2025")</f>
        <v/>
      </c>
      <c r="W36">
        <f>HYPERLINK("https://klasma.github.io/Logging_1863/klagomålsmail/A 5244-2025 FSC-klagomål mail.docx", "A 5244-2025")</f>
        <v/>
      </c>
      <c r="X36">
        <f>HYPERLINK("https://klasma.github.io/Logging_1863/tillsyn/A 5244-2025 tillsynsbegäran.docx", "A 5244-2025")</f>
        <v/>
      </c>
      <c r="Y36">
        <f>HYPERLINK("https://klasma.github.io/Logging_1863/tillsynsmail/A 5244-2025 tillsynsbegäran mail.docx", "A 5244-2025")</f>
        <v/>
      </c>
    </row>
    <row r="37" ht="15" customHeight="1">
      <c r="A37" t="inlineStr">
        <is>
          <t>A 21399-2019</t>
        </is>
      </c>
      <c r="B37" s="1" t="n">
        <v>43580</v>
      </c>
      <c r="C37" s="1" t="n">
        <v>45725</v>
      </c>
      <c r="D37" t="inlineStr">
        <is>
          <t>ÖREBRO LÄN</t>
        </is>
      </c>
      <c r="E37" t="inlineStr">
        <is>
          <t>HÄLLEFORS</t>
        </is>
      </c>
      <c r="G37" t="n">
        <v>1.4</v>
      </c>
      <c r="H37" t="n">
        <v>0</v>
      </c>
      <c r="I37" t="n">
        <v>0</v>
      </c>
      <c r="J37" t="n">
        <v>0</v>
      </c>
      <c r="K37" t="n">
        <v>0</v>
      </c>
      <c r="L37" t="n">
        <v>0</v>
      </c>
      <c r="M37" t="n">
        <v>0</v>
      </c>
      <c r="N37" t="n">
        <v>0</v>
      </c>
      <c r="O37" t="n">
        <v>0</v>
      </c>
      <c r="P37" t="n">
        <v>0</v>
      </c>
      <c r="Q37" t="n">
        <v>0</v>
      </c>
      <c r="R37" s="2" t="inlineStr"/>
    </row>
    <row r="38" ht="15" customHeight="1">
      <c r="A38" t="inlineStr">
        <is>
          <t>A 22348-2019</t>
        </is>
      </c>
      <c r="B38" s="1" t="n">
        <v>43587</v>
      </c>
      <c r="C38" s="1" t="n">
        <v>45725</v>
      </c>
      <c r="D38" t="inlineStr">
        <is>
          <t>ÖREBRO LÄN</t>
        </is>
      </c>
      <c r="E38" t="inlineStr">
        <is>
          <t>HÄLLEFORS</t>
        </is>
      </c>
      <c r="G38" t="n">
        <v>3.5</v>
      </c>
      <c r="H38" t="n">
        <v>0</v>
      </c>
      <c r="I38" t="n">
        <v>0</v>
      </c>
      <c r="J38" t="n">
        <v>0</v>
      </c>
      <c r="K38" t="n">
        <v>0</v>
      </c>
      <c r="L38" t="n">
        <v>0</v>
      </c>
      <c r="M38" t="n">
        <v>0</v>
      </c>
      <c r="N38" t="n">
        <v>0</v>
      </c>
      <c r="O38" t="n">
        <v>0</v>
      </c>
      <c r="P38" t="n">
        <v>0</v>
      </c>
      <c r="Q38" t="n">
        <v>0</v>
      </c>
      <c r="R38" s="2" t="inlineStr"/>
    </row>
    <row r="39" ht="15" customHeight="1">
      <c r="A39" t="inlineStr">
        <is>
          <t>A 24477-2019</t>
        </is>
      </c>
      <c r="B39" s="1" t="n">
        <v>43600</v>
      </c>
      <c r="C39" s="1" t="n">
        <v>45725</v>
      </c>
      <c r="D39" t="inlineStr">
        <is>
          <t>ÖREBRO LÄN</t>
        </is>
      </c>
      <c r="E39" t="inlineStr">
        <is>
          <t>HÄLLEFORS</t>
        </is>
      </c>
      <c r="G39" t="n">
        <v>1.7</v>
      </c>
      <c r="H39" t="n">
        <v>0</v>
      </c>
      <c r="I39" t="n">
        <v>0</v>
      </c>
      <c r="J39" t="n">
        <v>0</v>
      </c>
      <c r="K39" t="n">
        <v>0</v>
      </c>
      <c r="L39" t="n">
        <v>0</v>
      </c>
      <c r="M39" t="n">
        <v>0</v>
      </c>
      <c r="N39" t="n">
        <v>0</v>
      </c>
      <c r="O39" t="n">
        <v>0</v>
      </c>
      <c r="P39" t="n">
        <v>0</v>
      </c>
      <c r="Q39" t="n">
        <v>0</v>
      </c>
      <c r="R39" s="2" t="inlineStr"/>
    </row>
    <row r="40" ht="15" customHeight="1">
      <c r="A40" t="inlineStr">
        <is>
          <t>A 24459-2019</t>
        </is>
      </c>
      <c r="B40" s="1" t="n">
        <v>43600</v>
      </c>
      <c r="C40" s="1" t="n">
        <v>45725</v>
      </c>
      <c r="D40" t="inlineStr">
        <is>
          <t>ÖREBRO LÄN</t>
        </is>
      </c>
      <c r="E40" t="inlineStr">
        <is>
          <t>HÄLLEFORS</t>
        </is>
      </c>
      <c r="G40" t="n">
        <v>7.1</v>
      </c>
      <c r="H40" t="n">
        <v>0</v>
      </c>
      <c r="I40" t="n">
        <v>0</v>
      </c>
      <c r="J40" t="n">
        <v>0</v>
      </c>
      <c r="K40" t="n">
        <v>0</v>
      </c>
      <c r="L40" t="n">
        <v>0</v>
      </c>
      <c r="M40" t="n">
        <v>0</v>
      </c>
      <c r="N40" t="n">
        <v>0</v>
      </c>
      <c r="O40" t="n">
        <v>0</v>
      </c>
      <c r="P40" t="n">
        <v>0</v>
      </c>
      <c r="Q40" t="n">
        <v>0</v>
      </c>
      <c r="R40" s="2" t="inlineStr"/>
    </row>
    <row r="41" ht="15" customHeight="1">
      <c r="A41" t="inlineStr">
        <is>
          <t>A 30719-2019</t>
        </is>
      </c>
      <c r="B41" s="1" t="n">
        <v>43636</v>
      </c>
      <c r="C41" s="1" t="n">
        <v>45725</v>
      </c>
      <c r="D41" t="inlineStr">
        <is>
          <t>ÖREBRO LÄN</t>
        </is>
      </c>
      <c r="E41" t="inlineStr">
        <is>
          <t>HÄLLEFORS</t>
        </is>
      </c>
      <c r="F41" t="inlineStr">
        <is>
          <t>Bergvik skog väst AB</t>
        </is>
      </c>
      <c r="G41" t="n">
        <v>3.7</v>
      </c>
      <c r="H41" t="n">
        <v>0</v>
      </c>
      <c r="I41" t="n">
        <v>0</v>
      </c>
      <c r="J41" t="n">
        <v>0</v>
      </c>
      <c r="K41" t="n">
        <v>0</v>
      </c>
      <c r="L41" t="n">
        <v>0</v>
      </c>
      <c r="M41" t="n">
        <v>0</v>
      </c>
      <c r="N41" t="n">
        <v>0</v>
      </c>
      <c r="O41" t="n">
        <v>0</v>
      </c>
      <c r="P41" t="n">
        <v>0</v>
      </c>
      <c r="Q41" t="n">
        <v>0</v>
      </c>
      <c r="R41" s="2" t="inlineStr"/>
    </row>
    <row r="42" ht="15" customHeight="1">
      <c r="A42" t="inlineStr">
        <is>
          <t>A 33102-2019</t>
        </is>
      </c>
      <c r="B42" s="1" t="n">
        <v>43649</v>
      </c>
      <c r="C42" s="1" t="n">
        <v>45725</v>
      </c>
      <c r="D42" t="inlineStr">
        <is>
          <t>ÖREBRO LÄN</t>
        </is>
      </c>
      <c r="E42" t="inlineStr">
        <is>
          <t>HÄLLEFORS</t>
        </is>
      </c>
      <c r="G42" t="n">
        <v>1.6</v>
      </c>
      <c r="H42" t="n">
        <v>0</v>
      </c>
      <c r="I42" t="n">
        <v>0</v>
      </c>
      <c r="J42" t="n">
        <v>0</v>
      </c>
      <c r="K42" t="n">
        <v>0</v>
      </c>
      <c r="L42" t="n">
        <v>0</v>
      </c>
      <c r="M42" t="n">
        <v>0</v>
      </c>
      <c r="N42" t="n">
        <v>0</v>
      </c>
      <c r="O42" t="n">
        <v>0</v>
      </c>
      <c r="P42" t="n">
        <v>0</v>
      </c>
      <c r="Q42" t="n">
        <v>0</v>
      </c>
      <c r="R42" s="2" t="inlineStr"/>
    </row>
    <row r="43" ht="15" customHeight="1">
      <c r="A43" t="inlineStr">
        <is>
          <t>A 35741-2019</t>
        </is>
      </c>
      <c r="B43" s="1" t="n">
        <v>43665</v>
      </c>
      <c r="C43" s="1" t="n">
        <v>45725</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35743-2019</t>
        </is>
      </c>
      <c r="B44" s="1" t="n">
        <v>43665</v>
      </c>
      <c r="C44" s="1" t="n">
        <v>45725</v>
      </c>
      <c r="D44" t="inlineStr">
        <is>
          <t>ÖREBRO LÄN</t>
        </is>
      </c>
      <c r="E44" t="inlineStr">
        <is>
          <t>HÄLLEFORS</t>
        </is>
      </c>
      <c r="G44" t="n">
        <v>1.3</v>
      </c>
      <c r="H44" t="n">
        <v>0</v>
      </c>
      <c r="I44" t="n">
        <v>0</v>
      </c>
      <c r="J44" t="n">
        <v>0</v>
      </c>
      <c r="K44" t="n">
        <v>0</v>
      </c>
      <c r="L44" t="n">
        <v>0</v>
      </c>
      <c r="M44" t="n">
        <v>0</v>
      </c>
      <c r="N44" t="n">
        <v>0</v>
      </c>
      <c r="O44" t="n">
        <v>0</v>
      </c>
      <c r="P44" t="n">
        <v>0</v>
      </c>
      <c r="Q44" t="n">
        <v>0</v>
      </c>
      <c r="R44" s="2" t="inlineStr"/>
    </row>
    <row r="45" ht="15" customHeight="1">
      <c r="A45" t="inlineStr">
        <is>
          <t>A 35742-2019</t>
        </is>
      </c>
      <c r="B45" s="1" t="n">
        <v>43665</v>
      </c>
      <c r="C45" s="1" t="n">
        <v>45725</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35740-2019</t>
        </is>
      </c>
      <c r="B46" s="1" t="n">
        <v>43665</v>
      </c>
      <c r="C46" s="1" t="n">
        <v>45725</v>
      </c>
      <c r="D46" t="inlineStr">
        <is>
          <t>ÖREBRO LÄN</t>
        </is>
      </c>
      <c r="E46" t="inlineStr">
        <is>
          <t>HÄLLEFORS</t>
        </is>
      </c>
      <c r="G46" t="n">
        <v>2.3</v>
      </c>
      <c r="H46" t="n">
        <v>0</v>
      </c>
      <c r="I46" t="n">
        <v>0</v>
      </c>
      <c r="J46" t="n">
        <v>0</v>
      </c>
      <c r="K46" t="n">
        <v>0</v>
      </c>
      <c r="L46" t="n">
        <v>0</v>
      </c>
      <c r="M46" t="n">
        <v>0</v>
      </c>
      <c r="N46" t="n">
        <v>0</v>
      </c>
      <c r="O46" t="n">
        <v>0</v>
      </c>
      <c r="P46" t="n">
        <v>0</v>
      </c>
      <c r="Q46" t="n">
        <v>0</v>
      </c>
      <c r="R46" s="2" t="inlineStr"/>
    </row>
    <row r="47" ht="15" customHeight="1">
      <c r="A47" t="inlineStr">
        <is>
          <t>A 37325-2019</t>
        </is>
      </c>
      <c r="B47" s="1" t="n">
        <v>43678</v>
      </c>
      <c r="C47" s="1" t="n">
        <v>45725</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39501-2019</t>
        </is>
      </c>
      <c r="B48" s="1" t="n">
        <v>43686</v>
      </c>
      <c r="C48" s="1" t="n">
        <v>45725</v>
      </c>
      <c r="D48" t="inlineStr">
        <is>
          <t>ÖREBRO LÄN</t>
        </is>
      </c>
      <c r="E48" t="inlineStr">
        <is>
          <t>HÄLLEFORS</t>
        </is>
      </c>
      <c r="F48" t="inlineStr">
        <is>
          <t>Kyrkan</t>
        </is>
      </c>
      <c r="G48" t="n">
        <v>3.5</v>
      </c>
      <c r="H48" t="n">
        <v>0</v>
      </c>
      <c r="I48" t="n">
        <v>0</v>
      </c>
      <c r="J48" t="n">
        <v>0</v>
      </c>
      <c r="K48" t="n">
        <v>0</v>
      </c>
      <c r="L48" t="n">
        <v>0</v>
      </c>
      <c r="M48" t="n">
        <v>0</v>
      </c>
      <c r="N48" t="n">
        <v>0</v>
      </c>
      <c r="O48" t="n">
        <v>0</v>
      </c>
      <c r="P48" t="n">
        <v>0</v>
      </c>
      <c r="Q48" t="n">
        <v>0</v>
      </c>
      <c r="R48" s="2" t="inlineStr"/>
    </row>
    <row r="49" ht="15" customHeight="1">
      <c r="A49" t="inlineStr">
        <is>
          <t>A 38819-2019</t>
        </is>
      </c>
      <c r="B49" s="1" t="n">
        <v>43689</v>
      </c>
      <c r="C49" s="1" t="n">
        <v>45725</v>
      </c>
      <c r="D49" t="inlineStr">
        <is>
          <t>ÖREBRO LÄN</t>
        </is>
      </c>
      <c r="E49" t="inlineStr">
        <is>
          <t>HÄLLEFORS</t>
        </is>
      </c>
      <c r="G49" t="n">
        <v>2.1</v>
      </c>
      <c r="H49" t="n">
        <v>0</v>
      </c>
      <c r="I49" t="n">
        <v>0</v>
      </c>
      <c r="J49" t="n">
        <v>0</v>
      </c>
      <c r="K49" t="n">
        <v>0</v>
      </c>
      <c r="L49" t="n">
        <v>0</v>
      </c>
      <c r="M49" t="n">
        <v>0</v>
      </c>
      <c r="N49" t="n">
        <v>0</v>
      </c>
      <c r="O49" t="n">
        <v>0</v>
      </c>
      <c r="P49" t="n">
        <v>0</v>
      </c>
      <c r="Q49" t="n">
        <v>0</v>
      </c>
      <c r="R49" s="2" t="inlineStr"/>
    </row>
    <row r="50" ht="15" customHeight="1">
      <c r="A50" t="inlineStr">
        <is>
          <t>A 40171-2019</t>
        </is>
      </c>
      <c r="B50" s="1" t="n">
        <v>43693</v>
      </c>
      <c r="C50" s="1" t="n">
        <v>45725</v>
      </c>
      <c r="D50" t="inlineStr">
        <is>
          <t>ÖREBRO LÄN</t>
        </is>
      </c>
      <c r="E50" t="inlineStr">
        <is>
          <t>HÄLLEFORS</t>
        </is>
      </c>
      <c r="G50" t="n">
        <v>8.199999999999999</v>
      </c>
      <c r="H50" t="n">
        <v>0</v>
      </c>
      <c r="I50" t="n">
        <v>0</v>
      </c>
      <c r="J50" t="n">
        <v>0</v>
      </c>
      <c r="K50" t="n">
        <v>0</v>
      </c>
      <c r="L50" t="n">
        <v>0</v>
      </c>
      <c r="M50" t="n">
        <v>0</v>
      </c>
      <c r="N50" t="n">
        <v>0</v>
      </c>
      <c r="O50" t="n">
        <v>0</v>
      </c>
      <c r="P50" t="n">
        <v>0</v>
      </c>
      <c r="Q50" t="n">
        <v>0</v>
      </c>
      <c r="R50" s="2" t="inlineStr"/>
    </row>
    <row r="51" ht="15" customHeight="1">
      <c r="A51" t="inlineStr">
        <is>
          <t>A 40311-2019</t>
        </is>
      </c>
      <c r="B51" s="1" t="n">
        <v>43696</v>
      </c>
      <c r="C51" s="1" t="n">
        <v>45725</v>
      </c>
      <c r="D51" t="inlineStr">
        <is>
          <t>ÖREBRO LÄN</t>
        </is>
      </c>
      <c r="E51" t="inlineStr">
        <is>
          <t>HÄLLEFORS</t>
        </is>
      </c>
      <c r="G51" t="n">
        <v>1.8</v>
      </c>
      <c r="H51" t="n">
        <v>0</v>
      </c>
      <c r="I51" t="n">
        <v>0</v>
      </c>
      <c r="J51" t="n">
        <v>0</v>
      </c>
      <c r="K51" t="n">
        <v>0</v>
      </c>
      <c r="L51" t="n">
        <v>0</v>
      </c>
      <c r="M51" t="n">
        <v>0</v>
      </c>
      <c r="N51" t="n">
        <v>0</v>
      </c>
      <c r="O51" t="n">
        <v>0</v>
      </c>
      <c r="P51" t="n">
        <v>0</v>
      </c>
      <c r="Q51" t="n">
        <v>0</v>
      </c>
      <c r="R51" s="2" t="inlineStr"/>
    </row>
    <row r="52" ht="15" customHeight="1">
      <c r="A52" t="inlineStr">
        <is>
          <t>A 43514-2019</t>
        </is>
      </c>
      <c r="B52" s="1" t="n">
        <v>43706</v>
      </c>
      <c r="C52" s="1" t="n">
        <v>45725</v>
      </c>
      <c r="D52" t="inlineStr">
        <is>
          <t>ÖREBRO LÄN</t>
        </is>
      </c>
      <c r="E52" t="inlineStr">
        <is>
          <t>HÄLLEFORS</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45768-2019</t>
        </is>
      </c>
      <c r="B53" s="1" t="n">
        <v>43712</v>
      </c>
      <c r="C53" s="1" t="n">
        <v>45725</v>
      </c>
      <c r="D53" t="inlineStr">
        <is>
          <t>ÖREBRO LÄN</t>
        </is>
      </c>
      <c r="E53" t="inlineStr">
        <is>
          <t>HÄLLEFORS</t>
        </is>
      </c>
      <c r="G53" t="n">
        <v>1.4</v>
      </c>
      <c r="H53" t="n">
        <v>0</v>
      </c>
      <c r="I53" t="n">
        <v>0</v>
      </c>
      <c r="J53" t="n">
        <v>0</v>
      </c>
      <c r="K53" t="n">
        <v>0</v>
      </c>
      <c r="L53" t="n">
        <v>0</v>
      </c>
      <c r="M53" t="n">
        <v>0</v>
      </c>
      <c r="N53" t="n">
        <v>0</v>
      </c>
      <c r="O53" t="n">
        <v>0</v>
      </c>
      <c r="P53" t="n">
        <v>0</v>
      </c>
      <c r="Q53" t="n">
        <v>0</v>
      </c>
      <c r="R53" s="2" t="inlineStr"/>
    </row>
    <row r="54" ht="15" customHeight="1">
      <c r="A54" t="inlineStr">
        <is>
          <t>A 47219-2019</t>
        </is>
      </c>
      <c r="B54" s="1" t="n">
        <v>43721</v>
      </c>
      <c r="C54" s="1" t="n">
        <v>45725</v>
      </c>
      <c r="D54" t="inlineStr">
        <is>
          <t>ÖREBRO LÄN</t>
        </is>
      </c>
      <c r="E54" t="inlineStr">
        <is>
          <t>HÄLLEFORS</t>
        </is>
      </c>
      <c r="F54" t="inlineStr">
        <is>
          <t>Bergvik skog väst AB</t>
        </is>
      </c>
      <c r="G54" t="n">
        <v>4.9</v>
      </c>
      <c r="H54" t="n">
        <v>0</v>
      </c>
      <c r="I54" t="n">
        <v>0</v>
      </c>
      <c r="J54" t="n">
        <v>0</v>
      </c>
      <c r="K54" t="n">
        <v>0</v>
      </c>
      <c r="L54" t="n">
        <v>0</v>
      </c>
      <c r="M54" t="n">
        <v>0</v>
      </c>
      <c r="N54" t="n">
        <v>0</v>
      </c>
      <c r="O54" t="n">
        <v>0</v>
      </c>
      <c r="P54" t="n">
        <v>0</v>
      </c>
      <c r="Q54" t="n">
        <v>0</v>
      </c>
      <c r="R54" s="2" t="inlineStr"/>
    </row>
    <row r="55" ht="15" customHeight="1">
      <c r="A55" t="inlineStr">
        <is>
          <t>A 47175-2019</t>
        </is>
      </c>
      <c r="B55" s="1" t="n">
        <v>43721</v>
      </c>
      <c r="C55" s="1" t="n">
        <v>45725</v>
      </c>
      <c r="D55" t="inlineStr">
        <is>
          <t>ÖREBRO LÄN</t>
        </is>
      </c>
      <c r="E55" t="inlineStr">
        <is>
          <t>HÄLLEFORS</t>
        </is>
      </c>
      <c r="F55" t="inlineStr">
        <is>
          <t>Sveaskog</t>
        </is>
      </c>
      <c r="G55" t="n">
        <v>5.6</v>
      </c>
      <c r="H55" t="n">
        <v>0</v>
      </c>
      <c r="I55" t="n">
        <v>0</v>
      </c>
      <c r="J55" t="n">
        <v>0</v>
      </c>
      <c r="K55" t="n">
        <v>0</v>
      </c>
      <c r="L55" t="n">
        <v>0</v>
      </c>
      <c r="M55" t="n">
        <v>0</v>
      </c>
      <c r="N55" t="n">
        <v>0</v>
      </c>
      <c r="O55" t="n">
        <v>0</v>
      </c>
      <c r="P55" t="n">
        <v>0</v>
      </c>
      <c r="Q55" t="n">
        <v>0</v>
      </c>
      <c r="R55" s="2" t="inlineStr"/>
    </row>
    <row r="56" ht="15" customHeight="1">
      <c r="A56" t="inlineStr">
        <is>
          <t>A 48224-2019</t>
        </is>
      </c>
      <c r="B56" s="1" t="n">
        <v>43726</v>
      </c>
      <c r="C56" s="1" t="n">
        <v>45725</v>
      </c>
      <c r="D56" t="inlineStr">
        <is>
          <t>ÖREBRO LÄN</t>
        </is>
      </c>
      <c r="E56" t="inlineStr">
        <is>
          <t>HÄLLEFORS</t>
        </is>
      </c>
      <c r="F56" t="inlineStr">
        <is>
          <t>Bergvik skog väst AB</t>
        </is>
      </c>
      <c r="G56" t="n">
        <v>0.7</v>
      </c>
      <c r="H56" t="n">
        <v>0</v>
      </c>
      <c r="I56" t="n">
        <v>0</v>
      </c>
      <c r="J56" t="n">
        <v>0</v>
      </c>
      <c r="K56" t="n">
        <v>0</v>
      </c>
      <c r="L56" t="n">
        <v>0</v>
      </c>
      <c r="M56" t="n">
        <v>0</v>
      </c>
      <c r="N56" t="n">
        <v>0</v>
      </c>
      <c r="O56" t="n">
        <v>0</v>
      </c>
      <c r="P56" t="n">
        <v>0</v>
      </c>
      <c r="Q56" t="n">
        <v>0</v>
      </c>
      <c r="R56" s="2" t="inlineStr"/>
    </row>
    <row r="57" ht="15" customHeight="1">
      <c r="A57" t="inlineStr">
        <is>
          <t>A 48206-2019</t>
        </is>
      </c>
      <c r="B57" s="1" t="n">
        <v>43726</v>
      </c>
      <c r="C57" s="1" t="n">
        <v>45725</v>
      </c>
      <c r="D57" t="inlineStr">
        <is>
          <t>ÖREBRO LÄN</t>
        </is>
      </c>
      <c r="E57" t="inlineStr">
        <is>
          <t>HÄLLEFORS</t>
        </is>
      </c>
      <c r="F57" t="inlineStr">
        <is>
          <t>Bergvik skog väst AB</t>
        </is>
      </c>
      <c r="G57" t="n">
        <v>13.6</v>
      </c>
      <c r="H57" t="n">
        <v>0</v>
      </c>
      <c r="I57" t="n">
        <v>0</v>
      </c>
      <c r="J57" t="n">
        <v>0</v>
      </c>
      <c r="K57" t="n">
        <v>0</v>
      </c>
      <c r="L57" t="n">
        <v>0</v>
      </c>
      <c r="M57" t="n">
        <v>0</v>
      </c>
      <c r="N57" t="n">
        <v>0</v>
      </c>
      <c r="O57" t="n">
        <v>0</v>
      </c>
      <c r="P57" t="n">
        <v>0</v>
      </c>
      <c r="Q57" t="n">
        <v>0</v>
      </c>
      <c r="R57" s="2" t="inlineStr"/>
    </row>
    <row r="58" ht="15" customHeight="1">
      <c r="A58" t="inlineStr">
        <is>
          <t>A 51442-2019</t>
        </is>
      </c>
      <c r="B58" s="1" t="n">
        <v>43732</v>
      </c>
      <c r="C58" s="1" t="n">
        <v>45725</v>
      </c>
      <c r="D58" t="inlineStr">
        <is>
          <t>ÖREBRO LÄN</t>
        </is>
      </c>
      <c r="E58" t="inlineStr">
        <is>
          <t>HÄLLEFORS</t>
        </is>
      </c>
      <c r="F58" t="inlineStr">
        <is>
          <t>Kyrkan</t>
        </is>
      </c>
      <c r="G58" t="n">
        <v>3.9</v>
      </c>
      <c r="H58" t="n">
        <v>0</v>
      </c>
      <c r="I58" t="n">
        <v>0</v>
      </c>
      <c r="J58" t="n">
        <v>0</v>
      </c>
      <c r="K58" t="n">
        <v>0</v>
      </c>
      <c r="L58" t="n">
        <v>0</v>
      </c>
      <c r="M58" t="n">
        <v>0</v>
      </c>
      <c r="N58" t="n">
        <v>0</v>
      </c>
      <c r="O58" t="n">
        <v>0</v>
      </c>
      <c r="P58" t="n">
        <v>0</v>
      </c>
      <c r="Q58" t="n">
        <v>0</v>
      </c>
      <c r="R58" s="2" t="inlineStr"/>
    </row>
    <row r="59" ht="15" customHeight="1">
      <c r="A59" t="inlineStr">
        <is>
          <t>A 52329-2019</t>
        </is>
      </c>
      <c r="B59" s="1" t="n">
        <v>43745</v>
      </c>
      <c r="C59" s="1" t="n">
        <v>45725</v>
      </c>
      <c r="D59" t="inlineStr">
        <is>
          <t>ÖREBRO LÄN</t>
        </is>
      </c>
      <c r="E59" t="inlineStr">
        <is>
          <t>HÄLLEFORS</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52452-2019</t>
        </is>
      </c>
      <c r="B60" s="1" t="n">
        <v>43745</v>
      </c>
      <c r="C60" s="1" t="n">
        <v>45725</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52411-2019</t>
        </is>
      </c>
      <c r="B61" s="1" t="n">
        <v>43745</v>
      </c>
      <c r="C61" s="1" t="n">
        <v>45725</v>
      </c>
      <c r="D61" t="inlineStr">
        <is>
          <t>ÖREBRO LÄN</t>
        </is>
      </c>
      <c r="E61" t="inlineStr">
        <is>
          <t>HÄLLEFORS</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52711-2019</t>
        </is>
      </c>
      <c r="B62" s="1" t="n">
        <v>43746</v>
      </c>
      <c r="C62" s="1" t="n">
        <v>45725</v>
      </c>
      <c r="D62" t="inlineStr">
        <is>
          <t>ÖREBRO LÄN</t>
        </is>
      </c>
      <c r="E62" t="inlineStr">
        <is>
          <t>HÄLLEFORS</t>
        </is>
      </c>
      <c r="G62" t="n">
        <v>1</v>
      </c>
      <c r="H62" t="n">
        <v>0</v>
      </c>
      <c r="I62" t="n">
        <v>0</v>
      </c>
      <c r="J62" t="n">
        <v>0</v>
      </c>
      <c r="K62" t="n">
        <v>0</v>
      </c>
      <c r="L62" t="n">
        <v>0</v>
      </c>
      <c r="M62" t="n">
        <v>0</v>
      </c>
      <c r="N62" t="n">
        <v>0</v>
      </c>
      <c r="O62" t="n">
        <v>0</v>
      </c>
      <c r="P62" t="n">
        <v>0</v>
      </c>
      <c r="Q62" t="n">
        <v>0</v>
      </c>
      <c r="R62" s="2" t="inlineStr"/>
    </row>
    <row r="63" ht="15" customHeight="1">
      <c r="A63" t="inlineStr">
        <is>
          <t>A 53031-2019</t>
        </is>
      </c>
      <c r="B63" s="1" t="n">
        <v>43747</v>
      </c>
      <c r="C63" s="1" t="n">
        <v>45725</v>
      </c>
      <c r="D63" t="inlineStr">
        <is>
          <t>ÖREBRO LÄN</t>
        </is>
      </c>
      <c r="E63" t="inlineStr">
        <is>
          <t>HÄLLEFORS</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53062-2019</t>
        </is>
      </c>
      <c r="B64" s="1" t="n">
        <v>43747</v>
      </c>
      <c r="C64" s="1" t="n">
        <v>45725</v>
      </c>
      <c r="D64" t="inlineStr">
        <is>
          <t>ÖREBRO LÄN</t>
        </is>
      </c>
      <c r="E64" t="inlineStr">
        <is>
          <t>HÄLLEFORS</t>
        </is>
      </c>
      <c r="F64" t="inlineStr">
        <is>
          <t>Bergvik skog väst AB</t>
        </is>
      </c>
      <c r="G64" t="n">
        <v>13.9</v>
      </c>
      <c r="H64" t="n">
        <v>0</v>
      </c>
      <c r="I64" t="n">
        <v>0</v>
      </c>
      <c r="J64" t="n">
        <v>0</v>
      </c>
      <c r="K64" t="n">
        <v>0</v>
      </c>
      <c r="L64" t="n">
        <v>0</v>
      </c>
      <c r="M64" t="n">
        <v>0</v>
      </c>
      <c r="N64" t="n">
        <v>0</v>
      </c>
      <c r="O64" t="n">
        <v>0</v>
      </c>
      <c r="P64" t="n">
        <v>0</v>
      </c>
      <c r="Q64" t="n">
        <v>0</v>
      </c>
      <c r="R64" s="2" t="inlineStr"/>
    </row>
    <row r="65" ht="15" customHeight="1">
      <c r="A65" t="inlineStr">
        <is>
          <t>A 53029-2019</t>
        </is>
      </c>
      <c r="B65" s="1" t="n">
        <v>43747</v>
      </c>
      <c r="C65" s="1" t="n">
        <v>45725</v>
      </c>
      <c r="D65" t="inlineStr">
        <is>
          <t>ÖREBRO LÄN</t>
        </is>
      </c>
      <c r="E65" t="inlineStr">
        <is>
          <t>HÄLLEFORS</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53388-2019</t>
        </is>
      </c>
      <c r="B66" s="1" t="n">
        <v>43748</v>
      </c>
      <c r="C66" s="1" t="n">
        <v>45725</v>
      </c>
      <c r="D66" t="inlineStr">
        <is>
          <t>ÖREBRO LÄN</t>
        </is>
      </c>
      <c r="E66" t="inlineStr">
        <is>
          <t>HÄLLEFORS</t>
        </is>
      </c>
      <c r="F66" t="inlineStr">
        <is>
          <t>Bergvik skog väst AB</t>
        </is>
      </c>
      <c r="G66" t="n">
        <v>8.300000000000001</v>
      </c>
      <c r="H66" t="n">
        <v>0</v>
      </c>
      <c r="I66" t="n">
        <v>0</v>
      </c>
      <c r="J66" t="n">
        <v>0</v>
      </c>
      <c r="K66" t="n">
        <v>0</v>
      </c>
      <c r="L66" t="n">
        <v>0</v>
      </c>
      <c r="M66" t="n">
        <v>0</v>
      </c>
      <c r="N66" t="n">
        <v>0</v>
      </c>
      <c r="O66" t="n">
        <v>0</v>
      </c>
      <c r="P66" t="n">
        <v>0</v>
      </c>
      <c r="Q66" t="n">
        <v>0</v>
      </c>
      <c r="R66" s="2" t="inlineStr"/>
    </row>
    <row r="67" ht="15" customHeight="1">
      <c r="A67" t="inlineStr">
        <is>
          <t>A 53400-2019</t>
        </is>
      </c>
      <c r="B67" s="1" t="n">
        <v>43748</v>
      </c>
      <c r="C67" s="1" t="n">
        <v>45725</v>
      </c>
      <c r="D67" t="inlineStr">
        <is>
          <t>ÖREBRO LÄN</t>
        </is>
      </c>
      <c r="E67" t="inlineStr">
        <is>
          <t>HÄLLEFORS</t>
        </is>
      </c>
      <c r="F67" t="inlineStr">
        <is>
          <t>Bergvik skog väst AB</t>
        </is>
      </c>
      <c r="G67" t="n">
        <v>8.699999999999999</v>
      </c>
      <c r="H67" t="n">
        <v>0</v>
      </c>
      <c r="I67" t="n">
        <v>0</v>
      </c>
      <c r="J67" t="n">
        <v>0</v>
      </c>
      <c r="K67" t="n">
        <v>0</v>
      </c>
      <c r="L67" t="n">
        <v>0</v>
      </c>
      <c r="M67" t="n">
        <v>0</v>
      </c>
      <c r="N67" t="n">
        <v>0</v>
      </c>
      <c r="O67" t="n">
        <v>0</v>
      </c>
      <c r="P67" t="n">
        <v>0</v>
      </c>
      <c r="Q67" t="n">
        <v>0</v>
      </c>
      <c r="R67" s="2" t="inlineStr"/>
    </row>
    <row r="68" ht="15" customHeight="1">
      <c r="A68" t="inlineStr">
        <is>
          <t>A 53965-2019</t>
        </is>
      </c>
      <c r="B68" s="1" t="n">
        <v>43752</v>
      </c>
      <c r="C68" s="1" t="n">
        <v>45725</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54433-2019</t>
        </is>
      </c>
      <c r="B69" s="1" t="n">
        <v>43754</v>
      </c>
      <c r="C69" s="1" t="n">
        <v>45725</v>
      </c>
      <c r="D69" t="inlineStr">
        <is>
          <t>ÖREBRO LÄN</t>
        </is>
      </c>
      <c r="E69" t="inlineStr">
        <is>
          <t>HÄLLEFORS</t>
        </is>
      </c>
      <c r="F69" t="inlineStr">
        <is>
          <t>Bergvik skog väst AB</t>
        </is>
      </c>
      <c r="G69" t="n">
        <v>7.9</v>
      </c>
      <c r="H69" t="n">
        <v>0</v>
      </c>
      <c r="I69" t="n">
        <v>0</v>
      </c>
      <c r="J69" t="n">
        <v>0</v>
      </c>
      <c r="K69" t="n">
        <v>0</v>
      </c>
      <c r="L69" t="n">
        <v>0</v>
      </c>
      <c r="M69" t="n">
        <v>0</v>
      </c>
      <c r="N69" t="n">
        <v>0</v>
      </c>
      <c r="O69" t="n">
        <v>0</v>
      </c>
      <c r="P69" t="n">
        <v>0</v>
      </c>
      <c r="Q69" t="n">
        <v>0</v>
      </c>
      <c r="R69" s="2" t="inlineStr"/>
    </row>
    <row r="70" ht="15" customHeight="1">
      <c r="A70" t="inlineStr">
        <is>
          <t>A 54977-2019</t>
        </is>
      </c>
      <c r="B70" s="1" t="n">
        <v>43755</v>
      </c>
      <c r="C70" s="1" t="n">
        <v>45725</v>
      </c>
      <c r="D70" t="inlineStr">
        <is>
          <t>ÖREBRO LÄN</t>
        </is>
      </c>
      <c r="E70" t="inlineStr">
        <is>
          <t>HÄLLEFORS</t>
        </is>
      </c>
      <c r="F70" t="inlineStr">
        <is>
          <t>Bergvik skog väst AB</t>
        </is>
      </c>
      <c r="G70" t="n">
        <v>17.5</v>
      </c>
      <c r="H70" t="n">
        <v>0</v>
      </c>
      <c r="I70" t="n">
        <v>0</v>
      </c>
      <c r="J70" t="n">
        <v>0</v>
      </c>
      <c r="K70" t="n">
        <v>0</v>
      </c>
      <c r="L70" t="n">
        <v>0</v>
      </c>
      <c r="M70" t="n">
        <v>0</v>
      </c>
      <c r="N70" t="n">
        <v>0</v>
      </c>
      <c r="O70" t="n">
        <v>0</v>
      </c>
      <c r="P70" t="n">
        <v>0</v>
      </c>
      <c r="Q70" t="n">
        <v>0</v>
      </c>
      <c r="R70" s="2" t="inlineStr"/>
    </row>
    <row r="71" ht="15" customHeight="1">
      <c r="A71" t="inlineStr">
        <is>
          <t>A 55129-2019</t>
        </is>
      </c>
      <c r="B71" s="1" t="n">
        <v>43756</v>
      </c>
      <c r="C71" s="1" t="n">
        <v>45725</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55150-2019</t>
        </is>
      </c>
      <c r="B72" s="1" t="n">
        <v>43756</v>
      </c>
      <c r="C72" s="1" t="n">
        <v>45725</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57363-2019</t>
        </is>
      </c>
      <c r="B73" s="1" t="n">
        <v>43767</v>
      </c>
      <c r="C73" s="1" t="n">
        <v>45725</v>
      </c>
      <c r="D73" t="inlineStr">
        <is>
          <t>ÖREBRO LÄN</t>
        </is>
      </c>
      <c r="E73" t="inlineStr">
        <is>
          <t>HÄLLEFORS</t>
        </is>
      </c>
      <c r="G73" t="n">
        <v>1.4</v>
      </c>
      <c r="H73" t="n">
        <v>0</v>
      </c>
      <c r="I73" t="n">
        <v>0</v>
      </c>
      <c r="J73" t="n">
        <v>0</v>
      </c>
      <c r="K73" t="n">
        <v>0</v>
      </c>
      <c r="L73" t="n">
        <v>0</v>
      </c>
      <c r="M73" t="n">
        <v>0</v>
      </c>
      <c r="N73" t="n">
        <v>0</v>
      </c>
      <c r="O73" t="n">
        <v>0</v>
      </c>
      <c r="P73" t="n">
        <v>0</v>
      </c>
      <c r="Q73" t="n">
        <v>0</v>
      </c>
      <c r="R73" s="2" t="inlineStr"/>
    </row>
    <row r="74" ht="15" customHeight="1">
      <c r="A74" t="inlineStr">
        <is>
          <t>A 57443-2019</t>
        </is>
      </c>
      <c r="B74" s="1" t="n">
        <v>43767</v>
      </c>
      <c r="C74" s="1" t="n">
        <v>45725</v>
      </c>
      <c r="D74" t="inlineStr">
        <is>
          <t>ÖREBRO LÄN</t>
        </is>
      </c>
      <c r="E74" t="inlineStr">
        <is>
          <t>HÄLLEFORS</t>
        </is>
      </c>
      <c r="G74" t="n">
        <v>0.4</v>
      </c>
      <c r="H74" t="n">
        <v>0</v>
      </c>
      <c r="I74" t="n">
        <v>0</v>
      </c>
      <c r="J74" t="n">
        <v>0</v>
      </c>
      <c r="K74" t="n">
        <v>0</v>
      </c>
      <c r="L74" t="n">
        <v>0</v>
      </c>
      <c r="M74" t="n">
        <v>0</v>
      </c>
      <c r="N74" t="n">
        <v>0</v>
      </c>
      <c r="O74" t="n">
        <v>0</v>
      </c>
      <c r="P74" t="n">
        <v>0</v>
      </c>
      <c r="Q74" t="n">
        <v>0</v>
      </c>
      <c r="R74" s="2" t="inlineStr"/>
    </row>
    <row r="75" ht="15" customHeight="1">
      <c r="A75" t="inlineStr">
        <is>
          <t>A 57398-2019</t>
        </is>
      </c>
      <c r="B75" s="1" t="n">
        <v>43767</v>
      </c>
      <c r="C75" s="1" t="n">
        <v>45725</v>
      </c>
      <c r="D75" t="inlineStr">
        <is>
          <t>ÖREBRO LÄN</t>
        </is>
      </c>
      <c r="E75" t="inlineStr">
        <is>
          <t>HÄLLEFORS</t>
        </is>
      </c>
      <c r="F75" t="inlineStr">
        <is>
          <t>Bergvik skog väst AB</t>
        </is>
      </c>
      <c r="G75" t="n">
        <v>10.4</v>
      </c>
      <c r="H75" t="n">
        <v>0</v>
      </c>
      <c r="I75" t="n">
        <v>0</v>
      </c>
      <c r="J75" t="n">
        <v>0</v>
      </c>
      <c r="K75" t="n">
        <v>0</v>
      </c>
      <c r="L75" t="n">
        <v>0</v>
      </c>
      <c r="M75" t="n">
        <v>0</v>
      </c>
      <c r="N75" t="n">
        <v>0</v>
      </c>
      <c r="O75" t="n">
        <v>0</v>
      </c>
      <c r="P75" t="n">
        <v>0</v>
      </c>
      <c r="Q75" t="n">
        <v>0</v>
      </c>
      <c r="R75" s="2" t="inlineStr"/>
    </row>
    <row r="76" ht="15" customHeight="1">
      <c r="A76" t="inlineStr">
        <is>
          <t>A 58100-2019</t>
        </is>
      </c>
      <c r="B76" s="1" t="n">
        <v>43769</v>
      </c>
      <c r="C76" s="1" t="n">
        <v>45725</v>
      </c>
      <c r="D76" t="inlineStr">
        <is>
          <t>ÖREBRO LÄN</t>
        </is>
      </c>
      <c r="E76" t="inlineStr">
        <is>
          <t>HÄLLEFORS</t>
        </is>
      </c>
      <c r="G76" t="n">
        <v>2.3</v>
      </c>
      <c r="H76" t="n">
        <v>0</v>
      </c>
      <c r="I76" t="n">
        <v>0</v>
      </c>
      <c r="J76" t="n">
        <v>0</v>
      </c>
      <c r="K76" t="n">
        <v>0</v>
      </c>
      <c r="L76" t="n">
        <v>0</v>
      </c>
      <c r="M76" t="n">
        <v>0</v>
      </c>
      <c r="N76" t="n">
        <v>0</v>
      </c>
      <c r="O76" t="n">
        <v>0</v>
      </c>
      <c r="P76" t="n">
        <v>0</v>
      </c>
      <c r="Q76" t="n">
        <v>0</v>
      </c>
      <c r="R76" s="2" t="inlineStr"/>
    </row>
    <row r="77" ht="15" customHeight="1">
      <c r="A77" t="inlineStr">
        <is>
          <t>A 58317-2019</t>
        </is>
      </c>
      <c r="B77" s="1" t="n">
        <v>43770</v>
      </c>
      <c r="C77" s="1" t="n">
        <v>45725</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65073-2019</t>
        </is>
      </c>
      <c r="B78" s="1" t="n">
        <v>43802</v>
      </c>
      <c r="C78" s="1" t="n">
        <v>45725</v>
      </c>
      <c r="D78" t="inlineStr">
        <is>
          <t>ÖREBRO LÄN</t>
        </is>
      </c>
      <c r="E78" t="inlineStr">
        <is>
          <t>HÄLLEFORS</t>
        </is>
      </c>
      <c r="F78" t="inlineStr">
        <is>
          <t>Bergvik skog väst AB</t>
        </is>
      </c>
      <c r="G78" t="n">
        <v>3.3</v>
      </c>
      <c r="H78" t="n">
        <v>0</v>
      </c>
      <c r="I78" t="n">
        <v>0</v>
      </c>
      <c r="J78" t="n">
        <v>0</v>
      </c>
      <c r="K78" t="n">
        <v>0</v>
      </c>
      <c r="L78" t="n">
        <v>0</v>
      </c>
      <c r="M78" t="n">
        <v>0</v>
      </c>
      <c r="N78" t="n">
        <v>0</v>
      </c>
      <c r="O78" t="n">
        <v>0</v>
      </c>
      <c r="P78" t="n">
        <v>0</v>
      </c>
      <c r="Q78" t="n">
        <v>0</v>
      </c>
      <c r="R78" s="2" t="inlineStr"/>
    </row>
    <row r="79" ht="15" customHeight="1">
      <c r="A79" t="inlineStr">
        <is>
          <t>A 65758-2019</t>
        </is>
      </c>
      <c r="B79" s="1" t="n">
        <v>43804</v>
      </c>
      <c r="C79" s="1" t="n">
        <v>45725</v>
      </c>
      <c r="D79" t="inlineStr">
        <is>
          <t>ÖREBRO LÄN</t>
        </is>
      </c>
      <c r="E79" t="inlineStr">
        <is>
          <t>HÄLLEFORS</t>
        </is>
      </c>
      <c r="G79" t="n">
        <v>2.1</v>
      </c>
      <c r="H79" t="n">
        <v>0</v>
      </c>
      <c r="I79" t="n">
        <v>0</v>
      </c>
      <c r="J79" t="n">
        <v>0</v>
      </c>
      <c r="K79" t="n">
        <v>0</v>
      </c>
      <c r="L79" t="n">
        <v>0</v>
      </c>
      <c r="M79" t="n">
        <v>0</v>
      </c>
      <c r="N79" t="n">
        <v>0</v>
      </c>
      <c r="O79" t="n">
        <v>0</v>
      </c>
      <c r="P79" t="n">
        <v>0</v>
      </c>
      <c r="Q79" t="n">
        <v>0</v>
      </c>
      <c r="R79" s="2" t="inlineStr"/>
    </row>
    <row r="80" ht="15" customHeight="1">
      <c r="A80" t="inlineStr">
        <is>
          <t>A 68534-2019</t>
        </is>
      </c>
      <c r="B80" s="1" t="n">
        <v>43818</v>
      </c>
      <c r="C80" s="1" t="n">
        <v>45725</v>
      </c>
      <c r="D80" t="inlineStr">
        <is>
          <t>ÖREBRO LÄN</t>
        </is>
      </c>
      <c r="E80" t="inlineStr">
        <is>
          <t>HÄLLEFORS</t>
        </is>
      </c>
      <c r="F80" t="inlineStr">
        <is>
          <t>Bergvik skog väst AB</t>
        </is>
      </c>
      <c r="G80" t="n">
        <v>14.3</v>
      </c>
      <c r="H80" t="n">
        <v>0</v>
      </c>
      <c r="I80" t="n">
        <v>0</v>
      </c>
      <c r="J80" t="n">
        <v>0</v>
      </c>
      <c r="K80" t="n">
        <v>0</v>
      </c>
      <c r="L80" t="n">
        <v>0</v>
      </c>
      <c r="M80" t="n">
        <v>0</v>
      </c>
      <c r="N80" t="n">
        <v>0</v>
      </c>
      <c r="O80" t="n">
        <v>0</v>
      </c>
      <c r="P80" t="n">
        <v>0</v>
      </c>
      <c r="Q80" t="n">
        <v>0</v>
      </c>
      <c r="R80" s="2" t="inlineStr"/>
    </row>
    <row r="81" ht="15" customHeight="1">
      <c r="A81" t="inlineStr">
        <is>
          <t>A 55-2020</t>
        </is>
      </c>
      <c r="B81" s="1" t="n">
        <v>43832</v>
      </c>
      <c r="C81" s="1" t="n">
        <v>45725</v>
      </c>
      <c r="D81" t="inlineStr">
        <is>
          <t>ÖREBRO LÄN</t>
        </is>
      </c>
      <c r="E81" t="inlineStr">
        <is>
          <t>HÄLLEFORS</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5089-2020</t>
        </is>
      </c>
      <c r="B82" s="1" t="n">
        <v>43859</v>
      </c>
      <c r="C82" s="1" t="n">
        <v>45725</v>
      </c>
      <c r="D82" t="inlineStr">
        <is>
          <t>ÖREBRO LÄN</t>
        </is>
      </c>
      <c r="E82" t="inlineStr">
        <is>
          <t>HÄLLEFORS</t>
        </is>
      </c>
      <c r="G82" t="n">
        <v>0.3</v>
      </c>
      <c r="H82" t="n">
        <v>0</v>
      </c>
      <c r="I82" t="n">
        <v>0</v>
      </c>
      <c r="J82" t="n">
        <v>0</v>
      </c>
      <c r="K82" t="n">
        <v>0</v>
      </c>
      <c r="L82" t="n">
        <v>0</v>
      </c>
      <c r="M82" t="n">
        <v>0</v>
      </c>
      <c r="N82" t="n">
        <v>0</v>
      </c>
      <c r="O82" t="n">
        <v>0</v>
      </c>
      <c r="P82" t="n">
        <v>0</v>
      </c>
      <c r="Q82" t="n">
        <v>0</v>
      </c>
      <c r="R82" s="2" t="inlineStr"/>
    </row>
    <row r="83" ht="15" customHeight="1">
      <c r="A83" t="inlineStr">
        <is>
          <t>A 6196-2020</t>
        </is>
      </c>
      <c r="B83" s="1" t="n">
        <v>43865</v>
      </c>
      <c r="C83" s="1" t="n">
        <v>45725</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6914-2020</t>
        </is>
      </c>
      <c r="B84" s="1" t="n">
        <v>43868</v>
      </c>
      <c r="C84" s="1" t="n">
        <v>45725</v>
      </c>
      <c r="D84" t="inlineStr">
        <is>
          <t>ÖREBRO LÄN</t>
        </is>
      </c>
      <c r="E84" t="inlineStr">
        <is>
          <t>HÄLLEFORS</t>
        </is>
      </c>
      <c r="F84" t="inlineStr">
        <is>
          <t>Sveaskog</t>
        </is>
      </c>
      <c r="G84" t="n">
        <v>3.2</v>
      </c>
      <c r="H84" t="n">
        <v>0</v>
      </c>
      <c r="I84" t="n">
        <v>0</v>
      </c>
      <c r="J84" t="n">
        <v>0</v>
      </c>
      <c r="K84" t="n">
        <v>0</v>
      </c>
      <c r="L84" t="n">
        <v>0</v>
      </c>
      <c r="M84" t="n">
        <v>0</v>
      </c>
      <c r="N84" t="n">
        <v>0</v>
      </c>
      <c r="O84" t="n">
        <v>0</v>
      </c>
      <c r="P84" t="n">
        <v>0</v>
      </c>
      <c r="Q84" t="n">
        <v>0</v>
      </c>
      <c r="R84" s="2" t="inlineStr"/>
    </row>
    <row r="85" ht="15" customHeight="1">
      <c r="A85" t="inlineStr">
        <is>
          <t>A 9959-2020</t>
        </is>
      </c>
      <c r="B85" s="1" t="n">
        <v>43882</v>
      </c>
      <c r="C85" s="1" t="n">
        <v>45725</v>
      </c>
      <c r="D85" t="inlineStr">
        <is>
          <t>ÖREBRO LÄN</t>
        </is>
      </c>
      <c r="E85" t="inlineStr">
        <is>
          <t>HÄLLEFORS</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11308-2020</t>
        </is>
      </c>
      <c r="B86" s="1" t="n">
        <v>43892</v>
      </c>
      <c r="C86" s="1" t="n">
        <v>45725</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11235-2020</t>
        </is>
      </c>
      <c r="B87" s="1" t="n">
        <v>43892</v>
      </c>
      <c r="C87" s="1" t="n">
        <v>45725</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12170-2020</t>
        </is>
      </c>
      <c r="B88" s="1" t="n">
        <v>43895</v>
      </c>
      <c r="C88" s="1" t="n">
        <v>45725</v>
      </c>
      <c r="D88" t="inlineStr">
        <is>
          <t>ÖREBRO LÄN</t>
        </is>
      </c>
      <c r="E88" t="inlineStr">
        <is>
          <t>HÄLLEFORS</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16829-2020</t>
        </is>
      </c>
      <c r="B89" s="1" t="n">
        <v>43921</v>
      </c>
      <c r="C89" s="1" t="n">
        <v>45725</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18000-2020</t>
        </is>
      </c>
      <c r="B90" s="1" t="n">
        <v>43927</v>
      </c>
      <c r="C90" s="1" t="n">
        <v>45725</v>
      </c>
      <c r="D90" t="inlineStr">
        <is>
          <t>ÖREBRO LÄN</t>
        </is>
      </c>
      <c r="E90" t="inlineStr">
        <is>
          <t>HÄLLEFORS</t>
        </is>
      </c>
      <c r="F90" t="inlineStr">
        <is>
          <t>Bergvik skog väst AB</t>
        </is>
      </c>
      <c r="G90" t="n">
        <v>11.1</v>
      </c>
      <c r="H90" t="n">
        <v>0</v>
      </c>
      <c r="I90" t="n">
        <v>0</v>
      </c>
      <c r="J90" t="n">
        <v>0</v>
      </c>
      <c r="K90" t="n">
        <v>0</v>
      </c>
      <c r="L90" t="n">
        <v>0</v>
      </c>
      <c r="M90" t="n">
        <v>0</v>
      </c>
      <c r="N90" t="n">
        <v>0</v>
      </c>
      <c r="O90" t="n">
        <v>0</v>
      </c>
      <c r="P90" t="n">
        <v>0</v>
      </c>
      <c r="Q90" t="n">
        <v>0</v>
      </c>
      <c r="R90" s="2" t="inlineStr"/>
    </row>
    <row r="91" ht="15" customHeight="1">
      <c r="A91" t="inlineStr">
        <is>
          <t>A 18669-2020</t>
        </is>
      </c>
      <c r="B91" s="1" t="n">
        <v>43930</v>
      </c>
      <c r="C91" s="1" t="n">
        <v>45725</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18672-2020</t>
        </is>
      </c>
      <c r="B92" s="1" t="n">
        <v>43930</v>
      </c>
      <c r="C92" s="1" t="n">
        <v>45725</v>
      </c>
      <c r="D92" t="inlineStr">
        <is>
          <t>ÖREBRO LÄN</t>
        </is>
      </c>
      <c r="E92" t="inlineStr">
        <is>
          <t>HÄLLEFORS</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20719-2020</t>
        </is>
      </c>
      <c r="B93" s="1" t="n">
        <v>43949</v>
      </c>
      <c r="C93" s="1" t="n">
        <v>45725</v>
      </c>
      <c r="D93" t="inlineStr">
        <is>
          <t>ÖREBRO LÄN</t>
        </is>
      </c>
      <c r="E93" t="inlineStr">
        <is>
          <t>HÄLLEFORS</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20718-2020</t>
        </is>
      </c>
      <c r="B94" s="1" t="n">
        <v>43949</v>
      </c>
      <c r="C94" s="1" t="n">
        <v>45725</v>
      </c>
      <c r="D94" t="inlineStr">
        <is>
          <t>ÖREBRO LÄN</t>
        </is>
      </c>
      <c r="E94" t="inlineStr">
        <is>
          <t>HÄLLEFORS</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21177-2020</t>
        </is>
      </c>
      <c r="B95" s="1" t="n">
        <v>43951</v>
      </c>
      <c r="C95" s="1" t="n">
        <v>45725</v>
      </c>
      <c r="D95" t="inlineStr">
        <is>
          <t>ÖREBRO LÄN</t>
        </is>
      </c>
      <c r="E95" t="inlineStr">
        <is>
          <t>HÄLLEFORS</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21750-2020</t>
        </is>
      </c>
      <c r="B96" s="1" t="n">
        <v>43957</v>
      </c>
      <c r="C96" s="1" t="n">
        <v>45725</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21859-2020</t>
        </is>
      </c>
      <c r="B97" s="1" t="n">
        <v>43958</v>
      </c>
      <c r="C97" s="1" t="n">
        <v>45725</v>
      </c>
      <c r="D97" t="inlineStr">
        <is>
          <t>ÖREBRO LÄN</t>
        </is>
      </c>
      <c r="E97" t="inlineStr">
        <is>
          <t>HÄLLEFORS</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22729-2020</t>
        </is>
      </c>
      <c r="B98" s="1" t="n">
        <v>43962</v>
      </c>
      <c r="C98" s="1" t="n">
        <v>45725</v>
      </c>
      <c r="D98" t="inlineStr">
        <is>
          <t>ÖREBRO LÄN</t>
        </is>
      </c>
      <c r="E98" t="inlineStr">
        <is>
          <t>HÄLLEFORS</t>
        </is>
      </c>
      <c r="G98" t="n">
        <v>1.5</v>
      </c>
      <c r="H98" t="n">
        <v>0</v>
      </c>
      <c r="I98" t="n">
        <v>0</v>
      </c>
      <c r="J98" t="n">
        <v>0</v>
      </c>
      <c r="K98" t="n">
        <v>0</v>
      </c>
      <c r="L98" t="n">
        <v>0</v>
      </c>
      <c r="M98" t="n">
        <v>0</v>
      </c>
      <c r="N98" t="n">
        <v>0</v>
      </c>
      <c r="O98" t="n">
        <v>0</v>
      </c>
      <c r="P98" t="n">
        <v>0</v>
      </c>
      <c r="Q98" t="n">
        <v>0</v>
      </c>
      <c r="R98" s="2" t="inlineStr"/>
    </row>
    <row r="99" ht="15" customHeight="1">
      <c r="A99" t="inlineStr">
        <is>
          <t>A 24483-2020</t>
        </is>
      </c>
      <c r="B99" s="1" t="n">
        <v>43977</v>
      </c>
      <c r="C99" s="1" t="n">
        <v>45725</v>
      </c>
      <c r="D99" t="inlineStr">
        <is>
          <t>ÖREBRO LÄN</t>
        </is>
      </c>
      <c r="E99" t="inlineStr">
        <is>
          <t>HÄLLEFORS</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27171-2020</t>
        </is>
      </c>
      <c r="B100" s="1" t="n">
        <v>43991</v>
      </c>
      <c r="C100" s="1" t="n">
        <v>45725</v>
      </c>
      <c r="D100" t="inlineStr">
        <is>
          <t>ÖREBRO LÄN</t>
        </is>
      </c>
      <c r="E100" t="inlineStr">
        <is>
          <t>HÄLLEFORS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27173-2020</t>
        </is>
      </c>
      <c r="B101" s="1" t="n">
        <v>43991</v>
      </c>
      <c r="C101" s="1" t="n">
        <v>45725</v>
      </c>
      <c r="D101" t="inlineStr">
        <is>
          <t>ÖREBRO LÄN</t>
        </is>
      </c>
      <c r="E101" t="inlineStr">
        <is>
          <t>HÄLLEFORS</t>
        </is>
      </c>
      <c r="G101" t="n">
        <v>2.9</v>
      </c>
      <c r="H101" t="n">
        <v>0</v>
      </c>
      <c r="I101" t="n">
        <v>0</v>
      </c>
      <c r="J101" t="n">
        <v>0</v>
      </c>
      <c r="K101" t="n">
        <v>0</v>
      </c>
      <c r="L101" t="n">
        <v>0</v>
      </c>
      <c r="M101" t="n">
        <v>0</v>
      </c>
      <c r="N101" t="n">
        <v>0</v>
      </c>
      <c r="O101" t="n">
        <v>0</v>
      </c>
      <c r="P101" t="n">
        <v>0</v>
      </c>
      <c r="Q101" t="n">
        <v>0</v>
      </c>
      <c r="R101" s="2" t="inlineStr"/>
    </row>
    <row r="102" ht="15" customHeight="1">
      <c r="A102" t="inlineStr">
        <is>
          <t>A 28373-2020</t>
        </is>
      </c>
      <c r="B102" s="1" t="n">
        <v>43998</v>
      </c>
      <c r="C102" s="1" t="n">
        <v>45725</v>
      </c>
      <c r="D102" t="inlineStr">
        <is>
          <t>ÖREBRO LÄN</t>
        </is>
      </c>
      <c r="E102" t="inlineStr">
        <is>
          <t>HÄLLEFORS</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32649-2020</t>
        </is>
      </c>
      <c r="B103" s="1" t="n">
        <v>44018</v>
      </c>
      <c r="C103" s="1" t="n">
        <v>45725</v>
      </c>
      <c r="D103" t="inlineStr">
        <is>
          <t>ÖREBRO LÄN</t>
        </is>
      </c>
      <c r="E103" t="inlineStr">
        <is>
          <t>HÄLLEFORS</t>
        </is>
      </c>
      <c r="F103" t="inlineStr">
        <is>
          <t>Kyrkan</t>
        </is>
      </c>
      <c r="G103" t="n">
        <v>10.8</v>
      </c>
      <c r="H103" t="n">
        <v>0</v>
      </c>
      <c r="I103" t="n">
        <v>0</v>
      </c>
      <c r="J103" t="n">
        <v>0</v>
      </c>
      <c r="K103" t="n">
        <v>0</v>
      </c>
      <c r="L103" t="n">
        <v>0</v>
      </c>
      <c r="M103" t="n">
        <v>0</v>
      </c>
      <c r="N103" t="n">
        <v>0</v>
      </c>
      <c r="O103" t="n">
        <v>0</v>
      </c>
      <c r="P103" t="n">
        <v>0</v>
      </c>
      <c r="Q103" t="n">
        <v>0</v>
      </c>
      <c r="R103" s="2" t="inlineStr"/>
    </row>
    <row r="104" ht="15" customHeight="1">
      <c r="A104" t="inlineStr">
        <is>
          <t>A 34415-2020</t>
        </is>
      </c>
      <c r="B104" s="1" t="n">
        <v>44032</v>
      </c>
      <c r="C104" s="1" t="n">
        <v>45725</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35825-2020</t>
        </is>
      </c>
      <c r="B105" s="1" t="n">
        <v>44047</v>
      </c>
      <c r="C105" s="1" t="n">
        <v>45725</v>
      </c>
      <c r="D105" t="inlineStr">
        <is>
          <t>ÖREBRO LÄN</t>
        </is>
      </c>
      <c r="E105" t="inlineStr">
        <is>
          <t>HÄLLEFORS</t>
        </is>
      </c>
      <c r="G105" t="n">
        <v>4.8</v>
      </c>
      <c r="H105" t="n">
        <v>0</v>
      </c>
      <c r="I105" t="n">
        <v>0</v>
      </c>
      <c r="J105" t="n">
        <v>0</v>
      </c>
      <c r="K105" t="n">
        <v>0</v>
      </c>
      <c r="L105" t="n">
        <v>0</v>
      </c>
      <c r="M105" t="n">
        <v>0</v>
      </c>
      <c r="N105" t="n">
        <v>0</v>
      </c>
      <c r="O105" t="n">
        <v>0</v>
      </c>
      <c r="P105" t="n">
        <v>0</v>
      </c>
      <c r="Q105" t="n">
        <v>0</v>
      </c>
      <c r="R105" s="2" t="inlineStr"/>
    </row>
    <row r="106" ht="15" customHeight="1">
      <c r="A106" t="inlineStr">
        <is>
          <t>A 39505-2020</t>
        </is>
      </c>
      <c r="B106" s="1" t="n">
        <v>44064</v>
      </c>
      <c r="C106" s="1" t="n">
        <v>45725</v>
      </c>
      <c r="D106" t="inlineStr">
        <is>
          <t>ÖREBRO LÄN</t>
        </is>
      </c>
      <c r="E106" t="inlineStr">
        <is>
          <t>HÄLLEFORS</t>
        </is>
      </c>
      <c r="F106" t="inlineStr">
        <is>
          <t>Bergvik skog väst AB</t>
        </is>
      </c>
      <c r="G106" t="n">
        <v>3.9</v>
      </c>
      <c r="H106" t="n">
        <v>0</v>
      </c>
      <c r="I106" t="n">
        <v>0</v>
      </c>
      <c r="J106" t="n">
        <v>0</v>
      </c>
      <c r="K106" t="n">
        <v>0</v>
      </c>
      <c r="L106" t="n">
        <v>0</v>
      </c>
      <c r="M106" t="n">
        <v>0</v>
      </c>
      <c r="N106" t="n">
        <v>0</v>
      </c>
      <c r="O106" t="n">
        <v>0</v>
      </c>
      <c r="P106" t="n">
        <v>0</v>
      </c>
      <c r="Q106" t="n">
        <v>0</v>
      </c>
      <c r="R106" s="2" t="inlineStr"/>
    </row>
    <row r="107" ht="15" customHeight="1">
      <c r="A107" t="inlineStr">
        <is>
          <t>A 39512-2020</t>
        </is>
      </c>
      <c r="B107" s="1" t="n">
        <v>44064</v>
      </c>
      <c r="C107" s="1" t="n">
        <v>45725</v>
      </c>
      <c r="D107" t="inlineStr">
        <is>
          <t>ÖREBRO LÄN</t>
        </is>
      </c>
      <c r="E107" t="inlineStr">
        <is>
          <t>HÄLLEFORS</t>
        </is>
      </c>
      <c r="F107" t="inlineStr">
        <is>
          <t>Bergvik skog väst AB</t>
        </is>
      </c>
      <c r="G107" t="n">
        <v>2.9</v>
      </c>
      <c r="H107" t="n">
        <v>0</v>
      </c>
      <c r="I107" t="n">
        <v>0</v>
      </c>
      <c r="J107" t="n">
        <v>0</v>
      </c>
      <c r="K107" t="n">
        <v>0</v>
      </c>
      <c r="L107" t="n">
        <v>0</v>
      </c>
      <c r="M107" t="n">
        <v>0</v>
      </c>
      <c r="N107" t="n">
        <v>0</v>
      </c>
      <c r="O107" t="n">
        <v>0</v>
      </c>
      <c r="P107" t="n">
        <v>0</v>
      </c>
      <c r="Q107" t="n">
        <v>0</v>
      </c>
      <c r="R107" s="2" t="inlineStr"/>
    </row>
    <row r="108" ht="15" customHeight="1">
      <c r="A108" t="inlineStr">
        <is>
          <t>A 39557-2020</t>
        </is>
      </c>
      <c r="B108" s="1" t="n">
        <v>44064</v>
      </c>
      <c r="C108" s="1" t="n">
        <v>45725</v>
      </c>
      <c r="D108" t="inlineStr">
        <is>
          <t>ÖREBRO LÄN</t>
        </is>
      </c>
      <c r="E108" t="inlineStr">
        <is>
          <t>HÄLLEFORS</t>
        </is>
      </c>
      <c r="F108" t="inlineStr">
        <is>
          <t>Bergvik skog väst AB</t>
        </is>
      </c>
      <c r="G108" t="n">
        <v>18.1</v>
      </c>
      <c r="H108" t="n">
        <v>0</v>
      </c>
      <c r="I108" t="n">
        <v>0</v>
      </c>
      <c r="J108" t="n">
        <v>0</v>
      </c>
      <c r="K108" t="n">
        <v>0</v>
      </c>
      <c r="L108" t="n">
        <v>0</v>
      </c>
      <c r="M108" t="n">
        <v>0</v>
      </c>
      <c r="N108" t="n">
        <v>0</v>
      </c>
      <c r="O108" t="n">
        <v>0</v>
      </c>
      <c r="P108" t="n">
        <v>0</v>
      </c>
      <c r="Q108" t="n">
        <v>0</v>
      </c>
      <c r="R108" s="2" t="inlineStr"/>
    </row>
    <row r="109" ht="15" customHeight="1">
      <c r="A109" t="inlineStr">
        <is>
          <t>A 39484-2020</t>
        </is>
      </c>
      <c r="B109" s="1" t="n">
        <v>44064</v>
      </c>
      <c r="C109" s="1" t="n">
        <v>45725</v>
      </c>
      <c r="D109" t="inlineStr">
        <is>
          <t>ÖREBRO LÄN</t>
        </is>
      </c>
      <c r="E109" t="inlineStr">
        <is>
          <t>HÄLLEFORS</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39499-2020</t>
        </is>
      </c>
      <c r="B110" s="1" t="n">
        <v>44064</v>
      </c>
      <c r="C110" s="1" t="n">
        <v>45725</v>
      </c>
      <c r="D110" t="inlineStr">
        <is>
          <t>ÖREBRO LÄN</t>
        </is>
      </c>
      <c r="E110" t="inlineStr">
        <is>
          <t>HÄLLEFORS</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39607-2020</t>
        </is>
      </c>
      <c r="B111" s="1" t="n">
        <v>44064</v>
      </c>
      <c r="C111" s="1" t="n">
        <v>45725</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39572-2020</t>
        </is>
      </c>
      <c r="B112" s="1" t="n">
        <v>44064</v>
      </c>
      <c r="C112" s="1" t="n">
        <v>45725</v>
      </c>
      <c r="D112" t="inlineStr">
        <is>
          <t>ÖREBRO LÄN</t>
        </is>
      </c>
      <c r="E112" t="inlineStr">
        <is>
          <t>HÄLLEFORS</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39603-2020</t>
        </is>
      </c>
      <c r="B113" s="1" t="n">
        <v>44064</v>
      </c>
      <c r="C113" s="1" t="n">
        <v>45725</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39613-2020</t>
        </is>
      </c>
      <c r="B114" s="1" t="n">
        <v>44064</v>
      </c>
      <c r="C114" s="1" t="n">
        <v>45725</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39564-2020</t>
        </is>
      </c>
      <c r="B115" s="1" t="n">
        <v>44064</v>
      </c>
      <c r="C115" s="1" t="n">
        <v>45725</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39914-2020</t>
        </is>
      </c>
      <c r="B116" s="1" t="n">
        <v>44067</v>
      </c>
      <c r="C116" s="1" t="n">
        <v>45725</v>
      </c>
      <c r="D116" t="inlineStr">
        <is>
          <t>ÖREBRO LÄN</t>
        </is>
      </c>
      <c r="E116" t="inlineStr">
        <is>
          <t>HÄLLEFORS</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39921-2020</t>
        </is>
      </c>
      <c r="B117" s="1" t="n">
        <v>44067</v>
      </c>
      <c r="C117" s="1" t="n">
        <v>45725</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40467-2020</t>
        </is>
      </c>
      <c r="B118" s="1" t="n">
        <v>44069</v>
      </c>
      <c r="C118" s="1" t="n">
        <v>45725</v>
      </c>
      <c r="D118" t="inlineStr">
        <is>
          <t>ÖREBRO LÄN</t>
        </is>
      </c>
      <c r="E118" t="inlineStr">
        <is>
          <t>HÄLLEFORS</t>
        </is>
      </c>
      <c r="G118" t="n">
        <v>0.5</v>
      </c>
      <c r="H118" t="n">
        <v>0</v>
      </c>
      <c r="I118" t="n">
        <v>0</v>
      </c>
      <c r="J118" t="n">
        <v>0</v>
      </c>
      <c r="K118" t="n">
        <v>0</v>
      </c>
      <c r="L118" t="n">
        <v>0</v>
      </c>
      <c r="M118" t="n">
        <v>0</v>
      </c>
      <c r="N118" t="n">
        <v>0</v>
      </c>
      <c r="O118" t="n">
        <v>0</v>
      </c>
      <c r="P118" t="n">
        <v>0</v>
      </c>
      <c r="Q118" t="n">
        <v>0</v>
      </c>
      <c r="R118" s="2" t="inlineStr"/>
    </row>
    <row r="119" ht="15" customHeight="1">
      <c r="A119" t="inlineStr">
        <is>
          <t>A 40935-2020</t>
        </is>
      </c>
      <c r="B119" s="1" t="n">
        <v>44070</v>
      </c>
      <c r="C119" s="1" t="n">
        <v>45725</v>
      </c>
      <c r="D119" t="inlineStr">
        <is>
          <t>ÖREBRO LÄN</t>
        </is>
      </c>
      <c r="E119" t="inlineStr">
        <is>
          <t>HÄLLEFORS</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42613-2020</t>
        </is>
      </c>
      <c r="B120" s="1" t="n">
        <v>44077</v>
      </c>
      <c r="C120" s="1" t="n">
        <v>45725</v>
      </c>
      <c r="D120" t="inlineStr">
        <is>
          <t>ÖREBRO LÄN</t>
        </is>
      </c>
      <c r="E120" t="inlineStr">
        <is>
          <t>HÄLLEFORS</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44924-2020</t>
        </is>
      </c>
      <c r="B121" s="1" t="n">
        <v>44083</v>
      </c>
      <c r="C121" s="1" t="n">
        <v>45725</v>
      </c>
      <c r="D121" t="inlineStr">
        <is>
          <t>ÖREBRO LÄN</t>
        </is>
      </c>
      <c r="E121" t="inlineStr">
        <is>
          <t>HÄLLEFORS</t>
        </is>
      </c>
      <c r="G121" t="n">
        <v>0.7</v>
      </c>
      <c r="H121" t="n">
        <v>0</v>
      </c>
      <c r="I121" t="n">
        <v>0</v>
      </c>
      <c r="J121" t="n">
        <v>0</v>
      </c>
      <c r="K121" t="n">
        <v>0</v>
      </c>
      <c r="L121" t="n">
        <v>0</v>
      </c>
      <c r="M121" t="n">
        <v>0</v>
      </c>
      <c r="N121" t="n">
        <v>0</v>
      </c>
      <c r="O121" t="n">
        <v>0</v>
      </c>
      <c r="P121" t="n">
        <v>0</v>
      </c>
      <c r="Q121" t="n">
        <v>0</v>
      </c>
      <c r="R121" s="2" t="inlineStr"/>
    </row>
    <row r="122" ht="15" customHeight="1">
      <c r="A122" t="inlineStr">
        <is>
          <t>A 44556-2020</t>
        </is>
      </c>
      <c r="B122" s="1" t="n">
        <v>44085</v>
      </c>
      <c r="C122" s="1" t="n">
        <v>45725</v>
      </c>
      <c r="D122" t="inlineStr">
        <is>
          <t>ÖREBRO LÄN</t>
        </is>
      </c>
      <c r="E122" t="inlineStr">
        <is>
          <t>HÄLLEFORS</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45459-2020</t>
        </is>
      </c>
      <c r="B123" s="1" t="n">
        <v>44089</v>
      </c>
      <c r="C123" s="1" t="n">
        <v>45725</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47609-2020</t>
        </is>
      </c>
      <c r="B124" s="1" t="n">
        <v>44098</v>
      </c>
      <c r="C124" s="1" t="n">
        <v>45725</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47702-2020</t>
        </is>
      </c>
      <c r="B125" s="1" t="n">
        <v>44098</v>
      </c>
      <c r="C125" s="1" t="n">
        <v>45725</v>
      </c>
      <c r="D125" t="inlineStr">
        <is>
          <t>ÖREBRO LÄN</t>
        </is>
      </c>
      <c r="E125" t="inlineStr">
        <is>
          <t>HÄLLEFORS</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47614-2020</t>
        </is>
      </c>
      <c r="B126" s="1" t="n">
        <v>44098</v>
      </c>
      <c r="C126" s="1" t="n">
        <v>45725</v>
      </c>
      <c r="D126" t="inlineStr">
        <is>
          <t>ÖREBRO LÄN</t>
        </is>
      </c>
      <c r="E126" t="inlineStr">
        <is>
          <t>HÄLLEFORS</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47731-2020</t>
        </is>
      </c>
      <c r="B127" s="1" t="n">
        <v>44098</v>
      </c>
      <c r="C127" s="1" t="n">
        <v>45725</v>
      </c>
      <c r="D127" t="inlineStr">
        <is>
          <t>ÖREBRO LÄN</t>
        </is>
      </c>
      <c r="E127" t="inlineStr">
        <is>
          <t>HÄLLEFORS</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48127-2020</t>
        </is>
      </c>
      <c r="B128" s="1" t="n">
        <v>44102</v>
      </c>
      <c r="C128" s="1" t="n">
        <v>45725</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48316-2020</t>
        </is>
      </c>
      <c r="B129" s="1" t="n">
        <v>44102</v>
      </c>
      <c r="C129" s="1" t="n">
        <v>45725</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49640-2020</t>
        </is>
      </c>
      <c r="B130" s="1" t="n">
        <v>44106</v>
      </c>
      <c r="C130" s="1" t="n">
        <v>45725</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49719-2020</t>
        </is>
      </c>
      <c r="B131" s="1" t="n">
        <v>44106</v>
      </c>
      <c r="C131" s="1" t="n">
        <v>45725</v>
      </c>
      <c r="D131" t="inlineStr">
        <is>
          <t>ÖREBRO LÄN</t>
        </is>
      </c>
      <c r="E131" t="inlineStr">
        <is>
          <t>HÄLLEFORS</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49642-2020</t>
        </is>
      </c>
      <c r="B132" s="1" t="n">
        <v>44106</v>
      </c>
      <c r="C132" s="1" t="n">
        <v>45725</v>
      </c>
      <c r="D132" t="inlineStr">
        <is>
          <t>ÖREBRO LÄN</t>
        </is>
      </c>
      <c r="E132" t="inlineStr">
        <is>
          <t>HÄLLEFORS</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49650-2020</t>
        </is>
      </c>
      <c r="B133" s="1" t="n">
        <v>44106</v>
      </c>
      <c r="C133" s="1" t="n">
        <v>45725</v>
      </c>
      <c r="D133" t="inlineStr">
        <is>
          <t>ÖREBRO LÄN</t>
        </is>
      </c>
      <c r="E133" t="inlineStr">
        <is>
          <t>HÄLLEFORS</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49882-2020</t>
        </is>
      </c>
      <c r="B134" s="1" t="n">
        <v>44108</v>
      </c>
      <c r="C134" s="1" t="n">
        <v>45725</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50345-2020</t>
        </is>
      </c>
      <c r="B135" s="1" t="n">
        <v>44110</v>
      </c>
      <c r="C135" s="1" t="n">
        <v>45725</v>
      </c>
      <c r="D135" t="inlineStr">
        <is>
          <t>ÖREBRO LÄN</t>
        </is>
      </c>
      <c r="E135" t="inlineStr">
        <is>
          <t>HÄLLEFORS</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58534-2020</t>
        </is>
      </c>
      <c r="B136" s="1" t="n">
        <v>44145</v>
      </c>
      <c r="C136" s="1" t="n">
        <v>45725</v>
      </c>
      <c r="D136" t="inlineStr">
        <is>
          <t>ÖREBRO LÄN</t>
        </is>
      </c>
      <c r="E136" t="inlineStr">
        <is>
          <t>HÄLLEFORS</t>
        </is>
      </c>
      <c r="G136" t="n">
        <v>3.1</v>
      </c>
      <c r="H136" t="n">
        <v>0</v>
      </c>
      <c r="I136" t="n">
        <v>0</v>
      </c>
      <c r="J136" t="n">
        <v>0</v>
      </c>
      <c r="K136" t="n">
        <v>0</v>
      </c>
      <c r="L136" t="n">
        <v>0</v>
      </c>
      <c r="M136" t="n">
        <v>0</v>
      </c>
      <c r="N136" t="n">
        <v>0</v>
      </c>
      <c r="O136" t="n">
        <v>0</v>
      </c>
      <c r="P136" t="n">
        <v>0</v>
      </c>
      <c r="Q136" t="n">
        <v>0</v>
      </c>
      <c r="R136" s="2" t="inlineStr"/>
    </row>
    <row r="137" ht="15" customHeight="1">
      <c r="A137" t="inlineStr">
        <is>
          <t>A 58756-2020</t>
        </is>
      </c>
      <c r="B137" s="1" t="n">
        <v>44146</v>
      </c>
      <c r="C137" s="1" t="n">
        <v>45725</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c r="U137">
        <f>HYPERLINK("https://klasma.github.io/Logging_1863/knärot/A 58756-2020 karta knärot.png", "A 58756-2020")</f>
        <v/>
      </c>
      <c r="V137">
        <f>HYPERLINK("https://klasma.github.io/Logging_1863/klagomål/A 58756-2020 FSC-klagomål.docx", "A 58756-2020")</f>
        <v/>
      </c>
      <c r="W137">
        <f>HYPERLINK("https://klasma.github.io/Logging_1863/klagomålsmail/A 58756-2020 FSC-klagomål mail.docx", "A 58756-2020")</f>
        <v/>
      </c>
      <c r="X137">
        <f>HYPERLINK("https://klasma.github.io/Logging_1863/tillsyn/A 58756-2020 tillsynsbegäran.docx", "A 58756-2020")</f>
        <v/>
      </c>
      <c r="Y137">
        <f>HYPERLINK("https://klasma.github.io/Logging_1863/tillsynsmail/A 58756-2020 tillsynsbegäran mail.docx", "A 58756-2020")</f>
        <v/>
      </c>
    </row>
    <row r="138" ht="15" customHeight="1">
      <c r="A138" t="inlineStr">
        <is>
          <t>A 59294-2020</t>
        </is>
      </c>
      <c r="B138" s="1" t="n">
        <v>44147</v>
      </c>
      <c r="C138" s="1" t="n">
        <v>45725</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45725</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45725</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45725</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45725</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45725</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45725</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45725</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45725</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45725</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45725</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45725</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45725</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45725</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45725</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45725</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45725</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45725</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45725</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45725</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45725</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45725</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45725</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45725</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45725</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45725</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45725</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45725</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45725</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45725</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45725</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45725</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45725</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45725</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45725</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45725</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45725</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45725</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45725</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45725</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45725</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45725</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45725</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45725</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45725</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45725</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45725</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45725</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45725</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45725</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45725</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45725</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45725</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45725</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45725</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45725</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45725</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45725</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45725</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45725</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45725</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45725</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45725</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45725</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45725</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45725</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45725</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45725</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45725</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45725</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45725</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45725</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45725</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45725</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45725</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45725</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45725</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45725</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45725</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45725</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45725</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45725</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45725</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45725</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45725</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45725</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45725</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45725</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45725</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45725</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45725</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45725</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45725</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45725</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45725</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45725</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45725</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45725</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45725</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45725</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45725</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45725</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45725</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45725</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45725</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45725</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45725</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45725</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45725</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45725</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45725</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45725</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45725</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45725</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45725</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45725</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45725</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45725</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45725</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45725</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45725</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45725</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45725</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45725</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45725</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45725</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45725</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45725</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45725</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45725</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45725</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45725</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45725</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45725</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45725</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45725</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45725</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45725</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45725</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45725</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45725</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45725</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45725</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45725</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45725</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45725</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45725</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45725</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45725</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45725</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45725</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45725</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45725</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45725</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45725</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45725</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45725</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45725</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45725</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45725</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45725</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45725</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45725</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45725</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45725</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45725</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45725</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45725</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45725</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45725</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45725</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45725</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45725</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45725</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45725</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45725</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45725</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45725</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45725</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45725</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45725</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45725</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45725</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45725</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45725</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45725</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45725</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45725</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45725</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45725</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45725</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45725</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45725</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45725</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45725</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45725</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45725</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45725</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45725</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45725</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45725</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45725</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45725</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45725</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45725</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45725</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45725</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45725</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45725</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45725</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45725</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45725</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45725</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45725</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45725</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45725</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45725</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45725</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45725</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45725</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45725</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45725</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45725</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45725</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45725</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45725</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45725</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45725</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45725</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45725</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45725</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45725</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45725</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45725</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45725</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45725</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45725</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45725</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45725</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45725</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45725</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45725</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45725</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45725</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45725</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45725</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45725</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45725</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45725</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45725</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45725</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45725</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45725</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45725</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45725</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45725</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45725</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45725</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45725</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45725</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45725</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45725</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45725</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45725</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45725</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45725</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45725</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45725</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45725</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45725</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45725</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45725</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45725</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45725</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45725</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45725</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45725</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45725</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45725</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45725</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45725</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45725</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45725</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45725</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45725</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45725</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45725</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45725</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45725</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45725</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45725</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45725</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45725</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45725</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45725</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45725</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45725</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45725</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45725</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45725</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45725</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45725</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45725</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45725</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45725</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45725</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45725</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45725</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45725</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45725</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45725</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45725</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45725</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45725</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45725</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45725</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45725</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45725</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45725</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45725</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45725</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45725</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45725</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45725</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45725</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45725</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45725</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45725</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45725</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45725</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45725</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45725</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45725</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45725</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45725</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45725</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45725</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45725</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45725</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45725</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45725</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45725</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45725</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45725</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45725</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45725</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45725</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45725</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45725</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45725</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45725</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45725</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45725</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45725</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45725</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45725</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45725</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45725</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45725</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45725</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45725</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45725</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45725</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45725</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45725</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45725</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45725</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45725</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45725</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45725</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45725</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45725</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45725</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45725</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45725</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45725</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45725</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45725</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45725</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45725</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45725</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45725</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45725</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45725</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45725</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45725</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45725</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45725</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45725</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45725</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45725</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45725</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45725</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45725</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45725</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45725</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45725</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45725</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45725</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45725</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45725</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45725</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45725</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45725</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45725</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45725</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45725</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45725</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45725</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45725</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45725</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45725</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45725</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45725</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45725</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45725</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45725</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45725</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45725</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45725</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45725</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45725</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45725</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45725</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45725</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45725</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45725</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45725</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45725</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45725</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45725</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45725</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45725</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45725</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45725</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45725</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45725</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45725</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45725</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45725</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45725</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45725</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45725</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45725</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45725</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45725</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45725</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45725</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45725</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45725</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45725</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45725</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45725</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45725</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45725</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45725</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45725</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45725</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45725</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45725</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45725</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45725</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45725</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45725</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45725</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45725</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45725</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45725</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45725</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45725</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45725</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45725</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45725</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45725</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45725</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45725</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45725</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45725</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45725</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45725</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45725</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45725</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45725</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45725</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45725</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45725</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45725</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45725</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45725</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45725</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45725</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45725</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45725</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45725</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45725</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45725</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45725</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45725</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45725</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45725</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45725</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45725</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45725</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45725</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45725</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45725</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45725</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45725</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45725</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45725</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45725</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45725</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45725</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45725</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45725</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45725</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45725</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45725</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45725</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45725</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45725</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45725</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45725</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45725</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45725</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45725</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45725</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45725</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45725</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45725</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45725</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45725</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45725</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45725</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45725</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45725</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45725</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45725</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45725</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45725</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45725</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45725</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45725</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45725</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45725</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45725</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45725</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45725</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45725</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45725</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45725</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45725</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45725</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45725</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45725</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45725</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45725</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5045-2025</t>
        </is>
      </c>
      <c r="B695" s="1" t="n">
        <v>45691</v>
      </c>
      <c r="C695" s="1" t="n">
        <v>45725</v>
      </c>
      <c r="D695" t="inlineStr">
        <is>
          <t>ÖREBRO LÄN</t>
        </is>
      </c>
      <c r="E695" t="inlineStr">
        <is>
          <t>HÄLLEFORS</t>
        </is>
      </c>
      <c r="F695" t="inlineStr">
        <is>
          <t>Bergvik skog väst AB</t>
        </is>
      </c>
      <c r="G695" t="n">
        <v>6.4</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45725</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5033-2025</t>
        </is>
      </c>
      <c r="B697" s="1" t="n">
        <v>45691</v>
      </c>
      <c r="C697" s="1" t="n">
        <v>45725</v>
      </c>
      <c r="D697" t="inlineStr">
        <is>
          <t>ÖREBRO LÄN</t>
        </is>
      </c>
      <c r="E697" t="inlineStr">
        <is>
          <t>HÄLLEFORS</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45725</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45725</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5263-2025</t>
        </is>
      </c>
      <c r="B700" s="1" t="n">
        <v>45692</v>
      </c>
      <c r="C700" s="1" t="n">
        <v>45725</v>
      </c>
      <c r="D700" t="inlineStr">
        <is>
          <t>ÖREBRO LÄN</t>
        </is>
      </c>
      <c r="E700" t="inlineStr">
        <is>
          <t>HÄLLEFORS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45725</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5256-2025</t>
        </is>
      </c>
      <c r="B702" s="1" t="n">
        <v>45692</v>
      </c>
      <c r="C702" s="1" t="n">
        <v>45725</v>
      </c>
      <c r="D702" t="inlineStr">
        <is>
          <t>ÖREBRO LÄN</t>
        </is>
      </c>
      <c r="E702" t="inlineStr">
        <is>
          <t>HÄLLEFORS</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45725</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45725</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45725</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45725</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45725</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9539-2025</t>
        </is>
      </c>
      <c r="B708" s="1" t="n">
        <v>45715</v>
      </c>
      <c r="C708" s="1" t="n">
        <v>45725</v>
      </c>
      <c r="D708" t="inlineStr">
        <is>
          <t>ÖREBRO LÄN</t>
        </is>
      </c>
      <c r="E708" t="inlineStr">
        <is>
          <t>HÄLLEFORS</t>
        </is>
      </c>
      <c r="G708" t="n">
        <v>1.4</v>
      </c>
      <c r="H708" t="n">
        <v>0</v>
      </c>
      <c r="I708" t="n">
        <v>0</v>
      </c>
      <c r="J708" t="n">
        <v>0</v>
      </c>
      <c r="K708" t="n">
        <v>0</v>
      </c>
      <c r="L708" t="n">
        <v>0</v>
      </c>
      <c r="M708" t="n">
        <v>0</v>
      </c>
      <c r="N708" t="n">
        <v>0</v>
      </c>
      <c r="O708" t="n">
        <v>0</v>
      </c>
      <c r="P708" t="n">
        <v>0</v>
      </c>
      <c r="Q708" t="n">
        <v>0</v>
      </c>
      <c r="R708" s="2" t="inlineStr"/>
    </row>
    <row r="709" ht="15" customHeight="1">
      <c r="A709" t="inlineStr">
        <is>
          <t>A 9537-2025</t>
        </is>
      </c>
      <c r="B709" s="1" t="n">
        <v>45715</v>
      </c>
      <c r="C709" s="1" t="n">
        <v>45725</v>
      </c>
      <c r="D709" t="inlineStr">
        <is>
          <t>ÖREBRO LÄN</t>
        </is>
      </c>
      <c r="E709" t="inlineStr">
        <is>
          <t>HÄLLEFORS</t>
        </is>
      </c>
      <c r="G709" t="n">
        <v>2.7</v>
      </c>
      <c r="H709" t="n">
        <v>0</v>
      </c>
      <c r="I709" t="n">
        <v>0</v>
      </c>
      <c r="J709" t="n">
        <v>0</v>
      </c>
      <c r="K709" t="n">
        <v>0</v>
      </c>
      <c r="L709" t="n">
        <v>0</v>
      </c>
      <c r="M709" t="n">
        <v>0</v>
      </c>
      <c r="N709" t="n">
        <v>0</v>
      </c>
      <c r="O709" t="n">
        <v>0</v>
      </c>
      <c r="P709" t="n">
        <v>0</v>
      </c>
      <c r="Q709" t="n">
        <v>0</v>
      </c>
      <c r="R709" s="2" t="inlineStr"/>
    </row>
    <row r="710" ht="15" customHeight="1">
      <c r="A710" t="inlineStr">
        <is>
          <t>A 9536-2025</t>
        </is>
      </c>
      <c r="B710" s="1" t="n">
        <v>45715</v>
      </c>
      <c r="C710" s="1" t="n">
        <v>45725</v>
      </c>
      <c r="D710" t="inlineStr">
        <is>
          <t>ÖREBRO LÄN</t>
        </is>
      </c>
      <c r="E710" t="inlineStr">
        <is>
          <t>HÄLLEFORS</t>
        </is>
      </c>
      <c r="G710" t="n">
        <v>1.5</v>
      </c>
      <c r="H710" t="n">
        <v>0</v>
      </c>
      <c r="I710" t="n">
        <v>0</v>
      </c>
      <c r="J710" t="n">
        <v>0</v>
      </c>
      <c r="K710" t="n">
        <v>0</v>
      </c>
      <c r="L710" t="n">
        <v>0</v>
      </c>
      <c r="M710" t="n">
        <v>0</v>
      </c>
      <c r="N710" t="n">
        <v>0</v>
      </c>
      <c r="O710" t="n">
        <v>0</v>
      </c>
      <c r="P710" t="n">
        <v>0</v>
      </c>
      <c r="Q710" t="n">
        <v>0</v>
      </c>
      <c r="R710" s="2" t="inlineStr"/>
    </row>
    <row r="711">
      <c r="A711" t="inlineStr">
        <is>
          <t>A 10499-2025</t>
        </is>
      </c>
      <c r="B711" s="1" t="n">
        <v>45721</v>
      </c>
      <c r="C711" s="1" t="n">
        <v>45725</v>
      </c>
      <c r="D711" t="inlineStr">
        <is>
          <t>ÖREBRO LÄN</t>
        </is>
      </c>
      <c r="E711" t="inlineStr">
        <is>
          <t>HÄLLEFORS</t>
        </is>
      </c>
      <c r="F711" t="inlineStr">
        <is>
          <t>Bergvik skog väst AB</t>
        </is>
      </c>
      <c r="G711" t="n">
        <v>2.8</v>
      </c>
      <c r="H711" t="n">
        <v>0</v>
      </c>
      <c r="I711" t="n">
        <v>0</v>
      </c>
      <c r="J711" t="n">
        <v>0</v>
      </c>
      <c r="K711" t="n">
        <v>0</v>
      </c>
      <c r="L711" t="n">
        <v>0</v>
      </c>
      <c r="M711" t="n">
        <v>0</v>
      </c>
      <c r="N711" t="n">
        <v>0</v>
      </c>
      <c r="O711" t="n">
        <v>0</v>
      </c>
      <c r="P711" t="n">
        <v>0</v>
      </c>
      <c r="Q711" t="n">
        <v>0</v>
      </c>
      <c r="R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2025-03-09T17:25:33Z</dcterms:created>
  <dcterms:modified xmlns:dcterms="http://purl.org/dc/terms/" xmlns:xsi="http://www.w3.org/2001/XMLSchema-instance" xsi:type="dcterms:W3CDTF">2025-03-09T17:25:34Z</dcterms:modified>
</cp:coreProperties>
</file>