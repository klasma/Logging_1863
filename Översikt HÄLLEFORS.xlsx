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45794</v>
      </c>
      <c r="D2" t="inlineStr">
        <is>
          <t>ÖREBRO LÄN</t>
        </is>
      </c>
      <c r="E2" t="inlineStr">
        <is>
          <t>HÄLLEFORS</t>
        </is>
      </c>
      <c r="G2" t="n">
        <v>6.7</v>
      </c>
      <c r="H2" t="n">
        <v>8</v>
      </c>
      <c r="I2" t="n">
        <v>14</v>
      </c>
      <c r="J2" t="n">
        <v>7</v>
      </c>
      <c r="K2" t="n">
        <v>0</v>
      </c>
      <c r="L2" t="n">
        <v>0</v>
      </c>
      <c r="M2" t="n">
        <v>1</v>
      </c>
      <c r="N2" t="n">
        <v>0</v>
      </c>
      <c r="O2" t="n">
        <v>8</v>
      </c>
      <c r="P2" t="n">
        <v>1</v>
      </c>
      <c r="Q2" t="n">
        <v>26</v>
      </c>
      <c r="R2" s="2" t="inlineStr">
        <is>
          <t>Skogsalm
Brunpudrad nållav
Dofttaggsvamp
Gultoppig fingersvamp
Spillkråka
Svartvit taggsvamp
Talltita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45794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45794</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45794</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45794</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45794</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45794</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45794</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45794</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22053-2021</t>
        </is>
      </c>
      <c r="B11" s="1" t="n">
        <v>44323</v>
      </c>
      <c r="C11" s="1" t="n">
        <v>45794</v>
      </c>
      <c r="D11" t="inlineStr">
        <is>
          <t>ÖREBRO LÄN</t>
        </is>
      </c>
      <c r="E11" t="inlineStr">
        <is>
          <t>HÄLLEFORS</t>
        </is>
      </c>
      <c r="F11" t="inlineStr">
        <is>
          <t>Sveaskog</t>
        </is>
      </c>
      <c r="G11" t="n">
        <v>7.6</v>
      </c>
      <c r="H11" t="n">
        <v>2</v>
      </c>
      <c r="I11" t="n">
        <v>2</v>
      </c>
      <c r="J11" t="n">
        <v>2</v>
      </c>
      <c r="K11" t="n">
        <v>0</v>
      </c>
      <c r="L11" t="n">
        <v>0</v>
      </c>
      <c r="M11" t="n">
        <v>0</v>
      </c>
      <c r="N11" t="n">
        <v>0</v>
      </c>
      <c r="O11" t="n">
        <v>2</v>
      </c>
      <c r="P11" t="n">
        <v>0</v>
      </c>
      <c r="Q11" t="n">
        <v>5</v>
      </c>
      <c r="R11" s="2" t="inlineStr">
        <is>
          <t>Lunglav
Spillkråka
Korallblylav
Stuplav
Tjäder</t>
        </is>
      </c>
      <c r="S11">
        <f>HYPERLINK("https://klasma.github.io/Logging_1863/artfynd/A 22053-2021 artfynd.xlsx", "A 22053-2021")</f>
        <v/>
      </c>
      <c r="T11">
        <f>HYPERLINK("https://klasma.github.io/Logging_1863/kartor/A 22053-2021 karta.png", "A 22053-2021")</f>
        <v/>
      </c>
      <c r="V11">
        <f>HYPERLINK("https://klasma.github.io/Logging_1863/klagomål/A 22053-2021 FSC-klagomål.docx", "A 22053-2021")</f>
        <v/>
      </c>
      <c r="W11">
        <f>HYPERLINK("https://klasma.github.io/Logging_1863/klagomålsmail/A 22053-2021 FSC-klagomål mail.docx", "A 22053-2021")</f>
        <v/>
      </c>
      <c r="X11">
        <f>HYPERLINK("https://klasma.github.io/Logging_1863/tillsyn/A 22053-2021 tillsynsbegäran.docx", "A 22053-2021")</f>
        <v/>
      </c>
      <c r="Y11">
        <f>HYPERLINK("https://klasma.github.io/Logging_1863/tillsynsmail/A 22053-2021 tillsynsbegäran mail.docx", "A 22053-2021")</f>
        <v/>
      </c>
      <c r="Z11">
        <f>HYPERLINK("https://klasma.github.io/Logging_1863/fåglar/A 22053-2021 prioriterade fågelarter.docx", "A 22053-2021")</f>
        <v/>
      </c>
    </row>
    <row r="12" ht="15" customHeight="1">
      <c r="A12" t="inlineStr">
        <is>
          <t>A 17809-2025</t>
        </is>
      </c>
      <c r="B12" s="1" t="n">
        <v>45758</v>
      </c>
      <c r="C12" s="1" t="n">
        <v>45794</v>
      </c>
      <c r="D12" t="inlineStr">
        <is>
          <t>ÖREBRO LÄN</t>
        </is>
      </c>
      <c r="E12" t="inlineStr">
        <is>
          <t>HÄLLEFORS</t>
        </is>
      </c>
      <c r="F12" t="inlineStr">
        <is>
          <t>Sveaskog</t>
        </is>
      </c>
      <c r="G12" t="n">
        <v>7.3</v>
      </c>
      <c r="H12" t="n">
        <v>2</v>
      </c>
      <c r="I12" t="n">
        <v>2</v>
      </c>
      <c r="J12" t="n">
        <v>2</v>
      </c>
      <c r="K12" t="n">
        <v>0</v>
      </c>
      <c r="L12" t="n">
        <v>0</v>
      </c>
      <c r="M12" t="n">
        <v>0</v>
      </c>
      <c r="N12" t="n">
        <v>0</v>
      </c>
      <c r="O12" t="n">
        <v>2</v>
      </c>
      <c r="P12" t="n">
        <v>0</v>
      </c>
      <c r="Q12" t="n">
        <v>5</v>
      </c>
      <c r="R12" s="2" t="inlineStr">
        <is>
          <t>Lunglav
Spillkråka
Korallblylav
Stuplav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45794</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45794</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45794</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45794</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45794</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45794</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45794</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45794</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45794</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45794</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45794</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45794</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45794</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45794</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45794</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45794</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45794</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45794</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45794</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45794</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45794</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45794</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45794</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45794</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45794</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45794</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45794</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45794</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45794</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45794</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45794</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45794</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45794</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45794</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45794</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45794</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45794</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45794</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45794</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45794</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45794</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45794</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45794</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45794</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45794</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45794</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45794</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45794</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45794</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45794</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45794</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45794</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45794</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45794</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45794</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45794</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45794</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45794</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45794</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45794</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45794</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45794</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45794</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45794</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45794</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45794</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45794</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45794</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45794</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45794</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45794</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45794</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45794</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45794</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45794</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45794</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45794</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45794</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45794</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45794</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45794</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45794</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45794</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45794</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45794</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45794</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45794</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45794</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45794</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45794</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45794</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45794</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45794</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45794</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45794</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45794</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45794</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45794</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45794</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45794</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45794</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45794</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45794</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45794</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45794</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45794</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45794</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45794</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45794</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45794</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45794</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45794</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45794</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45794</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45794</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45794</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45794</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45794</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45794</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45794</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45794</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45794</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45794</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45794</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45794</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45794</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45794</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45794</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45794</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45794</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45794</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45794</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45794</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45794</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45794</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45794</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45794</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45794</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45794</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45794</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45794</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45794</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45794</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45794</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45794</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45794</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45794</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45794</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45794</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45794</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45794</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45794</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45794</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45794</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45794</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45794</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45794</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45794</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45794</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45794</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45794</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45794</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45794</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45794</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45794</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45794</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45794</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45794</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45794</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45794</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45794</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45794</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45794</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45794</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45794</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45794</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45794</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45794</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45794</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45794</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45794</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45794</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45794</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45794</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45794</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45794</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45794</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45794</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45794</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45794</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45794</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45794</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45794</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45794</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45794</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45794</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45794</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45794</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45794</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45794</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45794</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45794</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45794</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45794</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45794</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45794</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45794</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45794</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45794</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45794</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45794</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45794</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45794</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45794</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45794</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45794</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45794</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45794</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45794</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45794</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45794</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45794</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45794</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45794</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45794</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45794</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45794</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45794</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45794</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45794</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45794</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45794</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45794</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45794</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45794</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45794</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45794</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45794</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45794</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45794</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45794</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45794</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45794</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45794</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45794</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45794</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45794</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45794</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45794</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45794</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45794</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45794</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45794</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45794</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45794</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45794</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45794</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45794</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45794</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45794</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45794</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45794</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45794</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45794</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45794</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45794</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45794</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45794</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45794</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45794</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45794</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45794</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45794</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45794</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45794</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45794</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45794</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45794</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45794</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45794</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45794</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45794</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45794</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45794</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45794</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45794</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45794</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45794</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45794</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45794</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45794</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45794</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45794</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45794</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45794</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45794</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45794</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45794</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45794</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45794</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45794</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45794</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45794</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45794</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45794</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45794</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45794</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45794</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45794</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45794</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45794</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45794</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45794</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45794</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45794</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45794</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45794</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45794</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45794</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45794</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45794</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45794</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45794</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45794</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45794</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45794</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45794</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45794</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45794</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45794</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45794</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45794</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45794</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45794</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45794</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45794</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45794</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45794</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45794</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45794</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45794</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45794</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45794</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45794</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45794</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45794</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45794</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45794</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45794</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45794</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45794</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45794</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45794</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45794</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45794</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45794</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45794</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45794</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45794</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45794</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45794</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45794</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45794</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45794</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45794</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45794</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45794</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45794</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45794</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45794</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45794</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45794</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45794</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45794</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45794</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45794</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45794</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45794</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45794</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45794</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45794</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45794</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45794</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45794</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45794</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45794</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45794</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45794</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45794</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45794</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45794</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45794</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45794</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45794</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45794</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45794</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45794</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45794</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45794</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45794</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45794</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45794</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45794</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45794</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45794</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45794</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45794</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45794</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45794</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45794</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45794</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45794</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45794</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45794</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45794</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45794</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45794</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45794</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45794</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45794</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45794</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45794</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45794</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45794</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45794</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45794</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45794</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45794</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45794</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45794</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45794</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45794</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45794</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45794</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45794</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45794</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45794</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45794</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45794</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45794</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45794</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45794</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45794</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45794</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45794</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45794</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45794</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45794</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45794</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45794</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45794</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45794</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45794</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45794</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45794</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45794</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45794</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45794</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45794</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45794</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45794</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45794</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45794</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45794</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45794</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45794</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45794</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45794</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45794</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45794</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45794</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45794</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45794</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45794</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45794</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45794</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45794</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45794</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45794</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45794</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45794</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45794</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45794</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45794</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45794</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45794</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45794</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45794</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45794</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45794</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45794</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45794</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45794</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45794</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45794</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45794</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45794</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45794</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45794</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45794</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45794</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45794</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45794</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45794</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45794</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45794</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45794</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45794</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45794</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45794</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45794</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45794</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45794</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45794</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45794</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45794</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45794</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45794</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45794</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45794</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45794</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45794</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45794</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45794</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45794</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45794</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45794</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45794</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45794</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45794</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45794</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45794</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45794</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45794</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45794</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45794</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45794</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45794</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45794</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45794</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45794</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45794</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45794</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45794</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45794</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45794</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45794</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45794</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45794</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45794</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45794</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45794</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45794</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45794</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45794</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45794</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45794</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45794</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45794</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45794</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45794</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45794</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45794</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45794</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45794</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45794</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45794</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45794</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45794</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45794</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45794</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45794</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45794</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45794</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45794</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45794</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45794</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45794</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45794</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45794</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45794</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45794</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45794</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45794</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45794</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45794</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45794</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45794</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45794</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45794</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45794</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45794</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45794</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45794</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45794</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45794</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45794</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45794</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45794</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45794</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45794</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45794</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45794</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45794</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45794</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45794</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45794</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45794</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45794</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45794</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45794</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45794</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45794</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45794</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45794</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45794</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45794</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45794</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45794</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45794</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45794</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45794</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45794</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45794</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45794</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45794</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45794</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45794</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45794</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45794</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45794</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45794</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45794</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45794</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45794</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45794</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45794</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45794</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45794</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45794</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45794</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45794</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45794</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45794</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45794</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45794</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45794</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45794</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45794</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45794</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45794</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45794</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45794</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45794</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45794</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45794</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45794</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45794</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45794</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45794</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45794</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45794</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45794</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45794</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45794</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45794</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45794</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45794</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45794</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45794</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45794</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45794</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45794</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45794</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45794</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45794</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45794</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45794</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45794</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45794</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45794</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45794</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45794</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45794</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45794</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45794</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45794</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45794</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45794</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45794</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45794</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45794</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45794</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45794</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45794</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45794</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45794</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45794</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45794</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45794</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45794</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45794</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45794</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45794</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45794</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45794</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45794</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45794</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45794</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45794</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45794</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45794</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45794</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45794</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45794</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45794</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45794</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45794</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45794</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45794</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45794</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45794</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45794</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45794</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45794</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45794</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45794</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45794</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45794</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45794</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45794</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45794</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45794</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45794</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45794</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45794</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45794</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45794</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45794</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45794</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45794</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45794</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45794</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45794</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45794</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45794</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45794</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45794</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45794</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45794</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45794</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45794</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45794</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45794</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45794</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45794</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45794</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45794</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45794</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45794</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45794</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45794</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45794</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45794</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45794</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21050-2025</t>
        </is>
      </c>
      <c r="B778" s="1" t="n">
        <v>45777</v>
      </c>
      <c r="C778" s="1" t="n">
        <v>45794</v>
      </c>
      <c r="D778" t="inlineStr">
        <is>
          <t>ÖREBRO LÄN</t>
        </is>
      </c>
      <c r="E778" t="inlineStr">
        <is>
          <t>HÄLLEFORS</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45794</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45794</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45794</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c r="A782" t="inlineStr">
        <is>
          <t>A 23649-2025</t>
        </is>
      </c>
      <c r="B782" s="1" t="n">
        <v>45792</v>
      </c>
      <c r="C782" s="1" t="n">
        <v>45794</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2025-05-17T17:14:57Z</dcterms:created>
  <dcterms:modified xmlns:dcterms="http://purl.org/dc/terms/" xmlns:xsi="http://www.w3.org/2001/XMLSchema-instance" xsi:type="dcterms:W3CDTF">2025-05-17T17:14:58Z</dcterms:modified>
</cp:coreProperties>
</file>