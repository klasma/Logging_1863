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46031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46031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46031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46031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46031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46031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59521-2025</t>
        </is>
      </c>
      <c r="B15" s="1" t="n">
        <v>45989.65802083333</v>
      </c>
      <c r="C15" s="1" t="n">
        <v>46031</v>
      </c>
      <c r="D15" t="inlineStr">
        <is>
          <t>ÖREBRO LÄN</t>
        </is>
      </c>
      <c r="E15" t="inlineStr">
        <is>
          <t>HÄLLEFORS</t>
        </is>
      </c>
      <c r="F15" t="inlineStr">
        <is>
          <t>Sveaskog</t>
        </is>
      </c>
      <c r="G15" t="n">
        <v>8.800000000000001</v>
      </c>
      <c r="H15" t="n">
        <v>2</v>
      </c>
      <c r="I15" t="n">
        <v>0</v>
      </c>
      <c r="J15" t="n">
        <v>0</v>
      </c>
      <c r="K15" t="n">
        <v>0</v>
      </c>
      <c r="L15" t="n">
        <v>0</v>
      </c>
      <c r="M15" t="n">
        <v>0</v>
      </c>
      <c r="N15" t="n">
        <v>0</v>
      </c>
      <c r="O15" t="n">
        <v>0</v>
      </c>
      <c r="P15" t="n">
        <v>0</v>
      </c>
      <c r="Q15" t="n">
        <v>2</v>
      </c>
      <c r="R15" s="2" t="inlineStr">
        <is>
          <t>Gråspett
Blåsippa</t>
        </is>
      </c>
      <c r="S15">
        <f>HYPERLINK("https://klasma.github.io/Logging_1863/artfynd/A 59521-2025 artfynd.xlsx", "A 59521-2025")</f>
        <v/>
      </c>
      <c r="T15">
        <f>HYPERLINK("https://klasma.github.io/Logging_1863/kartor/A 59521-2025 karta.png", "A 59521-2025")</f>
        <v/>
      </c>
      <c r="V15">
        <f>HYPERLINK("https://klasma.github.io/Logging_1863/klagomål/A 59521-2025 FSC-klagomål.docx", "A 59521-2025")</f>
        <v/>
      </c>
      <c r="W15">
        <f>HYPERLINK("https://klasma.github.io/Logging_1863/klagomålsmail/A 59521-2025 FSC-klagomål mail.docx", "A 59521-2025")</f>
        <v/>
      </c>
      <c r="X15">
        <f>HYPERLINK("https://klasma.github.io/Logging_1863/tillsyn/A 59521-2025 tillsynsbegäran.docx", "A 59521-2025")</f>
        <v/>
      </c>
      <c r="Y15">
        <f>HYPERLINK("https://klasma.github.io/Logging_1863/tillsynsmail/A 59521-2025 tillsynsbegäran mail.docx", "A 59521-2025")</f>
        <v/>
      </c>
      <c r="Z15">
        <f>HYPERLINK("https://klasma.github.io/Logging_1863/fåglar/A 59521-2025 prioriterade fågelarter.docx", "A 59521-2025")</f>
        <v/>
      </c>
    </row>
    <row r="16" ht="15" customHeight="1">
      <c r="A16" t="inlineStr">
        <is>
          <t>A 34050-2025</t>
        </is>
      </c>
      <c r="B16" s="1" t="n">
        <v>45845.40576388889</v>
      </c>
      <c r="C16" s="1" t="n">
        <v>46031</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46031</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46031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46031</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46031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46031</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46031</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46031</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46031</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46031</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46031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61140-2025</t>
        </is>
      </c>
      <c r="B28" s="1" t="n">
        <v>46000.515625</v>
      </c>
      <c r="C28" s="1" t="n">
        <v>46031</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18617-2025</t>
        </is>
      </c>
      <c r="B29" s="1" t="n">
        <v>45763.51037037037</v>
      </c>
      <c r="C29" s="1" t="n">
        <v>46031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28598-2024</t>
        </is>
      </c>
      <c r="B30" s="1" t="n">
        <v>45478.42475694444</v>
      </c>
      <c r="C30" s="1" t="n">
        <v>46031</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45548.57174768519</v>
      </c>
      <c r="C31" s="1" t="n">
        <v>46031</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41834-2023</t>
        </is>
      </c>
      <c r="B32" s="1" t="n">
        <v>45176</v>
      </c>
      <c r="C32" s="1" t="n">
        <v>46031</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46031</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46031</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46031</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46031</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46031</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46031</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46031</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46031</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46031</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46031</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46031</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46031</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46031</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46031</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46031</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46031</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46031</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46031</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46031</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46031</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46031</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46031</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46031</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46031</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46031</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46031</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46031</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46031</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46031</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46031</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46031</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46031</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46031</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46031</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46031</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46031</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46031</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46031</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46031</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46031</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46031</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46031</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46031</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46031</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46031</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46031</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46031</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46031</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46031</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46031</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46031</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59963-2024</t>
        </is>
      </c>
      <c r="B91" s="1" t="n">
        <v>45642.35274305556</v>
      </c>
      <c r="C91" s="1" t="n">
        <v>46031</v>
      </c>
      <c r="D91" t="inlineStr">
        <is>
          <t>ÖREBRO LÄN</t>
        </is>
      </c>
      <c r="E91" t="inlineStr">
        <is>
          <t>HÄLLEFORS</t>
        </is>
      </c>
      <c r="F91" t="inlineStr">
        <is>
          <t>Bergvik skog väst AB</t>
        </is>
      </c>
      <c r="G91" t="n">
        <v>8.4</v>
      </c>
      <c r="H91" t="n">
        <v>0</v>
      </c>
      <c r="I91" t="n">
        <v>0</v>
      </c>
      <c r="J91" t="n">
        <v>0</v>
      </c>
      <c r="K91" t="n">
        <v>0</v>
      </c>
      <c r="L91" t="n">
        <v>0</v>
      </c>
      <c r="M91" t="n">
        <v>0</v>
      </c>
      <c r="N91" t="n">
        <v>0</v>
      </c>
      <c r="O91" t="n">
        <v>0</v>
      </c>
      <c r="P91" t="n">
        <v>0</v>
      </c>
      <c r="Q91" t="n">
        <v>0</v>
      </c>
      <c r="R91" s="2" t="inlineStr"/>
    </row>
    <row r="92" ht="15" customHeight="1">
      <c r="A92" t="inlineStr">
        <is>
          <t>A 36090-2024</t>
        </is>
      </c>
      <c r="B92" s="1" t="n">
        <v>45533.68363425926</v>
      </c>
      <c r="C92" s="1" t="n">
        <v>46031</v>
      </c>
      <c r="D92" t="inlineStr">
        <is>
          <t>ÖREBRO LÄN</t>
        </is>
      </c>
      <c r="E92" t="inlineStr">
        <is>
          <t>HÄLLEFORS</t>
        </is>
      </c>
      <c r="F92" t="inlineStr">
        <is>
          <t>Bergvik skog väst AB</t>
        </is>
      </c>
      <c r="G92" t="n">
        <v>5.2</v>
      </c>
      <c r="H92" t="n">
        <v>0</v>
      </c>
      <c r="I92" t="n">
        <v>0</v>
      </c>
      <c r="J92" t="n">
        <v>0</v>
      </c>
      <c r="K92" t="n">
        <v>0</v>
      </c>
      <c r="L92" t="n">
        <v>0</v>
      </c>
      <c r="M92" t="n">
        <v>0</v>
      </c>
      <c r="N92" t="n">
        <v>0</v>
      </c>
      <c r="O92" t="n">
        <v>0</v>
      </c>
      <c r="P92" t="n">
        <v>0</v>
      </c>
      <c r="Q92" t="n">
        <v>0</v>
      </c>
      <c r="R92" s="2" t="inlineStr"/>
    </row>
    <row r="93" ht="15" customHeight="1">
      <c r="A93" t="inlineStr">
        <is>
          <t>A 17120-2025</t>
        </is>
      </c>
      <c r="B93" s="1" t="n">
        <v>45755.68921296296</v>
      </c>
      <c r="C93" s="1" t="n">
        <v>46031</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47811-2024</t>
        </is>
      </c>
      <c r="B94" s="1" t="n">
        <v>45588.61716435185</v>
      </c>
      <c r="C94" s="1" t="n">
        <v>46031</v>
      </c>
      <c r="D94" t="inlineStr">
        <is>
          <t>ÖREBRO LÄN</t>
        </is>
      </c>
      <c r="E94" t="inlineStr">
        <is>
          <t>HÄLLEFORS</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16930-2025</t>
        </is>
      </c>
      <c r="B95" s="1" t="n">
        <v>45755.40039351852</v>
      </c>
      <c r="C95" s="1" t="n">
        <v>46031</v>
      </c>
      <c r="D95" t="inlineStr">
        <is>
          <t>ÖREBRO LÄN</t>
        </is>
      </c>
      <c r="E95" t="inlineStr">
        <is>
          <t>HÄLLEFORS</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25059-2024</t>
        </is>
      </c>
      <c r="B96" s="1" t="n">
        <v>45462.35787037037</v>
      </c>
      <c r="C96" s="1" t="n">
        <v>46031</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35860-2024</t>
        </is>
      </c>
      <c r="B97" s="1" t="n">
        <v>45533</v>
      </c>
      <c r="C97" s="1" t="n">
        <v>46031</v>
      </c>
      <c r="D97" t="inlineStr">
        <is>
          <t>ÖREBRO LÄN</t>
        </is>
      </c>
      <c r="E97" t="inlineStr">
        <is>
          <t>HÄLLEFORS</t>
        </is>
      </c>
      <c r="F97" t="inlineStr">
        <is>
          <t>Bergvik skog väst AB</t>
        </is>
      </c>
      <c r="G97" t="n">
        <v>4.1</v>
      </c>
      <c r="H97" t="n">
        <v>0</v>
      </c>
      <c r="I97" t="n">
        <v>0</v>
      </c>
      <c r="J97" t="n">
        <v>0</v>
      </c>
      <c r="K97" t="n">
        <v>0</v>
      </c>
      <c r="L97" t="n">
        <v>0</v>
      </c>
      <c r="M97" t="n">
        <v>0</v>
      </c>
      <c r="N97" t="n">
        <v>0</v>
      </c>
      <c r="O97" t="n">
        <v>0</v>
      </c>
      <c r="P97" t="n">
        <v>0</v>
      </c>
      <c r="Q97" t="n">
        <v>0</v>
      </c>
      <c r="R97" s="2" t="inlineStr"/>
    </row>
    <row r="98" ht="15" customHeight="1">
      <c r="A98" t="inlineStr">
        <is>
          <t>A 36114-2024</t>
        </is>
      </c>
      <c r="B98" s="1" t="n">
        <v>45534.30509259259</v>
      </c>
      <c r="C98" s="1" t="n">
        <v>46031</v>
      </c>
      <c r="D98" t="inlineStr">
        <is>
          <t>ÖREBRO LÄN</t>
        </is>
      </c>
      <c r="E98" t="inlineStr">
        <is>
          <t>HÄLLEFORS</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57421-2025</t>
        </is>
      </c>
      <c r="B99" s="1" t="n">
        <v>45980.45798611111</v>
      </c>
      <c r="C99" s="1" t="n">
        <v>46031</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40530-2022</t>
        </is>
      </c>
      <c r="B100" s="1" t="n">
        <v>44823</v>
      </c>
      <c r="C100" s="1" t="n">
        <v>46031</v>
      </c>
      <c r="D100" t="inlineStr">
        <is>
          <t>ÖREBRO LÄN</t>
        </is>
      </c>
      <c r="E100" t="inlineStr">
        <is>
          <t>HÄLLEFORS</t>
        </is>
      </c>
      <c r="G100" t="n">
        <v>0.6</v>
      </c>
      <c r="H100" t="n">
        <v>0</v>
      </c>
      <c r="I100" t="n">
        <v>0</v>
      </c>
      <c r="J100" t="n">
        <v>0</v>
      </c>
      <c r="K100" t="n">
        <v>0</v>
      </c>
      <c r="L100" t="n">
        <v>0</v>
      </c>
      <c r="M100" t="n">
        <v>0</v>
      </c>
      <c r="N100" t="n">
        <v>0</v>
      </c>
      <c r="O100" t="n">
        <v>0</v>
      </c>
      <c r="P100" t="n">
        <v>0</v>
      </c>
      <c r="Q100" t="n">
        <v>0</v>
      </c>
      <c r="R100" s="2" t="inlineStr"/>
    </row>
    <row r="101" ht="15" customHeight="1">
      <c r="A101" t="inlineStr">
        <is>
          <t>A 53344-2024</t>
        </is>
      </c>
      <c r="B101" s="1" t="n">
        <v>45614.44175925926</v>
      </c>
      <c r="C101" s="1" t="n">
        <v>46031</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35243-2022</t>
        </is>
      </c>
      <c r="B102" s="1" t="n">
        <v>44798</v>
      </c>
      <c r="C102" s="1" t="n">
        <v>46031</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57494-2025</t>
        </is>
      </c>
      <c r="B103" s="1" t="n">
        <v>45980.5859375</v>
      </c>
      <c r="C103" s="1" t="n">
        <v>46031</v>
      </c>
      <c r="D103" t="inlineStr">
        <is>
          <t>ÖREBRO LÄN</t>
        </is>
      </c>
      <c r="E103" t="inlineStr">
        <is>
          <t>HÄLLEFORS</t>
        </is>
      </c>
      <c r="G103" t="n">
        <v>2.3</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46031</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28564-2024</t>
        </is>
      </c>
      <c r="B105" s="1" t="n">
        <v>45478.38640046296</v>
      </c>
      <c r="C105" s="1" t="n">
        <v>46031</v>
      </c>
      <c r="D105" t="inlineStr">
        <is>
          <t>ÖREBRO LÄN</t>
        </is>
      </c>
      <c r="E105" t="inlineStr">
        <is>
          <t>HÄLLEFORS</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46031</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46031</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39183-2025</t>
        </is>
      </c>
      <c r="B108" s="1" t="n">
        <v>45888.6637962963</v>
      </c>
      <c r="C108" s="1" t="n">
        <v>46031</v>
      </c>
      <c r="D108" t="inlineStr">
        <is>
          <t>ÖREBRO LÄN</t>
        </is>
      </c>
      <c r="E108" t="inlineStr">
        <is>
          <t>HÄLLEFORS</t>
        </is>
      </c>
      <c r="F108" t="inlineStr">
        <is>
          <t>Bergvik skog väst AB</t>
        </is>
      </c>
      <c r="G108" t="n">
        <v>6</v>
      </c>
      <c r="H108" t="n">
        <v>0</v>
      </c>
      <c r="I108" t="n">
        <v>0</v>
      </c>
      <c r="J108" t="n">
        <v>0</v>
      </c>
      <c r="K108" t="n">
        <v>0</v>
      </c>
      <c r="L108" t="n">
        <v>0</v>
      </c>
      <c r="M108" t="n">
        <v>0</v>
      </c>
      <c r="N108" t="n">
        <v>0</v>
      </c>
      <c r="O108" t="n">
        <v>0</v>
      </c>
      <c r="P108" t="n">
        <v>0</v>
      </c>
      <c r="Q108" t="n">
        <v>0</v>
      </c>
      <c r="R108" s="2" t="inlineStr"/>
    </row>
    <row r="109" ht="15" customHeight="1">
      <c r="A109" t="inlineStr">
        <is>
          <t>A 35862-2024</t>
        </is>
      </c>
      <c r="B109" s="1" t="n">
        <v>45533.33909722222</v>
      </c>
      <c r="C109" s="1" t="n">
        <v>46031</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32-2026</t>
        </is>
      </c>
      <c r="B110" s="1" t="n">
        <v>46024.36721064815</v>
      </c>
      <c r="C110" s="1" t="n">
        <v>46031</v>
      </c>
      <c r="D110" t="inlineStr">
        <is>
          <t>ÖREBRO LÄN</t>
        </is>
      </c>
      <c r="E110" t="inlineStr">
        <is>
          <t>HÄLLEFORS</t>
        </is>
      </c>
      <c r="F110" t="inlineStr">
        <is>
          <t>Bergvik skog väst AB</t>
        </is>
      </c>
      <c r="G110" t="n">
        <v>5.1</v>
      </c>
      <c r="H110" t="n">
        <v>0</v>
      </c>
      <c r="I110" t="n">
        <v>0</v>
      </c>
      <c r="J110" t="n">
        <v>0</v>
      </c>
      <c r="K110" t="n">
        <v>0</v>
      </c>
      <c r="L110" t="n">
        <v>0</v>
      </c>
      <c r="M110" t="n">
        <v>0</v>
      </c>
      <c r="N110" t="n">
        <v>0</v>
      </c>
      <c r="O110" t="n">
        <v>0</v>
      </c>
      <c r="P110" t="n">
        <v>0</v>
      </c>
      <c r="Q110" t="n">
        <v>0</v>
      </c>
      <c r="R110" s="2" t="inlineStr"/>
    </row>
    <row r="111" ht="15" customHeight="1">
      <c r="A111" t="inlineStr">
        <is>
          <t>A 29280-2025</t>
        </is>
      </c>
      <c r="B111" s="1" t="n">
        <v>45824</v>
      </c>
      <c r="C111" s="1" t="n">
        <v>46031</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18582-2025</t>
        </is>
      </c>
      <c r="B112" s="1" t="n">
        <v>45763</v>
      </c>
      <c r="C112" s="1" t="n">
        <v>46031</v>
      </c>
      <c r="D112" t="inlineStr">
        <is>
          <t>ÖREBRO LÄN</t>
        </is>
      </c>
      <c r="E112" t="inlineStr">
        <is>
          <t>HÄLLEFORS</t>
        </is>
      </c>
      <c r="F112" t="inlineStr">
        <is>
          <t>Bergvik skog väst AB</t>
        </is>
      </c>
      <c r="G112" t="n">
        <v>4.1</v>
      </c>
      <c r="H112" t="n">
        <v>0</v>
      </c>
      <c r="I112" t="n">
        <v>0</v>
      </c>
      <c r="J112" t="n">
        <v>0</v>
      </c>
      <c r="K112" t="n">
        <v>0</v>
      </c>
      <c r="L112" t="n">
        <v>0</v>
      </c>
      <c r="M112" t="n">
        <v>0</v>
      </c>
      <c r="N112" t="n">
        <v>0</v>
      </c>
      <c r="O112" t="n">
        <v>0</v>
      </c>
      <c r="P112" t="n">
        <v>0</v>
      </c>
      <c r="Q112" t="n">
        <v>0</v>
      </c>
      <c r="R112" s="2" t="inlineStr"/>
    </row>
    <row r="113" ht="15" customHeight="1">
      <c r="A113" t="inlineStr">
        <is>
          <t>A 60306-2024</t>
        </is>
      </c>
      <c r="B113" s="1" t="n">
        <v>45643.34040509259</v>
      </c>
      <c r="C113" s="1" t="n">
        <v>46031</v>
      </c>
      <c r="D113" t="inlineStr">
        <is>
          <t>ÖREBRO LÄN</t>
        </is>
      </c>
      <c r="E113" t="inlineStr">
        <is>
          <t>HÄLLEFORS</t>
        </is>
      </c>
      <c r="F113" t="inlineStr">
        <is>
          <t>Bergvik skog väst AB</t>
        </is>
      </c>
      <c r="G113" t="n">
        <v>4.5</v>
      </c>
      <c r="H113" t="n">
        <v>0</v>
      </c>
      <c r="I113" t="n">
        <v>0</v>
      </c>
      <c r="J113" t="n">
        <v>0</v>
      </c>
      <c r="K113" t="n">
        <v>0</v>
      </c>
      <c r="L113" t="n">
        <v>0</v>
      </c>
      <c r="M113" t="n">
        <v>0</v>
      </c>
      <c r="N113" t="n">
        <v>0</v>
      </c>
      <c r="O113" t="n">
        <v>0</v>
      </c>
      <c r="P113" t="n">
        <v>0</v>
      </c>
      <c r="Q113" t="n">
        <v>0</v>
      </c>
      <c r="R113" s="2" t="inlineStr"/>
    </row>
    <row r="114" ht="15" customHeight="1">
      <c r="A114" t="inlineStr">
        <is>
          <t>A 53892-2023</t>
        </is>
      </c>
      <c r="B114" s="1" t="n">
        <v>45231</v>
      </c>
      <c r="C114" s="1" t="n">
        <v>46031</v>
      </c>
      <c r="D114" t="inlineStr">
        <is>
          <t>ÖREBRO LÄN</t>
        </is>
      </c>
      <c r="E114" t="inlineStr">
        <is>
          <t>HÄLLEFORS</t>
        </is>
      </c>
      <c r="G114" t="n">
        <v>2.3</v>
      </c>
      <c r="H114" t="n">
        <v>0</v>
      </c>
      <c r="I114" t="n">
        <v>0</v>
      </c>
      <c r="J114" t="n">
        <v>0</v>
      </c>
      <c r="K114" t="n">
        <v>0</v>
      </c>
      <c r="L114" t="n">
        <v>0</v>
      </c>
      <c r="M114" t="n">
        <v>0</v>
      </c>
      <c r="N114" t="n">
        <v>0</v>
      </c>
      <c r="O114" t="n">
        <v>0</v>
      </c>
      <c r="P114" t="n">
        <v>0</v>
      </c>
      <c r="Q114" t="n">
        <v>0</v>
      </c>
      <c r="R114" s="2" t="inlineStr"/>
    </row>
    <row r="115" ht="15" customHeight="1">
      <c r="A115" t="inlineStr">
        <is>
          <t>A 5263-2025</t>
        </is>
      </c>
      <c r="B115" s="1" t="n">
        <v>45692.37509259259</v>
      </c>
      <c r="C115" s="1" t="n">
        <v>46031</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46031</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5237-2025</t>
        </is>
      </c>
      <c r="B117" s="1" t="n">
        <v>45692.30760416666</v>
      </c>
      <c r="C117" s="1" t="n">
        <v>46031</v>
      </c>
      <c r="D117" t="inlineStr">
        <is>
          <t>ÖREBRO LÄN</t>
        </is>
      </c>
      <c r="E117" t="inlineStr">
        <is>
          <t>HÄLLEFORS</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18503-2025</t>
        </is>
      </c>
      <c r="B118" s="1" t="n">
        <v>45763.37480324074</v>
      </c>
      <c r="C118" s="1" t="n">
        <v>46031</v>
      </c>
      <c r="D118" t="inlineStr">
        <is>
          <t>ÖREBRO LÄN</t>
        </is>
      </c>
      <c r="E118" t="inlineStr">
        <is>
          <t>HÄLLEFORS</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35861-2024</t>
        </is>
      </c>
      <c r="B119" s="1" t="n">
        <v>45533.33751157407</v>
      </c>
      <c r="C119" s="1" t="n">
        <v>46031</v>
      </c>
      <c r="D119" t="inlineStr">
        <is>
          <t>ÖREBRO LÄN</t>
        </is>
      </c>
      <c r="E119" t="inlineStr">
        <is>
          <t>HÄLLEFORS</t>
        </is>
      </c>
      <c r="F119" t="inlineStr">
        <is>
          <t>Bergvik skog väst AB</t>
        </is>
      </c>
      <c r="G119" t="n">
        <v>25.9</v>
      </c>
      <c r="H119" t="n">
        <v>0</v>
      </c>
      <c r="I119" t="n">
        <v>0</v>
      </c>
      <c r="J119" t="n">
        <v>0</v>
      </c>
      <c r="K119" t="n">
        <v>0</v>
      </c>
      <c r="L119" t="n">
        <v>0</v>
      </c>
      <c r="M119" t="n">
        <v>0</v>
      </c>
      <c r="N119" t="n">
        <v>0</v>
      </c>
      <c r="O119" t="n">
        <v>0</v>
      </c>
      <c r="P119" t="n">
        <v>0</v>
      </c>
      <c r="Q119" t="n">
        <v>0</v>
      </c>
      <c r="R119" s="2" t="inlineStr"/>
    </row>
    <row r="120" ht="15" customHeight="1">
      <c r="A120" t="inlineStr">
        <is>
          <t>A 37027-2022</t>
        </is>
      </c>
      <c r="B120" s="1" t="n">
        <v>44806</v>
      </c>
      <c r="C120" s="1" t="n">
        <v>46031</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5042-2025</t>
        </is>
      </c>
      <c r="B121" s="1" t="n">
        <v>45691.43619212963</v>
      </c>
      <c r="C121" s="1" t="n">
        <v>46031</v>
      </c>
      <c r="D121" t="inlineStr">
        <is>
          <t>ÖREBRO LÄN</t>
        </is>
      </c>
      <c r="E121" t="inlineStr">
        <is>
          <t>HÄLLEFORS</t>
        </is>
      </c>
      <c r="F121" t="inlineStr">
        <is>
          <t>Bergvik skog väst AB</t>
        </is>
      </c>
      <c r="G121" t="n">
        <v>3.3</v>
      </c>
      <c r="H121" t="n">
        <v>0</v>
      </c>
      <c r="I121" t="n">
        <v>0</v>
      </c>
      <c r="J121" t="n">
        <v>0</v>
      </c>
      <c r="K121" t="n">
        <v>0</v>
      </c>
      <c r="L121" t="n">
        <v>0</v>
      </c>
      <c r="M121" t="n">
        <v>0</v>
      </c>
      <c r="N121" t="n">
        <v>0</v>
      </c>
      <c r="O121" t="n">
        <v>0</v>
      </c>
      <c r="P121" t="n">
        <v>0</v>
      </c>
      <c r="Q121" t="n">
        <v>0</v>
      </c>
      <c r="R121" s="2" t="inlineStr"/>
    </row>
    <row r="122" ht="15" customHeight="1">
      <c r="A122" t="inlineStr">
        <is>
          <t>A 58934-2025</t>
        </is>
      </c>
      <c r="B122" s="1" t="n">
        <v>45987.56333333333</v>
      </c>
      <c r="C122" s="1" t="n">
        <v>46031</v>
      </c>
      <c r="D122" t="inlineStr">
        <is>
          <t>ÖREBRO LÄN</t>
        </is>
      </c>
      <c r="E122" t="inlineStr">
        <is>
          <t>HÄLLEFORS</t>
        </is>
      </c>
      <c r="F122" t="inlineStr">
        <is>
          <t>Bergvik skog väst AB</t>
        </is>
      </c>
      <c r="G122" t="n">
        <v>4.8</v>
      </c>
      <c r="H122" t="n">
        <v>0</v>
      </c>
      <c r="I122" t="n">
        <v>0</v>
      </c>
      <c r="J122" t="n">
        <v>0</v>
      </c>
      <c r="K122" t="n">
        <v>0</v>
      </c>
      <c r="L122" t="n">
        <v>0</v>
      </c>
      <c r="M122" t="n">
        <v>0</v>
      </c>
      <c r="N122" t="n">
        <v>0</v>
      </c>
      <c r="O122" t="n">
        <v>0</v>
      </c>
      <c r="P122" t="n">
        <v>0</v>
      </c>
      <c r="Q122" t="n">
        <v>0</v>
      </c>
      <c r="R122" s="2" t="inlineStr"/>
    </row>
    <row r="123" ht="15" customHeight="1">
      <c r="A123" t="inlineStr">
        <is>
          <t>A 58949-2025</t>
        </is>
      </c>
      <c r="B123" s="1" t="n">
        <v>45987.58652777778</v>
      </c>
      <c r="C123" s="1" t="n">
        <v>46031</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39926-2025</t>
        </is>
      </c>
      <c r="B124" s="1" t="n">
        <v>45891.68451388889</v>
      </c>
      <c r="C124" s="1" t="n">
        <v>46031</v>
      </c>
      <c r="D124" t="inlineStr">
        <is>
          <t>ÖREBRO LÄN</t>
        </is>
      </c>
      <c r="E124" t="inlineStr">
        <is>
          <t>HÄLLEFORS</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17098-2025</t>
        </is>
      </c>
      <c r="B125" s="1" t="n">
        <v>45755.65709490741</v>
      </c>
      <c r="C125" s="1" t="n">
        <v>46031</v>
      </c>
      <c r="D125" t="inlineStr">
        <is>
          <t>ÖREBRO LÄN</t>
        </is>
      </c>
      <c r="E125" t="inlineStr">
        <is>
          <t>HÄLLEFORS</t>
        </is>
      </c>
      <c r="F125" t="inlineStr">
        <is>
          <t>Bergvik skog väst AB</t>
        </is>
      </c>
      <c r="G125" t="n">
        <v>1.8</v>
      </c>
      <c r="H125" t="n">
        <v>0</v>
      </c>
      <c r="I125" t="n">
        <v>0</v>
      </c>
      <c r="J125" t="n">
        <v>0</v>
      </c>
      <c r="K125" t="n">
        <v>0</v>
      </c>
      <c r="L125" t="n">
        <v>0</v>
      </c>
      <c r="M125" t="n">
        <v>0</v>
      </c>
      <c r="N125" t="n">
        <v>0</v>
      </c>
      <c r="O125" t="n">
        <v>0</v>
      </c>
      <c r="P125" t="n">
        <v>0</v>
      </c>
      <c r="Q125" t="n">
        <v>0</v>
      </c>
      <c r="R125" s="2" t="inlineStr"/>
    </row>
    <row r="126" ht="15" customHeight="1">
      <c r="A126" t="inlineStr">
        <is>
          <t>A 44107-2024</t>
        </is>
      </c>
      <c r="B126" s="1" t="n">
        <v>45572.63357638889</v>
      </c>
      <c r="C126" s="1" t="n">
        <v>46031</v>
      </c>
      <c r="D126" t="inlineStr">
        <is>
          <t>ÖREBRO LÄN</t>
        </is>
      </c>
      <c r="E126" t="inlineStr">
        <is>
          <t>HÄLLEFORS</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54995-2024</t>
        </is>
      </c>
      <c r="B127" s="1" t="n">
        <v>45621.28127314815</v>
      </c>
      <c r="C127" s="1" t="n">
        <v>46031</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7066-2024</t>
        </is>
      </c>
      <c r="B128" s="1" t="n">
        <v>45343</v>
      </c>
      <c r="C128" s="1" t="n">
        <v>46031</v>
      </c>
      <c r="D128" t="inlineStr">
        <is>
          <t>ÖREBRO LÄN</t>
        </is>
      </c>
      <c r="E128" t="inlineStr">
        <is>
          <t>HÄLLEFORS</t>
        </is>
      </c>
      <c r="G128" t="n">
        <v>1.2</v>
      </c>
      <c r="H128" t="n">
        <v>0</v>
      </c>
      <c r="I128" t="n">
        <v>0</v>
      </c>
      <c r="J128" t="n">
        <v>0</v>
      </c>
      <c r="K128" t="n">
        <v>0</v>
      </c>
      <c r="L128" t="n">
        <v>0</v>
      </c>
      <c r="M128" t="n">
        <v>0</v>
      </c>
      <c r="N128" t="n">
        <v>0</v>
      </c>
      <c r="O128" t="n">
        <v>0</v>
      </c>
      <c r="P128" t="n">
        <v>0</v>
      </c>
      <c r="Q128" t="n">
        <v>0</v>
      </c>
      <c r="R128" s="2" t="inlineStr"/>
    </row>
    <row r="129" ht="15" customHeight="1">
      <c r="A129" t="inlineStr">
        <is>
          <t>A 40485-2025</t>
        </is>
      </c>
      <c r="B129" s="1" t="n">
        <v>45895.85320601852</v>
      </c>
      <c r="C129" s="1" t="n">
        <v>46031</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44122-2024</t>
        </is>
      </c>
      <c r="B130" s="1" t="n">
        <v>45572.6396875</v>
      </c>
      <c r="C130" s="1" t="n">
        <v>46031</v>
      </c>
      <c r="D130" t="inlineStr">
        <is>
          <t>ÖREBRO LÄN</t>
        </is>
      </c>
      <c r="E130" t="inlineStr">
        <is>
          <t>HÄLLEFORS</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16927-2025</t>
        </is>
      </c>
      <c r="B131" s="1" t="n">
        <v>45755.39212962963</v>
      </c>
      <c r="C131" s="1" t="n">
        <v>46031</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58940-2025</t>
        </is>
      </c>
      <c r="B132" s="1" t="n">
        <v>45987.57128472222</v>
      </c>
      <c r="C132" s="1" t="n">
        <v>46031</v>
      </c>
      <c r="D132" t="inlineStr">
        <is>
          <t>ÖREBRO LÄN</t>
        </is>
      </c>
      <c r="E132" t="inlineStr">
        <is>
          <t>HÄLLEFORS</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58930-2025</t>
        </is>
      </c>
      <c r="B133" s="1" t="n">
        <v>45987.55640046296</v>
      </c>
      <c r="C133" s="1" t="n">
        <v>46031</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58941-2025</t>
        </is>
      </c>
      <c r="B134" s="1" t="n">
        <v>45987.57491898148</v>
      </c>
      <c r="C134" s="1" t="n">
        <v>46031</v>
      </c>
      <c r="D134" t="inlineStr">
        <is>
          <t>ÖREBRO LÄN</t>
        </is>
      </c>
      <c r="E134" t="inlineStr">
        <is>
          <t>HÄLLEFORS</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58942-2025</t>
        </is>
      </c>
      <c r="B135" s="1" t="n">
        <v>45987.57672453704</v>
      </c>
      <c r="C135" s="1" t="n">
        <v>46031</v>
      </c>
      <c r="D135" t="inlineStr">
        <is>
          <t>ÖREBRO LÄN</t>
        </is>
      </c>
      <c r="E135" t="inlineStr">
        <is>
          <t>HÄLLEFORS</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58947-2025</t>
        </is>
      </c>
      <c r="B136" s="1" t="n">
        <v>45987.58177083333</v>
      </c>
      <c r="C136" s="1" t="n">
        <v>46031</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46031</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41089-2022</t>
        </is>
      </c>
      <c r="B138" s="1" t="n">
        <v>44825.64613425926</v>
      </c>
      <c r="C138" s="1" t="n">
        <v>46031</v>
      </c>
      <c r="D138" t="inlineStr">
        <is>
          <t>ÖREBRO LÄN</t>
        </is>
      </c>
      <c r="E138" t="inlineStr">
        <is>
          <t>HÄLLEFORS</t>
        </is>
      </c>
      <c r="F138" t="inlineStr">
        <is>
          <t>Sveaskog</t>
        </is>
      </c>
      <c r="G138" t="n">
        <v>3.6</v>
      </c>
      <c r="H138" t="n">
        <v>0</v>
      </c>
      <c r="I138" t="n">
        <v>0</v>
      </c>
      <c r="J138" t="n">
        <v>0</v>
      </c>
      <c r="K138" t="n">
        <v>0</v>
      </c>
      <c r="L138" t="n">
        <v>0</v>
      </c>
      <c r="M138" t="n">
        <v>0</v>
      </c>
      <c r="N138" t="n">
        <v>0</v>
      </c>
      <c r="O138" t="n">
        <v>0</v>
      </c>
      <c r="P138" t="n">
        <v>0</v>
      </c>
      <c r="Q138" t="n">
        <v>0</v>
      </c>
      <c r="R138" s="2" t="inlineStr"/>
    </row>
    <row r="139" ht="15" customHeight="1">
      <c r="A139" t="inlineStr">
        <is>
          <t>A 41152-2025</t>
        </is>
      </c>
      <c r="B139" s="1" t="n">
        <v>45898.5128587963</v>
      </c>
      <c r="C139" s="1" t="n">
        <v>46031</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58938-2025</t>
        </is>
      </c>
      <c r="B140" s="1" t="n">
        <v>45987.56550925926</v>
      </c>
      <c r="C140" s="1" t="n">
        <v>46031</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12648-2025</t>
        </is>
      </c>
      <c r="B141" s="1" t="n">
        <v>45733.39797453704</v>
      </c>
      <c r="C141" s="1" t="n">
        <v>46031</v>
      </c>
      <c r="D141" t="inlineStr">
        <is>
          <t>ÖREBRO LÄN</t>
        </is>
      </c>
      <c r="E141" t="inlineStr">
        <is>
          <t>HÄLLEFORS</t>
        </is>
      </c>
      <c r="F141" t="inlineStr">
        <is>
          <t>Bergvik skog väst AB</t>
        </is>
      </c>
      <c r="G141" t="n">
        <v>5</v>
      </c>
      <c r="H141" t="n">
        <v>0</v>
      </c>
      <c r="I141" t="n">
        <v>0</v>
      </c>
      <c r="J141" t="n">
        <v>0</v>
      </c>
      <c r="K141" t="n">
        <v>0</v>
      </c>
      <c r="L141" t="n">
        <v>0</v>
      </c>
      <c r="M141" t="n">
        <v>0</v>
      </c>
      <c r="N141" t="n">
        <v>0</v>
      </c>
      <c r="O141" t="n">
        <v>0</v>
      </c>
      <c r="P141" t="n">
        <v>0</v>
      </c>
      <c r="Q141" t="n">
        <v>0</v>
      </c>
      <c r="R141" s="2" t="inlineStr"/>
    </row>
    <row r="142" ht="15" customHeight="1">
      <c r="A142" t="inlineStr">
        <is>
          <t>A 5657-2024</t>
        </is>
      </c>
      <c r="B142" s="1" t="n">
        <v>45334</v>
      </c>
      <c r="C142" s="1" t="n">
        <v>46031</v>
      </c>
      <c r="D142" t="inlineStr">
        <is>
          <t>ÖREBRO LÄN</t>
        </is>
      </c>
      <c r="E142" t="inlineStr">
        <is>
          <t>HÄLLEFORS</t>
        </is>
      </c>
      <c r="G142" t="n">
        <v>0.3</v>
      </c>
      <c r="H142" t="n">
        <v>0</v>
      </c>
      <c r="I142" t="n">
        <v>0</v>
      </c>
      <c r="J142" t="n">
        <v>0</v>
      </c>
      <c r="K142" t="n">
        <v>0</v>
      </c>
      <c r="L142" t="n">
        <v>0</v>
      </c>
      <c r="M142" t="n">
        <v>0</v>
      </c>
      <c r="N142" t="n">
        <v>0</v>
      </c>
      <c r="O142" t="n">
        <v>0</v>
      </c>
      <c r="P142" t="n">
        <v>0</v>
      </c>
      <c r="Q142" t="n">
        <v>0</v>
      </c>
      <c r="R142" s="2" t="inlineStr"/>
    </row>
    <row r="143" ht="15" customHeight="1">
      <c r="A143" t="inlineStr">
        <is>
          <t>A 62265-2022</t>
        </is>
      </c>
      <c r="B143" s="1" t="n">
        <v>44923</v>
      </c>
      <c r="C143" s="1" t="n">
        <v>46031</v>
      </c>
      <c r="D143" t="inlineStr">
        <is>
          <t>ÖREBRO LÄN</t>
        </is>
      </c>
      <c r="E143" t="inlineStr">
        <is>
          <t>HÄLLEFORS</t>
        </is>
      </c>
      <c r="G143" t="n">
        <v>0.6</v>
      </c>
      <c r="H143" t="n">
        <v>0</v>
      </c>
      <c r="I143" t="n">
        <v>0</v>
      </c>
      <c r="J143" t="n">
        <v>0</v>
      </c>
      <c r="K143" t="n">
        <v>0</v>
      </c>
      <c r="L143" t="n">
        <v>0</v>
      </c>
      <c r="M143" t="n">
        <v>0</v>
      </c>
      <c r="N143" t="n">
        <v>0</v>
      </c>
      <c r="O143" t="n">
        <v>0</v>
      </c>
      <c r="P143" t="n">
        <v>0</v>
      </c>
      <c r="Q143" t="n">
        <v>0</v>
      </c>
      <c r="R143" s="2" t="inlineStr"/>
    </row>
    <row r="144" ht="15" customHeight="1">
      <c r="A144" t="inlineStr">
        <is>
          <t>A 29027-2024</t>
        </is>
      </c>
      <c r="B144" s="1" t="n">
        <v>45481.58833333333</v>
      </c>
      <c r="C144" s="1" t="n">
        <v>46031</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46031</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41810-2023</t>
        </is>
      </c>
      <c r="B146" s="1" t="n">
        <v>45176</v>
      </c>
      <c r="C146" s="1" t="n">
        <v>46031</v>
      </c>
      <c r="D146" t="inlineStr">
        <is>
          <t>ÖREBRO LÄN</t>
        </is>
      </c>
      <c r="E146" t="inlineStr">
        <is>
          <t>HÄLLEFORS</t>
        </is>
      </c>
      <c r="F146" t="inlineStr">
        <is>
          <t>Bergvik skog väst AB</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62501-2022</t>
        </is>
      </c>
      <c r="B147" s="1" t="n">
        <v>44924.593125</v>
      </c>
      <c r="C147" s="1" t="n">
        <v>46031</v>
      </c>
      <c r="D147" t="inlineStr">
        <is>
          <t>ÖREBRO LÄN</t>
        </is>
      </c>
      <c r="E147" t="inlineStr">
        <is>
          <t>HÄLLEFORS</t>
        </is>
      </c>
      <c r="G147" t="n">
        <v>3</v>
      </c>
      <c r="H147" t="n">
        <v>0</v>
      </c>
      <c r="I147" t="n">
        <v>0</v>
      </c>
      <c r="J147" t="n">
        <v>0</v>
      </c>
      <c r="K147" t="n">
        <v>0</v>
      </c>
      <c r="L147" t="n">
        <v>0</v>
      </c>
      <c r="M147" t="n">
        <v>0</v>
      </c>
      <c r="N147" t="n">
        <v>0</v>
      </c>
      <c r="O147" t="n">
        <v>0</v>
      </c>
      <c r="P147" t="n">
        <v>0</v>
      </c>
      <c r="Q147" t="n">
        <v>0</v>
      </c>
      <c r="R147" s="2" t="inlineStr"/>
    </row>
    <row r="148" ht="15" customHeight="1">
      <c r="A148" t="inlineStr">
        <is>
          <t>A 3057-2024</t>
        </is>
      </c>
      <c r="B148" s="1" t="n">
        <v>45316</v>
      </c>
      <c r="C148" s="1" t="n">
        <v>46031</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65054-2021</t>
        </is>
      </c>
      <c r="B149" s="1" t="n">
        <v>44515.35802083334</v>
      </c>
      <c r="C149" s="1" t="n">
        <v>46031</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39031-2022</t>
        </is>
      </c>
      <c r="B150" s="1" t="n">
        <v>44817.34144675926</v>
      </c>
      <c r="C150" s="1" t="n">
        <v>46031</v>
      </c>
      <c r="D150" t="inlineStr">
        <is>
          <t>ÖREBRO LÄN</t>
        </is>
      </c>
      <c r="E150" t="inlineStr">
        <is>
          <t>HÄLLEFORS</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44400-2025</t>
        </is>
      </c>
      <c r="B151" s="1" t="n">
        <v>45916.5037037037</v>
      </c>
      <c r="C151" s="1" t="n">
        <v>46031</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42918-2024</t>
        </is>
      </c>
      <c r="B152" s="1" t="n">
        <v>45567.27908564815</v>
      </c>
      <c r="C152" s="1" t="n">
        <v>46031</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13757-2023</t>
        </is>
      </c>
      <c r="B153" s="1" t="n">
        <v>45007.42442129629</v>
      </c>
      <c r="C153" s="1" t="n">
        <v>46031</v>
      </c>
      <c r="D153" t="inlineStr">
        <is>
          <t>ÖREBRO LÄN</t>
        </is>
      </c>
      <c r="E153" t="inlineStr">
        <is>
          <t>HÄLLEFORS</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5583-2023</t>
        </is>
      </c>
      <c r="B154" s="1" t="n">
        <v>44960.50733796296</v>
      </c>
      <c r="C154" s="1" t="n">
        <v>46031</v>
      </c>
      <c r="D154" t="inlineStr">
        <is>
          <t>ÖREBRO LÄN</t>
        </is>
      </c>
      <c r="E154" t="inlineStr">
        <is>
          <t>HÄLLEFORS</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16928-2025</t>
        </is>
      </c>
      <c r="B155" s="1" t="n">
        <v>45755.39711805555</v>
      </c>
      <c r="C155" s="1" t="n">
        <v>46031</v>
      </c>
      <c r="D155" t="inlineStr">
        <is>
          <t>ÖREBRO LÄN</t>
        </is>
      </c>
      <c r="E155" t="inlineStr">
        <is>
          <t>HÄLLEFORS</t>
        </is>
      </c>
      <c r="F155" t="inlineStr">
        <is>
          <t>Bergvik skog väst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4583-2025</t>
        </is>
      </c>
      <c r="B156" s="1" t="n">
        <v>45687.51539351852</v>
      </c>
      <c r="C156" s="1" t="n">
        <v>46031</v>
      </c>
      <c r="D156" t="inlineStr">
        <is>
          <t>ÖREBRO LÄN</t>
        </is>
      </c>
      <c r="E156" t="inlineStr">
        <is>
          <t>HÄLLEFORS</t>
        </is>
      </c>
      <c r="G156" t="n">
        <v>3.3</v>
      </c>
      <c r="H156" t="n">
        <v>0</v>
      </c>
      <c r="I156" t="n">
        <v>0</v>
      </c>
      <c r="J156" t="n">
        <v>0</v>
      </c>
      <c r="K156" t="n">
        <v>0</v>
      </c>
      <c r="L156" t="n">
        <v>0</v>
      </c>
      <c r="M156" t="n">
        <v>0</v>
      </c>
      <c r="N156" t="n">
        <v>0</v>
      </c>
      <c r="O156" t="n">
        <v>0</v>
      </c>
      <c r="P156" t="n">
        <v>0</v>
      </c>
      <c r="Q156" t="n">
        <v>0</v>
      </c>
      <c r="R156" s="2" t="inlineStr"/>
    </row>
    <row r="157" ht="15" customHeight="1">
      <c r="A157" t="inlineStr">
        <is>
          <t>A 16053-2023</t>
        </is>
      </c>
      <c r="B157" s="1" t="n">
        <v>45027</v>
      </c>
      <c r="C157" s="1" t="n">
        <v>46031</v>
      </c>
      <c r="D157" t="inlineStr">
        <is>
          <t>ÖREBRO LÄN</t>
        </is>
      </c>
      <c r="E157" t="inlineStr">
        <is>
          <t>HÄLLEFORS</t>
        </is>
      </c>
      <c r="F157" t="inlineStr">
        <is>
          <t>Bergvik skog väst AB</t>
        </is>
      </c>
      <c r="G157" t="n">
        <v>14.7</v>
      </c>
      <c r="H157" t="n">
        <v>0</v>
      </c>
      <c r="I157" t="n">
        <v>0</v>
      </c>
      <c r="J157" t="n">
        <v>0</v>
      </c>
      <c r="K157" t="n">
        <v>0</v>
      </c>
      <c r="L157" t="n">
        <v>0</v>
      </c>
      <c r="M157" t="n">
        <v>0</v>
      </c>
      <c r="N157" t="n">
        <v>0</v>
      </c>
      <c r="O157" t="n">
        <v>0</v>
      </c>
      <c r="P157" t="n">
        <v>0</v>
      </c>
      <c r="Q157" t="n">
        <v>0</v>
      </c>
      <c r="R157" s="2" t="inlineStr"/>
    </row>
    <row r="158" ht="15" customHeight="1">
      <c r="A158" t="inlineStr">
        <is>
          <t>A 43966-2024</t>
        </is>
      </c>
      <c r="B158" s="1" t="n">
        <v>45572.48516203704</v>
      </c>
      <c r="C158" s="1" t="n">
        <v>46031</v>
      </c>
      <c r="D158" t="inlineStr">
        <is>
          <t>ÖREBRO LÄN</t>
        </is>
      </c>
      <c r="E158" t="inlineStr">
        <is>
          <t>HÄLLEFORS</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45916-2025</t>
        </is>
      </c>
      <c r="B159" s="1" t="n">
        <v>45923.83761574074</v>
      </c>
      <c r="C159" s="1" t="n">
        <v>46031</v>
      </c>
      <c r="D159" t="inlineStr">
        <is>
          <t>ÖREBRO LÄN</t>
        </is>
      </c>
      <c r="E159" t="inlineStr">
        <is>
          <t>HÄLLEFORS</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52367-2022</t>
        </is>
      </c>
      <c r="B160" s="1" t="n">
        <v>44874</v>
      </c>
      <c r="C160" s="1" t="n">
        <v>46031</v>
      </c>
      <c r="D160" t="inlineStr">
        <is>
          <t>ÖREBRO LÄN</t>
        </is>
      </c>
      <c r="E160" t="inlineStr">
        <is>
          <t>HÄLLEFORS</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46667-2025</t>
        </is>
      </c>
      <c r="B161" s="1" t="n">
        <v>45926.52738425926</v>
      </c>
      <c r="C161" s="1" t="n">
        <v>46031</v>
      </c>
      <c r="D161" t="inlineStr">
        <is>
          <t>ÖREBRO LÄN</t>
        </is>
      </c>
      <c r="E161" t="inlineStr">
        <is>
          <t>HÄLLEFORS</t>
        </is>
      </c>
      <c r="G161" t="n">
        <v>3.9</v>
      </c>
      <c r="H161" t="n">
        <v>0</v>
      </c>
      <c r="I161" t="n">
        <v>0</v>
      </c>
      <c r="J161" t="n">
        <v>0</v>
      </c>
      <c r="K161" t="n">
        <v>0</v>
      </c>
      <c r="L161" t="n">
        <v>0</v>
      </c>
      <c r="M161" t="n">
        <v>0</v>
      </c>
      <c r="N161" t="n">
        <v>0</v>
      </c>
      <c r="O161" t="n">
        <v>0</v>
      </c>
      <c r="P161" t="n">
        <v>0</v>
      </c>
      <c r="Q161" t="n">
        <v>0</v>
      </c>
      <c r="R161" s="2" t="inlineStr"/>
    </row>
    <row r="162" ht="15" customHeight="1">
      <c r="A162" t="inlineStr">
        <is>
          <t>A 35191-2023</t>
        </is>
      </c>
      <c r="B162" s="1" t="n">
        <v>45145.61096064815</v>
      </c>
      <c r="C162" s="1" t="n">
        <v>46031</v>
      </c>
      <c r="D162" t="inlineStr">
        <is>
          <t>ÖREBRO LÄN</t>
        </is>
      </c>
      <c r="E162" t="inlineStr">
        <is>
          <t>HÄLLEFORS</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28024-2025</t>
        </is>
      </c>
      <c r="B163" s="1" t="n">
        <v>45817.62070601852</v>
      </c>
      <c r="C163" s="1" t="n">
        <v>46031</v>
      </c>
      <c r="D163" t="inlineStr">
        <is>
          <t>ÖREBRO LÄN</t>
        </is>
      </c>
      <c r="E163" t="inlineStr">
        <is>
          <t>HÄLLEFORS</t>
        </is>
      </c>
      <c r="G163" t="n">
        <v>1.7</v>
      </c>
      <c r="H163" t="n">
        <v>0</v>
      </c>
      <c r="I163" t="n">
        <v>0</v>
      </c>
      <c r="J163" t="n">
        <v>0</v>
      </c>
      <c r="K163" t="n">
        <v>0</v>
      </c>
      <c r="L163" t="n">
        <v>0</v>
      </c>
      <c r="M163" t="n">
        <v>0</v>
      </c>
      <c r="N163" t="n">
        <v>0</v>
      </c>
      <c r="O163" t="n">
        <v>0</v>
      </c>
      <c r="P163" t="n">
        <v>0</v>
      </c>
      <c r="Q163" t="n">
        <v>0</v>
      </c>
      <c r="R163" s="2" t="inlineStr"/>
    </row>
    <row r="164" ht="15" customHeight="1">
      <c r="A164" t="inlineStr">
        <is>
          <t>A 15013-2024</t>
        </is>
      </c>
      <c r="B164" s="1" t="n">
        <v>45399</v>
      </c>
      <c r="C164" s="1" t="n">
        <v>46031</v>
      </c>
      <c r="D164" t="inlineStr">
        <is>
          <t>ÖREBRO LÄN</t>
        </is>
      </c>
      <c r="E164" t="inlineStr">
        <is>
          <t>HÄLLEFORS</t>
        </is>
      </c>
      <c r="F164" t="inlineStr">
        <is>
          <t>Bergvik skog väst AB</t>
        </is>
      </c>
      <c r="G164" t="n">
        <v>0.5</v>
      </c>
      <c r="H164" t="n">
        <v>0</v>
      </c>
      <c r="I164" t="n">
        <v>0</v>
      </c>
      <c r="J164" t="n">
        <v>0</v>
      </c>
      <c r="K164" t="n">
        <v>0</v>
      </c>
      <c r="L164" t="n">
        <v>0</v>
      </c>
      <c r="M164" t="n">
        <v>0</v>
      </c>
      <c r="N164" t="n">
        <v>0</v>
      </c>
      <c r="O164" t="n">
        <v>0</v>
      </c>
      <c r="P164" t="n">
        <v>0</v>
      </c>
      <c r="Q164" t="n">
        <v>0</v>
      </c>
      <c r="R164" s="2" t="inlineStr"/>
    </row>
    <row r="165" ht="15" customHeight="1">
      <c r="A165" t="inlineStr">
        <is>
          <t>A 44693-2025</t>
        </is>
      </c>
      <c r="B165" s="1" t="n">
        <v>45917</v>
      </c>
      <c r="C165" s="1" t="n">
        <v>46031</v>
      </c>
      <c r="D165" t="inlineStr">
        <is>
          <t>ÖREBRO LÄN</t>
        </is>
      </c>
      <c r="E165" t="inlineStr">
        <is>
          <t>HÄLLEFORS</t>
        </is>
      </c>
      <c r="G165" t="n">
        <v>10.3</v>
      </c>
      <c r="H165" t="n">
        <v>0</v>
      </c>
      <c r="I165" t="n">
        <v>0</v>
      </c>
      <c r="J165" t="n">
        <v>0</v>
      </c>
      <c r="K165" t="n">
        <v>0</v>
      </c>
      <c r="L165" t="n">
        <v>0</v>
      </c>
      <c r="M165" t="n">
        <v>0</v>
      </c>
      <c r="N165" t="n">
        <v>0</v>
      </c>
      <c r="O165" t="n">
        <v>0</v>
      </c>
      <c r="P165" t="n">
        <v>0</v>
      </c>
      <c r="Q165" t="n">
        <v>0</v>
      </c>
      <c r="R165" s="2" t="inlineStr"/>
    </row>
    <row r="166" ht="15" customHeight="1">
      <c r="A166" t="inlineStr">
        <is>
          <t>A 11459-2024</t>
        </is>
      </c>
      <c r="B166" s="1" t="n">
        <v>45372.58425925926</v>
      </c>
      <c r="C166" s="1" t="n">
        <v>46031</v>
      </c>
      <c r="D166" t="inlineStr">
        <is>
          <t>ÖREBRO LÄN</t>
        </is>
      </c>
      <c r="E166" t="inlineStr">
        <is>
          <t>HÄLLEFORS</t>
        </is>
      </c>
      <c r="G166" t="n">
        <v>2.2</v>
      </c>
      <c r="H166" t="n">
        <v>0</v>
      </c>
      <c r="I166" t="n">
        <v>0</v>
      </c>
      <c r="J166" t="n">
        <v>0</v>
      </c>
      <c r="K166" t="n">
        <v>0</v>
      </c>
      <c r="L166" t="n">
        <v>0</v>
      </c>
      <c r="M166" t="n">
        <v>0</v>
      </c>
      <c r="N166" t="n">
        <v>0</v>
      </c>
      <c r="O166" t="n">
        <v>0</v>
      </c>
      <c r="P166" t="n">
        <v>0</v>
      </c>
      <c r="Q166" t="n">
        <v>0</v>
      </c>
      <c r="R166" s="2" t="inlineStr"/>
    </row>
    <row r="167" ht="15" customHeight="1">
      <c r="A167" t="inlineStr">
        <is>
          <t>A 47847-2025</t>
        </is>
      </c>
      <c r="B167" s="1" t="n">
        <v>45932.38244212963</v>
      </c>
      <c r="C167" s="1" t="n">
        <v>46031</v>
      </c>
      <c r="D167" t="inlineStr">
        <is>
          <t>ÖREBRO LÄN</t>
        </is>
      </c>
      <c r="E167" t="inlineStr">
        <is>
          <t>HÄLLEFORS</t>
        </is>
      </c>
      <c r="F167" t="inlineStr">
        <is>
          <t>Bergvik skog väst AB</t>
        </is>
      </c>
      <c r="G167" t="n">
        <v>11.5</v>
      </c>
      <c r="H167" t="n">
        <v>0</v>
      </c>
      <c r="I167" t="n">
        <v>0</v>
      </c>
      <c r="J167" t="n">
        <v>0</v>
      </c>
      <c r="K167" t="n">
        <v>0</v>
      </c>
      <c r="L167" t="n">
        <v>0</v>
      </c>
      <c r="M167" t="n">
        <v>0</v>
      </c>
      <c r="N167" t="n">
        <v>0</v>
      </c>
      <c r="O167" t="n">
        <v>0</v>
      </c>
      <c r="P167" t="n">
        <v>0</v>
      </c>
      <c r="Q167" t="n">
        <v>0</v>
      </c>
      <c r="R167" s="2" t="inlineStr"/>
    </row>
    <row r="168" ht="15" customHeight="1">
      <c r="A168" t="inlineStr">
        <is>
          <t>A 47862-2025</t>
        </is>
      </c>
      <c r="B168" s="1" t="n">
        <v>45932.42637731481</v>
      </c>
      <c r="C168" s="1" t="n">
        <v>46031</v>
      </c>
      <c r="D168" t="inlineStr">
        <is>
          <t>ÖREBRO LÄN</t>
        </is>
      </c>
      <c r="E168" t="inlineStr">
        <is>
          <t>HÄLLEFORS</t>
        </is>
      </c>
      <c r="F168" t="inlineStr">
        <is>
          <t>Bergvik skog väst AB</t>
        </is>
      </c>
      <c r="G168" t="n">
        <v>6.3</v>
      </c>
      <c r="H168" t="n">
        <v>0</v>
      </c>
      <c r="I168" t="n">
        <v>0</v>
      </c>
      <c r="J168" t="n">
        <v>0</v>
      </c>
      <c r="K168" t="n">
        <v>0</v>
      </c>
      <c r="L168" t="n">
        <v>0</v>
      </c>
      <c r="M168" t="n">
        <v>0</v>
      </c>
      <c r="N168" t="n">
        <v>0</v>
      </c>
      <c r="O168" t="n">
        <v>0</v>
      </c>
      <c r="P168" t="n">
        <v>0</v>
      </c>
      <c r="Q168" t="n">
        <v>0</v>
      </c>
      <c r="R168" s="2" t="inlineStr"/>
    </row>
    <row r="169" ht="15" customHeight="1">
      <c r="A169" t="inlineStr">
        <is>
          <t>A 59557-2022</t>
        </is>
      </c>
      <c r="B169" s="1" t="n">
        <v>44907.59805555556</v>
      </c>
      <c r="C169" s="1" t="n">
        <v>46031</v>
      </c>
      <c r="D169" t="inlineStr">
        <is>
          <t>ÖREBRO LÄN</t>
        </is>
      </c>
      <c r="E169" t="inlineStr">
        <is>
          <t>HÄLLEFORS</t>
        </is>
      </c>
      <c r="F169" t="inlineStr">
        <is>
          <t>Bergvik skog väst AB</t>
        </is>
      </c>
      <c r="G169" t="n">
        <v>11.2</v>
      </c>
      <c r="H169" t="n">
        <v>0</v>
      </c>
      <c r="I169" t="n">
        <v>0</v>
      </c>
      <c r="J169" t="n">
        <v>0</v>
      </c>
      <c r="K169" t="n">
        <v>0</v>
      </c>
      <c r="L169" t="n">
        <v>0</v>
      </c>
      <c r="M169" t="n">
        <v>0</v>
      </c>
      <c r="N169" t="n">
        <v>0</v>
      </c>
      <c r="O169" t="n">
        <v>0</v>
      </c>
      <c r="P169" t="n">
        <v>0</v>
      </c>
      <c r="Q169" t="n">
        <v>0</v>
      </c>
      <c r="R169" s="2" t="inlineStr"/>
    </row>
    <row r="170" ht="15" customHeight="1">
      <c r="A170" t="inlineStr">
        <is>
          <t>A 67439-2021</t>
        </is>
      </c>
      <c r="B170" s="1" t="n">
        <v>44523</v>
      </c>
      <c r="C170" s="1" t="n">
        <v>46031</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47852-2025</t>
        </is>
      </c>
      <c r="B171" s="1" t="n">
        <v>45932.38914351852</v>
      </c>
      <c r="C171" s="1" t="n">
        <v>46031</v>
      </c>
      <c r="D171" t="inlineStr">
        <is>
          <t>ÖREBRO LÄN</t>
        </is>
      </c>
      <c r="E171" t="inlineStr">
        <is>
          <t>HÄLLEFORS</t>
        </is>
      </c>
      <c r="F171" t="inlineStr">
        <is>
          <t>Bergvik skog väst AB</t>
        </is>
      </c>
      <c r="G171" t="n">
        <v>12.9</v>
      </c>
      <c r="H171" t="n">
        <v>0</v>
      </c>
      <c r="I171" t="n">
        <v>0</v>
      </c>
      <c r="J171" t="n">
        <v>0</v>
      </c>
      <c r="K171" t="n">
        <v>0</v>
      </c>
      <c r="L171" t="n">
        <v>0</v>
      </c>
      <c r="M171" t="n">
        <v>0</v>
      </c>
      <c r="N171" t="n">
        <v>0</v>
      </c>
      <c r="O171" t="n">
        <v>0</v>
      </c>
      <c r="P171" t="n">
        <v>0</v>
      </c>
      <c r="Q171" t="n">
        <v>0</v>
      </c>
      <c r="R171" s="2" t="inlineStr"/>
    </row>
    <row r="172" ht="15" customHeight="1">
      <c r="A172" t="inlineStr">
        <is>
          <t>A 47854-2025</t>
        </is>
      </c>
      <c r="B172" s="1" t="n">
        <v>45932.39532407407</v>
      </c>
      <c r="C172" s="1" t="n">
        <v>46031</v>
      </c>
      <c r="D172" t="inlineStr">
        <is>
          <t>ÖREBRO LÄN</t>
        </is>
      </c>
      <c r="E172" t="inlineStr">
        <is>
          <t>HÄLLEFORS</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47856-2025</t>
        </is>
      </c>
      <c r="B173" s="1" t="n">
        <v>45932.40252314815</v>
      </c>
      <c r="C173" s="1" t="n">
        <v>46031</v>
      </c>
      <c r="D173" t="inlineStr">
        <is>
          <t>ÖREBRO LÄN</t>
        </is>
      </c>
      <c r="E173" t="inlineStr">
        <is>
          <t>HÄLLEFORS</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39171-2024</t>
        </is>
      </c>
      <c r="B174" s="1" t="n">
        <v>45548</v>
      </c>
      <c r="C174" s="1" t="n">
        <v>46031</v>
      </c>
      <c r="D174" t="inlineStr">
        <is>
          <t>ÖREBRO LÄN</t>
        </is>
      </c>
      <c r="E174" t="inlineStr">
        <is>
          <t>HÄLLEFORS</t>
        </is>
      </c>
      <c r="G174" t="n">
        <v>3.8</v>
      </c>
      <c r="H174" t="n">
        <v>0</v>
      </c>
      <c r="I174" t="n">
        <v>0</v>
      </c>
      <c r="J174" t="n">
        <v>0</v>
      </c>
      <c r="K174" t="n">
        <v>0</v>
      </c>
      <c r="L174" t="n">
        <v>0</v>
      </c>
      <c r="M174" t="n">
        <v>0</v>
      </c>
      <c r="N174" t="n">
        <v>0</v>
      </c>
      <c r="O174" t="n">
        <v>0</v>
      </c>
      <c r="P174" t="n">
        <v>0</v>
      </c>
      <c r="Q174" t="n">
        <v>0</v>
      </c>
      <c r="R174" s="2" t="inlineStr"/>
    </row>
    <row r="175" ht="15" customHeight="1">
      <c r="A175" t="inlineStr">
        <is>
          <t>A 48961-2025</t>
        </is>
      </c>
      <c r="B175" s="1" t="n">
        <v>45936</v>
      </c>
      <c r="C175" s="1" t="n">
        <v>46031</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28979-2025</t>
        </is>
      </c>
      <c r="B176" s="1" t="n">
        <v>45821.35136574074</v>
      </c>
      <c r="C176" s="1" t="n">
        <v>46031</v>
      </c>
      <c r="D176" t="inlineStr">
        <is>
          <t>ÖREBRO LÄN</t>
        </is>
      </c>
      <c r="E176" t="inlineStr">
        <is>
          <t>HÄLLEFORS</t>
        </is>
      </c>
      <c r="G176" t="n">
        <v>2.9</v>
      </c>
      <c r="H176" t="n">
        <v>0</v>
      </c>
      <c r="I176" t="n">
        <v>0</v>
      </c>
      <c r="J176" t="n">
        <v>0</v>
      </c>
      <c r="K176" t="n">
        <v>0</v>
      </c>
      <c r="L176" t="n">
        <v>0</v>
      </c>
      <c r="M176" t="n">
        <v>0</v>
      </c>
      <c r="N176" t="n">
        <v>0</v>
      </c>
      <c r="O176" t="n">
        <v>0</v>
      </c>
      <c r="P176" t="n">
        <v>0</v>
      </c>
      <c r="Q176" t="n">
        <v>0</v>
      </c>
      <c r="R176" s="2" t="inlineStr"/>
    </row>
    <row r="177" ht="15" customHeight="1">
      <c r="A177" t="inlineStr">
        <is>
          <t>A 28975-2025</t>
        </is>
      </c>
      <c r="B177" s="1" t="n">
        <v>45821</v>
      </c>
      <c r="C177" s="1" t="n">
        <v>46031</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18927-2025</t>
        </is>
      </c>
      <c r="B178" s="1" t="n">
        <v>45764.4846412037</v>
      </c>
      <c r="C178" s="1" t="n">
        <v>46031</v>
      </c>
      <c r="D178" t="inlineStr">
        <is>
          <t>ÖREBRO LÄN</t>
        </is>
      </c>
      <c r="E178" t="inlineStr">
        <is>
          <t>HÄLLEFORS</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18941-2025</t>
        </is>
      </c>
      <c r="B179" s="1" t="n">
        <v>45764.495625</v>
      </c>
      <c r="C179" s="1" t="n">
        <v>46031</v>
      </c>
      <c r="D179" t="inlineStr">
        <is>
          <t>ÖREBRO LÄN</t>
        </is>
      </c>
      <c r="E179" t="inlineStr">
        <is>
          <t>HÄLLEFORS</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48765-2025</t>
        </is>
      </c>
      <c r="B180" s="1" t="n">
        <v>45936.85859953704</v>
      </c>
      <c r="C180" s="1" t="n">
        <v>46031</v>
      </c>
      <c r="D180" t="inlineStr">
        <is>
          <t>ÖREBRO LÄN</t>
        </is>
      </c>
      <c r="E180" t="inlineStr">
        <is>
          <t>HÄLLEFORS</t>
        </is>
      </c>
      <c r="F180" t="inlineStr">
        <is>
          <t>Bergvik skog väst AB</t>
        </is>
      </c>
      <c r="G180" t="n">
        <v>17.6</v>
      </c>
      <c r="H180" t="n">
        <v>0</v>
      </c>
      <c r="I180" t="n">
        <v>0</v>
      </c>
      <c r="J180" t="n">
        <v>0</v>
      </c>
      <c r="K180" t="n">
        <v>0</v>
      </c>
      <c r="L180" t="n">
        <v>0</v>
      </c>
      <c r="M180" t="n">
        <v>0</v>
      </c>
      <c r="N180" t="n">
        <v>0</v>
      </c>
      <c r="O180" t="n">
        <v>0</v>
      </c>
      <c r="P180" t="n">
        <v>0</v>
      </c>
      <c r="Q180" t="n">
        <v>0</v>
      </c>
      <c r="R180" s="2" t="inlineStr"/>
    </row>
    <row r="181" ht="15" customHeight="1">
      <c r="A181" t="inlineStr">
        <is>
          <t>A 28004-2022</t>
        </is>
      </c>
      <c r="B181" s="1" t="n">
        <v>44746.34457175926</v>
      </c>
      <c r="C181" s="1" t="n">
        <v>46031</v>
      </c>
      <c r="D181" t="inlineStr">
        <is>
          <t>ÖREBRO LÄN</t>
        </is>
      </c>
      <c r="E181" t="inlineStr">
        <is>
          <t>HÄLLEFORS</t>
        </is>
      </c>
      <c r="G181" t="n">
        <v>2.9</v>
      </c>
      <c r="H181" t="n">
        <v>0</v>
      </c>
      <c r="I181" t="n">
        <v>0</v>
      </c>
      <c r="J181" t="n">
        <v>0</v>
      </c>
      <c r="K181" t="n">
        <v>0</v>
      </c>
      <c r="L181" t="n">
        <v>0</v>
      </c>
      <c r="M181" t="n">
        <v>0</v>
      </c>
      <c r="N181" t="n">
        <v>0</v>
      </c>
      <c r="O181" t="n">
        <v>0</v>
      </c>
      <c r="P181" t="n">
        <v>0</v>
      </c>
      <c r="Q181" t="n">
        <v>0</v>
      </c>
      <c r="R181" s="2" t="inlineStr"/>
    </row>
    <row r="182" ht="15" customHeight="1">
      <c r="A182" t="inlineStr">
        <is>
          <t>A 55453-2023</t>
        </is>
      </c>
      <c r="B182" s="1" t="n">
        <v>45238</v>
      </c>
      <c r="C182" s="1" t="n">
        <v>46031</v>
      </c>
      <c r="D182" t="inlineStr">
        <is>
          <t>ÖREBRO LÄN</t>
        </is>
      </c>
      <c r="E182" t="inlineStr">
        <is>
          <t>HÄLLEFORS</t>
        </is>
      </c>
      <c r="G182" t="n">
        <v>0.8</v>
      </c>
      <c r="H182" t="n">
        <v>0</v>
      </c>
      <c r="I182" t="n">
        <v>0</v>
      </c>
      <c r="J182" t="n">
        <v>0</v>
      </c>
      <c r="K182" t="n">
        <v>0</v>
      </c>
      <c r="L182" t="n">
        <v>0</v>
      </c>
      <c r="M182" t="n">
        <v>0</v>
      </c>
      <c r="N182" t="n">
        <v>0</v>
      </c>
      <c r="O182" t="n">
        <v>0</v>
      </c>
      <c r="P182" t="n">
        <v>0</v>
      </c>
      <c r="Q182" t="n">
        <v>0</v>
      </c>
      <c r="R182" s="2" t="inlineStr"/>
    </row>
    <row r="183" ht="15" customHeight="1">
      <c r="A183" t="inlineStr">
        <is>
          <t>A 18889-2024</t>
        </is>
      </c>
      <c r="B183" s="1" t="n">
        <v>45427.26467592592</v>
      </c>
      <c r="C183" s="1" t="n">
        <v>46031</v>
      </c>
      <c r="D183" t="inlineStr">
        <is>
          <t>ÖREBRO LÄN</t>
        </is>
      </c>
      <c r="E183" t="inlineStr">
        <is>
          <t>HÄLLEFORS</t>
        </is>
      </c>
      <c r="G183" t="n">
        <v>8.5</v>
      </c>
      <c r="H183" t="n">
        <v>0</v>
      </c>
      <c r="I183" t="n">
        <v>0</v>
      </c>
      <c r="J183" t="n">
        <v>0</v>
      </c>
      <c r="K183" t="n">
        <v>0</v>
      </c>
      <c r="L183" t="n">
        <v>0</v>
      </c>
      <c r="M183" t="n">
        <v>0</v>
      </c>
      <c r="N183" t="n">
        <v>0</v>
      </c>
      <c r="O183" t="n">
        <v>0</v>
      </c>
      <c r="P183" t="n">
        <v>0</v>
      </c>
      <c r="Q183" t="n">
        <v>0</v>
      </c>
      <c r="R183" s="2" t="inlineStr"/>
    </row>
    <row r="184" ht="15" customHeight="1">
      <c r="A184" t="inlineStr">
        <is>
          <t>A 18627-2025</t>
        </is>
      </c>
      <c r="B184" s="1" t="n">
        <v>45763.53284722222</v>
      </c>
      <c r="C184" s="1" t="n">
        <v>46031</v>
      </c>
      <c r="D184" t="inlineStr">
        <is>
          <t>ÖREBRO LÄN</t>
        </is>
      </c>
      <c r="E184" t="inlineStr">
        <is>
          <t>HÄLLEFORS</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12511-2025</t>
        </is>
      </c>
      <c r="B185" s="1" t="n">
        <v>45730.6371412037</v>
      </c>
      <c r="C185" s="1" t="n">
        <v>46031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50881-2025</t>
        </is>
      </c>
      <c r="B186" s="1" t="n">
        <v>45946.62914351852</v>
      </c>
      <c r="C186" s="1" t="n">
        <v>46031</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50798-2025</t>
        </is>
      </c>
      <c r="B187" s="1" t="n">
        <v>45946.48537037037</v>
      </c>
      <c r="C187" s="1" t="n">
        <v>46031</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55747-2024</t>
        </is>
      </c>
      <c r="B188" s="1" t="n">
        <v>45623.32141203704</v>
      </c>
      <c r="C188" s="1" t="n">
        <v>46031</v>
      </c>
      <c r="D188" t="inlineStr">
        <is>
          <t>ÖREBRO LÄN</t>
        </is>
      </c>
      <c r="E188" t="inlineStr">
        <is>
          <t>HÄLLEFORS</t>
        </is>
      </c>
      <c r="F188" t="inlineStr">
        <is>
          <t>Bergvik skog väst AB</t>
        </is>
      </c>
      <c r="G188" t="n">
        <v>2.7</v>
      </c>
      <c r="H188" t="n">
        <v>0</v>
      </c>
      <c r="I188" t="n">
        <v>0</v>
      </c>
      <c r="J188" t="n">
        <v>0</v>
      </c>
      <c r="K188" t="n">
        <v>0</v>
      </c>
      <c r="L188" t="n">
        <v>0</v>
      </c>
      <c r="M188" t="n">
        <v>0</v>
      </c>
      <c r="N188" t="n">
        <v>0</v>
      </c>
      <c r="O188" t="n">
        <v>0</v>
      </c>
      <c r="P188" t="n">
        <v>0</v>
      </c>
      <c r="Q188" t="n">
        <v>0</v>
      </c>
      <c r="R188" s="2" t="inlineStr"/>
    </row>
    <row r="189" ht="15" customHeight="1">
      <c r="A189" t="inlineStr">
        <is>
          <t>A 1288-2024</t>
        </is>
      </c>
      <c r="B189" s="1" t="n">
        <v>45303</v>
      </c>
      <c r="C189" s="1" t="n">
        <v>46031</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50794-2025</t>
        </is>
      </c>
      <c r="B190" s="1" t="n">
        <v>45946.47722222222</v>
      </c>
      <c r="C190" s="1" t="n">
        <v>46031</v>
      </c>
      <c r="D190" t="inlineStr">
        <is>
          <t>ÖREBRO LÄN</t>
        </is>
      </c>
      <c r="E190" t="inlineStr">
        <is>
          <t>HÄLLEFORS</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56298-2024</t>
        </is>
      </c>
      <c r="B191" s="1" t="n">
        <v>45624.68584490741</v>
      </c>
      <c r="C191" s="1" t="n">
        <v>46031</v>
      </c>
      <c r="D191" t="inlineStr">
        <is>
          <t>ÖREBRO LÄN</t>
        </is>
      </c>
      <c r="E191" t="inlineStr">
        <is>
          <t>HÄLLEFORS</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14120-2023</t>
        </is>
      </c>
      <c r="B192" s="1" t="n">
        <v>45009</v>
      </c>
      <c r="C192" s="1" t="n">
        <v>46031</v>
      </c>
      <c r="D192" t="inlineStr">
        <is>
          <t>ÖREBRO LÄN</t>
        </is>
      </c>
      <c r="E192" t="inlineStr">
        <is>
          <t>HÄLLEFORS</t>
        </is>
      </c>
      <c r="F192" t="inlineStr">
        <is>
          <t>Bergvik skog väst AB</t>
        </is>
      </c>
      <c r="G192" t="n">
        <v>4.2</v>
      </c>
      <c r="H192" t="n">
        <v>0</v>
      </c>
      <c r="I192" t="n">
        <v>0</v>
      </c>
      <c r="J192" t="n">
        <v>0</v>
      </c>
      <c r="K192" t="n">
        <v>0</v>
      </c>
      <c r="L192" t="n">
        <v>0</v>
      </c>
      <c r="M192" t="n">
        <v>0</v>
      </c>
      <c r="N192" t="n">
        <v>0</v>
      </c>
      <c r="O192" t="n">
        <v>0</v>
      </c>
      <c r="P192" t="n">
        <v>0</v>
      </c>
      <c r="Q192" t="n">
        <v>0</v>
      </c>
      <c r="R192" s="2" t="inlineStr"/>
    </row>
    <row r="193" ht="15" customHeight="1">
      <c r="A193" t="inlineStr">
        <is>
          <t>A 30747-2025</t>
        </is>
      </c>
      <c r="B193" s="1" t="n">
        <v>45831.58487268518</v>
      </c>
      <c r="C193" s="1" t="n">
        <v>46031</v>
      </c>
      <c r="D193" t="inlineStr">
        <is>
          <t>ÖREBRO LÄN</t>
        </is>
      </c>
      <c r="E193" t="inlineStr">
        <is>
          <t>HÄLLEFORS</t>
        </is>
      </c>
      <c r="G193" t="n">
        <v>2.9</v>
      </c>
      <c r="H193" t="n">
        <v>0</v>
      </c>
      <c r="I193" t="n">
        <v>0</v>
      </c>
      <c r="J193" t="n">
        <v>0</v>
      </c>
      <c r="K193" t="n">
        <v>0</v>
      </c>
      <c r="L193" t="n">
        <v>0</v>
      </c>
      <c r="M193" t="n">
        <v>0</v>
      </c>
      <c r="N193" t="n">
        <v>0</v>
      </c>
      <c r="O193" t="n">
        <v>0</v>
      </c>
      <c r="P193" t="n">
        <v>0</v>
      </c>
      <c r="Q193" t="n">
        <v>0</v>
      </c>
      <c r="R193" s="2" t="inlineStr"/>
    </row>
    <row r="194" ht="15" customHeight="1">
      <c r="A194" t="inlineStr">
        <is>
          <t>A 50714-2022</t>
        </is>
      </c>
      <c r="B194" s="1" t="n">
        <v>44867.35501157407</v>
      </c>
      <c r="C194" s="1" t="n">
        <v>46031</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46031</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52125-2025</t>
        </is>
      </c>
      <c r="B196" s="1" t="n">
        <v>45952.72060185186</v>
      </c>
      <c r="C196" s="1" t="n">
        <v>46031</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15941-2023</t>
        </is>
      </c>
      <c r="B197" s="1" t="n">
        <v>45022</v>
      </c>
      <c r="C197" s="1" t="n">
        <v>46031</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12545-2023</t>
        </is>
      </c>
      <c r="B198" s="1" t="n">
        <v>45000</v>
      </c>
      <c r="C198" s="1" t="n">
        <v>46031</v>
      </c>
      <c r="D198" t="inlineStr">
        <is>
          <t>ÖREBRO LÄN</t>
        </is>
      </c>
      <c r="E198" t="inlineStr">
        <is>
          <t>HÄLLEFORS</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6281-2025</t>
        </is>
      </c>
      <c r="B199" s="1" t="n">
        <v>45698</v>
      </c>
      <c r="C199" s="1" t="n">
        <v>46031</v>
      </c>
      <c r="D199" t="inlineStr">
        <is>
          <t>ÖREBRO LÄN</t>
        </is>
      </c>
      <c r="E199" t="inlineStr">
        <is>
          <t>HÄLLEFORS</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32217-2025</t>
        </is>
      </c>
      <c r="B200" s="1" t="n">
        <v>45835.58846064815</v>
      </c>
      <c r="C200" s="1" t="n">
        <v>46031</v>
      </c>
      <c r="D200" t="inlineStr">
        <is>
          <t>ÖREBRO LÄN</t>
        </is>
      </c>
      <c r="E200" t="inlineStr">
        <is>
          <t>HÄLLEFORS</t>
        </is>
      </c>
      <c r="F200" t="inlineStr">
        <is>
          <t>Bergvik skog väst AB</t>
        </is>
      </c>
      <c r="G200" t="n">
        <v>4.4</v>
      </c>
      <c r="H200" t="n">
        <v>0</v>
      </c>
      <c r="I200" t="n">
        <v>0</v>
      </c>
      <c r="J200" t="n">
        <v>0</v>
      </c>
      <c r="K200" t="n">
        <v>0</v>
      </c>
      <c r="L200" t="n">
        <v>0</v>
      </c>
      <c r="M200" t="n">
        <v>0</v>
      </c>
      <c r="N200" t="n">
        <v>0</v>
      </c>
      <c r="O200" t="n">
        <v>0</v>
      </c>
      <c r="P200" t="n">
        <v>0</v>
      </c>
      <c r="Q200" t="n">
        <v>0</v>
      </c>
      <c r="R200" s="2" t="inlineStr"/>
    </row>
    <row r="201" ht="15" customHeight="1">
      <c r="A201" t="inlineStr">
        <is>
          <t>A 19055-2024</t>
        </is>
      </c>
      <c r="B201" s="1" t="n">
        <v>45427.79534722222</v>
      </c>
      <c r="C201" s="1" t="n">
        <v>46031</v>
      </c>
      <c r="D201" t="inlineStr">
        <is>
          <t>ÖREBRO LÄN</t>
        </is>
      </c>
      <c r="E201" t="inlineStr">
        <is>
          <t>HÄLLEFORS</t>
        </is>
      </c>
      <c r="G201" t="n">
        <v>0.6</v>
      </c>
      <c r="H201" t="n">
        <v>0</v>
      </c>
      <c r="I201" t="n">
        <v>0</v>
      </c>
      <c r="J201" t="n">
        <v>0</v>
      </c>
      <c r="K201" t="n">
        <v>0</v>
      </c>
      <c r="L201" t="n">
        <v>0</v>
      </c>
      <c r="M201" t="n">
        <v>0</v>
      </c>
      <c r="N201" t="n">
        <v>0</v>
      </c>
      <c r="O201" t="n">
        <v>0</v>
      </c>
      <c r="P201" t="n">
        <v>0</v>
      </c>
      <c r="Q201" t="n">
        <v>0</v>
      </c>
      <c r="R201" s="2" t="inlineStr"/>
    </row>
    <row r="202" ht="15" customHeight="1">
      <c r="A202" t="inlineStr">
        <is>
          <t>A 52453-2025</t>
        </is>
      </c>
      <c r="B202" s="1" t="n">
        <v>45954.42596064815</v>
      </c>
      <c r="C202" s="1" t="n">
        <v>46031</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50571-2024</t>
        </is>
      </c>
      <c r="B203" s="1" t="n">
        <v>45601.60576388889</v>
      </c>
      <c r="C203" s="1" t="n">
        <v>46031</v>
      </c>
      <c r="D203" t="inlineStr">
        <is>
          <t>ÖREBRO LÄN</t>
        </is>
      </c>
      <c r="E203" t="inlineStr">
        <is>
          <t>HÄLLEFORS</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52449-2025</t>
        </is>
      </c>
      <c r="B204" s="1" t="n">
        <v>45954.41862268518</v>
      </c>
      <c r="C204" s="1" t="n">
        <v>46031</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3643-2025</t>
        </is>
      </c>
      <c r="B205" s="1" t="n">
        <v>45681</v>
      </c>
      <c r="C205" s="1" t="n">
        <v>46031</v>
      </c>
      <c r="D205" t="inlineStr">
        <is>
          <t>ÖREBRO LÄN</t>
        </is>
      </c>
      <c r="E205" t="inlineStr">
        <is>
          <t>HÄLLEFORS</t>
        </is>
      </c>
      <c r="G205" t="n">
        <v>20.8</v>
      </c>
      <c r="H205" t="n">
        <v>0</v>
      </c>
      <c r="I205" t="n">
        <v>0</v>
      </c>
      <c r="J205" t="n">
        <v>0</v>
      </c>
      <c r="K205" t="n">
        <v>0</v>
      </c>
      <c r="L205" t="n">
        <v>0</v>
      </c>
      <c r="M205" t="n">
        <v>0</v>
      </c>
      <c r="N205" t="n">
        <v>0</v>
      </c>
      <c r="O205" t="n">
        <v>0</v>
      </c>
      <c r="P205" t="n">
        <v>0</v>
      </c>
      <c r="Q205" t="n">
        <v>0</v>
      </c>
      <c r="R205" s="2" t="inlineStr"/>
    </row>
    <row r="206" ht="15" customHeight="1">
      <c r="A206" t="inlineStr">
        <is>
          <t>A 61164-2025</t>
        </is>
      </c>
      <c r="B206" s="1" t="n">
        <v>46000.56178240741</v>
      </c>
      <c r="C206" s="1" t="n">
        <v>46031</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32813-2025</t>
        </is>
      </c>
      <c r="B207" s="1" t="n">
        <v>45839.51949074074</v>
      </c>
      <c r="C207" s="1" t="n">
        <v>46031</v>
      </c>
      <c r="D207" t="inlineStr">
        <is>
          <t>ÖREBRO LÄN</t>
        </is>
      </c>
      <c r="E207" t="inlineStr">
        <is>
          <t>HÄLLEFORS</t>
        </is>
      </c>
      <c r="G207" t="n">
        <v>3.5</v>
      </c>
      <c r="H207" t="n">
        <v>0</v>
      </c>
      <c r="I207" t="n">
        <v>0</v>
      </c>
      <c r="J207" t="n">
        <v>0</v>
      </c>
      <c r="K207" t="n">
        <v>0</v>
      </c>
      <c r="L207" t="n">
        <v>0</v>
      </c>
      <c r="M207" t="n">
        <v>0</v>
      </c>
      <c r="N207" t="n">
        <v>0</v>
      </c>
      <c r="O207" t="n">
        <v>0</v>
      </c>
      <c r="P207" t="n">
        <v>0</v>
      </c>
      <c r="Q207" t="n">
        <v>0</v>
      </c>
      <c r="R207" s="2" t="inlineStr"/>
    </row>
    <row r="208" ht="15" customHeight="1">
      <c r="A208" t="inlineStr">
        <is>
          <t>A 61084-2025</t>
        </is>
      </c>
      <c r="B208" s="1" t="n">
        <v>46000.41092592593</v>
      </c>
      <c r="C208" s="1" t="n">
        <v>46031</v>
      </c>
      <c r="D208" t="inlineStr">
        <is>
          <t>ÖREBRO LÄN</t>
        </is>
      </c>
      <c r="E208" t="inlineStr">
        <is>
          <t>HÄLLEFORS</t>
        </is>
      </c>
      <c r="F208" t="inlineStr">
        <is>
          <t>Bergvik skog väst AB</t>
        </is>
      </c>
      <c r="G208" t="n">
        <v>7.7</v>
      </c>
      <c r="H208" t="n">
        <v>0</v>
      </c>
      <c r="I208" t="n">
        <v>0</v>
      </c>
      <c r="J208" t="n">
        <v>0</v>
      </c>
      <c r="K208" t="n">
        <v>0</v>
      </c>
      <c r="L208" t="n">
        <v>0</v>
      </c>
      <c r="M208" t="n">
        <v>0</v>
      </c>
      <c r="N208" t="n">
        <v>0</v>
      </c>
      <c r="O208" t="n">
        <v>0</v>
      </c>
      <c r="P208" t="n">
        <v>0</v>
      </c>
      <c r="Q208" t="n">
        <v>0</v>
      </c>
      <c r="R208" s="2" t="inlineStr"/>
    </row>
    <row r="209" ht="15" customHeight="1">
      <c r="A209" t="inlineStr">
        <is>
          <t>A 60852-2025</t>
        </is>
      </c>
      <c r="B209" s="1" t="n">
        <v>45999.50795138889</v>
      </c>
      <c r="C209" s="1" t="n">
        <v>46031</v>
      </c>
      <c r="D209" t="inlineStr">
        <is>
          <t>ÖREBRO LÄN</t>
        </is>
      </c>
      <c r="E209" t="inlineStr">
        <is>
          <t>HÄLLEFORS</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61082-2025</t>
        </is>
      </c>
      <c r="B210" s="1" t="n">
        <v>46000.40797453704</v>
      </c>
      <c r="C210" s="1" t="n">
        <v>46031</v>
      </c>
      <c r="D210" t="inlineStr">
        <is>
          <t>ÖREBRO LÄN</t>
        </is>
      </c>
      <c r="E210" t="inlineStr">
        <is>
          <t>HÄLLEFORS</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32808-2025</t>
        </is>
      </c>
      <c r="B211" s="1" t="n">
        <v>45839.50719907408</v>
      </c>
      <c r="C211" s="1" t="n">
        <v>46031</v>
      </c>
      <c r="D211" t="inlineStr">
        <is>
          <t>ÖREBRO LÄN</t>
        </is>
      </c>
      <c r="E211" t="inlineStr">
        <is>
          <t>HÄLLEFORS</t>
        </is>
      </c>
      <c r="G211" t="n">
        <v>4.3</v>
      </c>
      <c r="H211" t="n">
        <v>0</v>
      </c>
      <c r="I211" t="n">
        <v>0</v>
      </c>
      <c r="J211" t="n">
        <v>0</v>
      </c>
      <c r="K211" t="n">
        <v>0</v>
      </c>
      <c r="L211" t="n">
        <v>0</v>
      </c>
      <c r="M211" t="n">
        <v>0</v>
      </c>
      <c r="N211" t="n">
        <v>0</v>
      </c>
      <c r="O211" t="n">
        <v>0</v>
      </c>
      <c r="P211" t="n">
        <v>0</v>
      </c>
      <c r="Q211" t="n">
        <v>0</v>
      </c>
      <c r="R211" s="2" t="inlineStr"/>
    </row>
    <row r="212" ht="15" customHeight="1">
      <c r="A212" t="inlineStr">
        <is>
          <t>A 61079-2025</t>
        </is>
      </c>
      <c r="B212" s="1" t="n">
        <v>46000.40052083333</v>
      </c>
      <c r="C212" s="1" t="n">
        <v>46031</v>
      </c>
      <c r="D212" t="inlineStr">
        <is>
          <t>ÖREBRO LÄN</t>
        </is>
      </c>
      <c r="E212" t="inlineStr">
        <is>
          <t>HÄLLEFORS</t>
        </is>
      </c>
      <c r="F212" t="inlineStr">
        <is>
          <t>Bergvik skog väst AB</t>
        </is>
      </c>
      <c r="G212" t="n">
        <v>6.8</v>
      </c>
      <c r="H212" t="n">
        <v>0</v>
      </c>
      <c r="I212" t="n">
        <v>0</v>
      </c>
      <c r="J212" t="n">
        <v>0</v>
      </c>
      <c r="K212" t="n">
        <v>0</v>
      </c>
      <c r="L212" t="n">
        <v>0</v>
      </c>
      <c r="M212" t="n">
        <v>0</v>
      </c>
      <c r="N212" t="n">
        <v>0</v>
      </c>
      <c r="O212" t="n">
        <v>0</v>
      </c>
      <c r="P212" t="n">
        <v>0</v>
      </c>
      <c r="Q212" t="n">
        <v>0</v>
      </c>
      <c r="R212" s="2" t="inlineStr"/>
    </row>
    <row r="213" ht="15" customHeight="1">
      <c r="A213" t="inlineStr">
        <is>
          <t>A 1018-2025</t>
        </is>
      </c>
      <c r="B213" s="1" t="n">
        <v>45666.49185185185</v>
      </c>
      <c r="C213" s="1" t="n">
        <v>46031</v>
      </c>
      <c r="D213" t="inlineStr">
        <is>
          <t>ÖREBRO LÄN</t>
        </is>
      </c>
      <c r="E213" t="inlineStr">
        <is>
          <t>HÄLLEFORS</t>
        </is>
      </c>
      <c r="G213" t="n">
        <v>0.8</v>
      </c>
      <c r="H213" t="n">
        <v>0</v>
      </c>
      <c r="I213" t="n">
        <v>0</v>
      </c>
      <c r="J213" t="n">
        <v>0</v>
      </c>
      <c r="K213" t="n">
        <v>0</v>
      </c>
      <c r="L213" t="n">
        <v>0</v>
      </c>
      <c r="M213" t="n">
        <v>0</v>
      </c>
      <c r="N213" t="n">
        <v>0</v>
      </c>
      <c r="O213" t="n">
        <v>0</v>
      </c>
      <c r="P213" t="n">
        <v>0</v>
      </c>
      <c r="Q213" t="n">
        <v>0</v>
      </c>
      <c r="R213" s="2" t="inlineStr"/>
    </row>
    <row r="214" ht="15" customHeight="1">
      <c r="A214" t="inlineStr">
        <is>
          <t>A 5684-2025</t>
        </is>
      </c>
      <c r="B214" s="1" t="n">
        <v>45694</v>
      </c>
      <c r="C214" s="1" t="n">
        <v>46031</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29884-2022</t>
        </is>
      </c>
      <c r="B215" s="1" t="n">
        <v>44756</v>
      </c>
      <c r="C215" s="1" t="n">
        <v>46031</v>
      </c>
      <c r="D215" t="inlineStr">
        <is>
          <t>ÖREBRO LÄN</t>
        </is>
      </c>
      <c r="E215" t="inlineStr">
        <is>
          <t>HÄLLEFORS</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53337-2025</t>
        </is>
      </c>
      <c r="B216" s="1" t="n">
        <v>45959.40310185185</v>
      </c>
      <c r="C216" s="1" t="n">
        <v>46031</v>
      </c>
      <c r="D216" t="inlineStr">
        <is>
          <t>ÖREBRO LÄN</t>
        </is>
      </c>
      <c r="E216" t="inlineStr">
        <is>
          <t>HÄLLEFORS</t>
        </is>
      </c>
      <c r="G216" t="n">
        <v>4.8</v>
      </c>
      <c r="H216" t="n">
        <v>0</v>
      </c>
      <c r="I216" t="n">
        <v>0</v>
      </c>
      <c r="J216" t="n">
        <v>0</v>
      </c>
      <c r="K216" t="n">
        <v>0</v>
      </c>
      <c r="L216" t="n">
        <v>0</v>
      </c>
      <c r="M216" t="n">
        <v>0</v>
      </c>
      <c r="N216" t="n">
        <v>0</v>
      </c>
      <c r="O216" t="n">
        <v>0</v>
      </c>
      <c r="P216" t="n">
        <v>0</v>
      </c>
      <c r="Q216" t="n">
        <v>0</v>
      </c>
      <c r="R216" s="2" t="inlineStr"/>
    </row>
    <row r="217" ht="15" customHeight="1">
      <c r="A217" t="inlineStr">
        <is>
          <t>A 17041-2025</t>
        </is>
      </c>
      <c r="B217" s="1" t="n">
        <v>45755.58488425926</v>
      </c>
      <c r="C217" s="1" t="n">
        <v>46031</v>
      </c>
      <c r="D217" t="inlineStr">
        <is>
          <t>ÖREBRO LÄN</t>
        </is>
      </c>
      <c r="E217" t="inlineStr">
        <is>
          <t>HÄLLEFORS</t>
        </is>
      </c>
      <c r="F217" t="inlineStr">
        <is>
          <t>Bergvik skog väst AB</t>
        </is>
      </c>
      <c r="G217" t="n">
        <v>3.7</v>
      </c>
      <c r="H217" t="n">
        <v>0</v>
      </c>
      <c r="I217" t="n">
        <v>0</v>
      </c>
      <c r="J217" t="n">
        <v>0</v>
      </c>
      <c r="K217" t="n">
        <v>0</v>
      </c>
      <c r="L217" t="n">
        <v>0</v>
      </c>
      <c r="M217" t="n">
        <v>0</v>
      </c>
      <c r="N217" t="n">
        <v>0</v>
      </c>
      <c r="O217" t="n">
        <v>0</v>
      </c>
      <c r="P217" t="n">
        <v>0</v>
      </c>
      <c r="Q217" t="n">
        <v>0</v>
      </c>
      <c r="R217" s="2" t="inlineStr"/>
    </row>
    <row r="218" ht="15" customHeight="1">
      <c r="A218" t="inlineStr">
        <is>
          <t>A 29340-2024</t>
        </is>
      </c>
      <c r="B218" s="1" t="n">
        <v>45483.46465277778</v>
      </c>
      <c r="C218" s="1" t="n">
        <v>46031</v>
      </c>
      <c r="D218" t="inlineStr">
        <is>
          <t>ÖREBRO LÄN</t>
        </is>
      </c>
      <c r="E218" t="inlineStr">
        <is>
          <t>HÄLLEFORS</t>
        </is>
      </c>
      <c r="G218" t="n">
        <v>1.7</v>
      </c>
      <c r="H218" t="n">
        <v>0</v>
      </c>
      <c r="I218" t="n">
        <v>0</v>
      </c>
      <c r="J218" t="n">
        <v>0</v>
      </c>
      <c r="K218" t="n">
        <v>0</v>
      </c>
      <c r="L218" t="n">
        <v>0</v>
      </c>
      <c r="M218" t="n">
        <v>0</v>
      </c>
      <c r="N218" t="n">
        <v>0</v>
      </c>
      <c r="O218" t="n">
        <v>0</v>
      </c>
      <c r="P218" t="n">
        <v>0</v>
      </c>
      <c r="Q218" t="n">
        <v>0</v>
      </c>
      <c r="R218" s="2" t="inlineStr"/>
    </row>
    <row r="219" ht="15" customHeight="1">
      <c r="A219" t="inlineStr">
        <is>
          <t>A 17050-2025</t>
        </is>
      </c>
      <c r="B219" s="1" t="n">
        <v>45755.5997337963</v>
      </c>
      <c r="C219" s="1" t="n">
        <v>46031</v>
      </c>
      <c r="D219" t="inlineStr">
        <is>
          <t>ÖREBRO LÄN</t>
        </is>
      </c>
      <c r="E219" t="inlineStr">
        <is>
          <t>HÄLLEFORS</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61366-2025</t>
        </is>
      </c>
      <c r="B220" s="1" t="n">
        <v>46001.42888888889</v>
      </c>
      <c r="C220" s="1" t="n">
        <v>46031</v>
      </c>
      <c r="D220" t="inlineStr">
        <is>
          <t>ÖREBRO LÄN</t>
        </is>
      </c>
      <c r="E220" t="inlineStr">
        <is>
          <t>HÄLLEFORS</t>
        </is>
      </c>
      <c r="F220" t="inlineStr">
        <is>
          <t>Bergvik skog väst AB</t>
        </is>
      </c>
      <c r="G220" t="n">
        <v>1.5</v>
      </c>
      <c r="H220" t="n">
        <v>0</v>
      </c>
      <c r="I220" t="n">
        <v>0</v>
      </c>
      <c r="J220" t="n">
        <v>0</v>
      </c>
      <c r="K220" t="n">
        <v>0</v>
      </c>
      <c r="L220" t="n">
        <v>0</v>
      </c>
      <c r="M220" t="n">
        <v>0</v>
      </c>
      <c r="N220" t="n">
        <v>0</v>
      </c>
      <c r="O220" t="n">
        <v>0</v>
      </c>
      <c r="P220" t="n">
        <v>0</v>
      </c>
      <c r="Q220" t="n">
        <v>0</v>
      </c>
      <c r="R220" s="2" t="inlineStr"/>
    </row>
    <row r="221" ht="15" customHeight="1">
      <c r="A221" t="inlineStr">
        <is>
          <t>A 34062-2025</t>
        </is>
      </c>
      <c r="B221" s="1" t="n">
        <v>45845.4264699074</v>
      </c>
      <c r="C221" s="1" t="n">
        <v>46031</v>
      </c>
      <c r="D221" t="inlineStr">
        <is>
          <t>ÖREBRO LÄN</t>
        </is>
      </c>
      <c r="E221" t="inlineStr">
        <is>
          <t>HÄLLEFORS</t>
        </is>
      </c>
      <c r="G221" t="n">
        <v>1.3</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46031</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34023-2025</t>
        </is>
      </c>
      <c r="B223" s="1" t="n">
        <v>45845.35355324074</v>
      </c>
      <c r="C223" s="1" t="n">
        <v>46031</v>
      </c>
      <c r="D223" t="inlineStr">
        <is>
          <t>ÖREBRO LÄN</t>
        </is>
      </c>
      <c r="E223" t="inlineStr">
        <is>
          <t>HÄLLEFORS</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53335-2025</t>
        </is>
      </c>
      <c r="B224" s="1" t="n">
        <v>45959.38943287037</v>
      </c>
      <c r="C224" s="1" t="n">
        <v>46031</v>
      </c>
      <c r="D224" t="inlineStr">
        <is>
          <t>ÖREBRO LÄN</t>
        </is>
      </c>
      <c r="E224" t="inlineStr">
        <is>
          <t>HÄLLEFORS</t>
        </is>
      </c>
      <c r="G224" t="n">
        <v>2</v>
      </c>
      <c r="H224" t="n">
        <v>0</v>
      </c>
      <c r="I224" t="n">
        <v>0</v>
      </c>
      <c r="J224" t="n">
        <v>0</v>
      </c>
      <c r="K224" t="n">
        <v>0</v>
      </c>
      <c r="L224" t="n">
        <v>0</v>
      </c>
      <c r="M224" t="n">
        <v>0</v>
      </c>
      <c r="N224" t="n">
        <v>0</v>
      </c>
      <c r="O224" t="n">
        <v>0</v>
      </c>
      <c r="P224" t="n">
        <v>0</v>
      </c>
      <c r="Q224" t="n">
        <v>0</v>
      </c>
      <c r="R224" s="2" t="inlineStr"/>
    </row>
    <row r="225" ht="15" customHeight="1">
      <c r="A225" t="inlineStr">
        <is>
          <t>A 34022-2025</t>
        </is>
      </c>
      <c r="B225" s="1" t="n">
        <v>45845.34983796296</v>
      </c>
      <c r="C225" s="1" t="n">
        <v>46031</v>
      </c>
      <c r="D225" t="inlineStr">
        <is>
          <t>ÖREBRO LÄN</t>
        </is>
      </c>
      <c r="E225" t="inlineStr">
        <is>
          <t>HÄLLEFORS</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34025-2025</t>
        </is>
      </c>
      <c r="B226" s="1" t="n">
        <v>45845.35546296297</v>
      </c>
      <c r="C226" s="1" t="n">
        <v>46031</v>
      </c>
      <c r="D226" t="inlineStr">
        <is>
          <t>ÖREBRO LÄN</t>
        </is>
      </c>
      <c r="E226" t="inlineStr">
        <is>
          <t>HÄLLEFORS</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34029-2025</t>
        </is>
      </c>
      <c r="B227" s="1" t="n">
        <v>45845.36309027778</v>
      </c>
      <c r="C227" s="1" t="n">
        <v>46031</v>
      </c>
      <c r="D227" t="inlineStr">
        <is>
          <t>ÖREBRO LÄN</t>
        </is>
      </c>
      <c r="E227" t="inlineStr">
        <is>
          <t>HÄLLEFORS</t>
        </is>
      </c>
      <c r="F227" t="inlineStr">
        <is>
          <t>Bergvik skog väst AB</t>
        </is>
      </c>
      <c r="G227" t="n">
        <v>4</v>
      </c>
      <c r="H227" t="n">
        <v>0</v>
      </c>
      <c r="I227" t="n">
        <v>0</v>
      </c>
      <c r="J227" t="n">
        <v>0</v>
      </c>
      <c r="K227" t="n">
        <v>0</v>
      </c>
      <c r="L227" t="n">
        <v>0</v>
      </c>
      <c r="M227" t="n">
        <v>0</v>
      </c>
      <c r="N227" t="n">
        <v>0</v>
      </c>
      <c r="O227" t="n">
        <v>0</v>
      </c>
      <c r="P227" t="n">
        <v>0</v>
      </c>
      <c r="Q227" t="n">
        <v>0</v>
      </c>
      <c r="R227" s="2" t="inlineStr"/>
    </row>
    <row r="228" ht="15" customHeight="1">
      <c r="A228" t="inlineStr">
        <is>
          <t>A 53331-2025</t>
        </is>
      </c>
      <c r="B228" s="1" t="n">
        <v>45959.37532407408</v>
      </c>
      <c r="C228" s="1" t="n">
        <v>46031</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20170-2023</t>
        </is>
      </c>
      <c r="B229" s="1" t="n">
        <v>45055</v>
      </c>
      <c r="C229" s="1" t="n">
        <v>46031</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5268-2025</t>
        </is>
      </c>
      <c r="B230" s="1" t="n">
        <v>45692.40298611111</v>
      </c>
      <c r="C230" s="1" t="n">
        <v>46031</v>
      </c>
      <c r="D230" t="inlineStr">
        <is>
          <t>ÖREBRO LÄN</t>
        </is>
      </c>
      <c r="E230" t="inlineStr">
        <is>
          <t>HÄLLEFORS</t>
        </is>
      </c>
      <c r="F230" t="inlineStr">
        <is>
          <t>Bergvik skog väst AB</t>
        </is>
      </c>
      <c r="G230" t="n">
        <v>3.8</v>
      </c>
      <c r="H230" t="n">
        <v>0</v>
      </c>
      <c r="I230" t="n">
        <v>0</v>
      </c>
      <c r="J230" t="n">
        <v>0</v>
      </c>
      <c r="K230" t="n">
        <v>0</v>
      </c>
      <c r="L230" t="n">
        <v>0</v>
      </c>
      <c r="M230" t="n">
        <v>0</v>
      </c>
      <c r="N230" t="n">
        <v>0</v>
      </c>
      <c r="O230" t="n">
        <v>0</v>
      </c>
      <c r="P230" t="n">
        <v>0</v>
      </c>
      <c r="Q230" t="n">
        <v>0</v>
      </c>
      <c r="R230" s="2" t="inlineStr"/>
    </row>
    <row r="231" ht="15" customHeight="1">
      <c r="A231" t="inlineStr">
        <is>
          <t>A 34059-2025</t>
        </is>
      </c>
      <c r="B231" s="1" t="n">
        <v>45845.41988425926</v>
      </c>
      <c r="C231" s="1" t="n">
        <v>46031</v>
      </c>
      <c r="D231" t="inlineStr">
        <is>
          <t>ÖREBRO LÄN</t>
        </is>
      </c>
      <c r="E231" t="inlineStr">
        <is>
          <t>HÄLLEFORS</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34033-2025</t>
        </is>
      </c>
      <c r="B232" s="1" t="n">
        <v>45845.36700231482</v>
      </c>
      <c r="C232" s="1" t="n">
        <v>46031</v>
      </c>
      <c r="D232" t="inlineStr">
        <is>
          <t>ÖREBRO LÄN</t>
        </is>
      </c>
      <c r="E232" t="inlineStr">
        <is>
          <t>HÄLLEFORS</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34037-2025</t>
        </is>
      </c>
      <c r="B233" s="1" t="n">
        <v>45845.37002314815</v>
      </c>
      <c r="C233" s="1" t="n">
        <v>46031</v>
      </c>
      <c r="D233" t="inlineStr">
        <is>
          <t>ÖREBRO LÄN</t>
        </is>
      </c>
      <c r="E233" t="inlineStr">
        <is>
          <t>HÄLLEFORS</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34093-2025</t>
        </is>
      </c>
      <c r="B234" s="1" t="n">
        <v>45845.47775462963</v>
      </c>
      <c r="C234" s="1" t="n">
        <v>46031</v>
      </c>
      <c r="D234" t="inlineStr">
        <is>
          <t>ÖREBRO LÄN</t>
        </is>
      </c>
      <c r="E234" t="inlineStr">
        <is>
          <t>HÄLLEFORS</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34057-2025</t>
        </is>
      </c>
      <c r="B235" s="1" t="n">
        <v>45845.41581018519</v>
      </c>
      <c r="C235" s="1" t="n">
        <v>46031</v>
      </c>
      <c r="D235" t="inlineStr">
        <is>
          <t>ÖREBRO LÄN</t>
        </is>
      </c>
      <c r="E235" t="inlineStr">
        <is>
          <t>HÄLLEFORS</t>
        </is>
      </c>
      <c r="G235" t="n">
        <v>2.1</v>
      </c>
      <c r="H235" t="n">
        <v>0</v>
      </c>
      <c r="I235" t="n">
        <v>0</v>
      </c>
      <c r="J235" t="n">
        <v>0</v>
      </c>
      <c r="K235" t="n">
        <v>0</v>
      </c>
      <c r="L235" t="n">
        <v>0</v>
      </c>
      <c r="M235" t="n">
        <v>0</v>
      </c>
      <c r="N235" t="n">
        <v>0</v>
      </c>
      <c r="O235" t="n">
        <v>0</v>
      </c>
      <c r="P235" t="n">
        <v>0</v>
      </c>
      <c r="Q235" t="n">
        <v>0</v>
      </c>
      <c r="R235" s="2" t="inlineStr"/>
    </row>
    <row r="236" ht="15" customHeight="1">
      <c r="A236" t="inlineStr">
        <is>
          <t>A 34018-2025</t>
        </is>
      </c>
      <c r="B236" s="1" t="n">
        <v>45845.34341435185</v>
      </c>
      <c r="C236" s="1" t="n">
        <v>46031</v>
      </c>
      <c r="D236" t="inlineStr">
        <is>
          <t>ÖREBRO LÄN</t>
        </is>
      </c>
      <c r="E236" t="inlineStr">
        <is>
          <t>HÄLLEFORS</t>
        </is>
      </c>
      <c r="G236" t="n">
        <v>6.4</v>
      </c>
      <c r="H236" t="n">
        <v>0</v>
      </c>
      <c r="I236" t="n">
        <v>0</v>
      </c>
      <c r="J236" t="n">
        <v>0</v>
      </c>
      <c r="K236" t="n">
        <v>0</v>
      </c>
      <c r="L236" t="n">
        <v>0</v>
      </c>
      <c r="M236" t="n">
        <v>0</v>
      </c>
      <c r="N236" t="n">
        <v>0</v>
      </c>
      <c r="O236" t="n">
        <v>0</v>
      </c>
      <c r="P236" t="n">
        <v>0</v>
      </c>
      <c r="Q236" t="n">
        <v>0</v>
      </c>
      <c r="R236" s="2" t="inlineStr"/>
    </row>
    <row r="237" ht="15" customHeight="1">
      <c r="A237" t="inlineStr">
        <is>
          <t>A 34020-2025</t>
        </is>
      </c>
      <c r="B237" s="1" t="n">
        <v>45845.34695601852</v>
      </c>
      <c r="C237" s="1" t="n">
        <v>46031</v>
      </c>
      <c r="D237" t="inlineStr">
        <is>
          <t>ÖREBRO LÄN</t>
        </is>
      </c>
      <c r="E237" t="inlineStr">
        <is>
          <t>HÄLLEFORS</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34042-2025</t>
        </is>
      </c>
      <c r="B238" s="1" t="n">
        <v>45845.37733796296</v>
      </c>
      <c r="C238" s="1" t="n">
        <v>46031</v>
      </c>
      <c r="D238" t="inlineStr">
        <is>
          <t>ÖREBRO LÄN</t>
        </is>
      </c>
      <c r="E238" t="inlineStr">
        <is>
          <t>HÄLLEFORS</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34045-2025</t>
        </is>
      </c>
      <c r="B239" s="1" t="n">
        <v>45845.38480324074</v>
      </c>
      <c r="C239" s="1" t="n">
        <v>46031</v>
      </c>
      <c r="D239" t="inlineStr">
        <is>
          <t>ÖREBRO LÄN</t>
        </is>
      </c>
      <c r="E239" t="inlineStr">
        <is>
          <t>HÄLLEFORS</t>
        </is>
      </c>
      <c r="F239" t="inlineStr">
        <is>
          <t>Bergvik skog väst AB</t>
        </is>
      </c>
      <c r="G239" t="n">
        <v>4</v>
      </c>
      <c r="H239" t="n">
        <v>0</v>
      </c>
      <c r="I239" t="n">
        <v>0</v>
      </c>
      <c r="J239" t="n">
        <v>0</v>
      </c>
      <c r="K239" t="n">
        <v>0</v>
      </c>
      <c r="L239" t="n">
        <v>0</v>
      </c>
      <c r="M239" t="n">
        <v>0</v>
      </c>
      <c r="N239" t="n">
        <v>0</v>
      </c>
      <c r="O239" t="n">
        <v>0</v>
      </c>
      <c r="P239" t="n">
        <v>0</v>
      </c>
      <c r="Q239" t="n">
        <v>0</v>
      </c>
      <c r="R239" s="2" t="inlineStr"/>
    </row>
    <row r="240" ht="15" customHeight="1">
      <c r="A240" t="inlineStr">
        <is>
          <t>A 34052-2025</t>
        </is>
      </c>
      <c r="B240" s="1" t="n">
        <v>45845.40813657407</v>
      </c>
      <c r="C240" s="1" t="n">
        <v>46031</v>
      </c>
      <c r="D240" t="inlineStr">
        <is>
          <t>ÖREBRO LÄN</t>
        </is>
      </c>
      <c r="E240" t="inlineStr">
        <is>
          <t>HÄLLEFORS</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36276-2024</t>
        </is>
      </c>
      <c r="B241" s="1" t="n">
        <v>45534.58140046296</v>
      </c>
      <c r="C241" s="1" t="n">
        <v>46031</v>
      </c>
      <c r="D241" t="inlineStr">
        <is>
          <t>ÖREBRO LÄN</t>
        </is>
      </c>
      <c r="E241" t="inlineStr">
        <is>
          <t>HÄLLEFORS</t>
        </is>
      </c>
      <c r="F241" t="inlineStr">
        <is>
          <t>Bergvik skog väst AB</t>
        </is>
      </c>
      <c r="G241" t="n">
        <v>2.5</v>
      </c>
      <c r="H241" t="n">
        <v>0</v>
      </c>
      <c r="I241" t="n">
        <v>0</v>
      </c>
      <c r="J241" t="n">
        <v>0</v>
      </c>
      <c r="K241" t="n">
        <v>0</v>
      </c>
      <c r="L241" t="n">
        <v>0</v>
      </c>
      <c r="M241" t="n">
        <v>0</v>
      </c>
      <c r="N241" t="n">
        <v>0</v>
      </c>
      <c r="O241" t="n">
        <v>0</v>
      </c>
      <c r="P241" t="n">
        <v>0</v>
      </c>
      <c r="Q241" t="n">
        <v>0</v>
      </c>
      <c r="R241" s="2" t="inlineStr"/>
    </row>
    <row r="242" ht="15" customHeight="1">
      <c r="A242" t="inlineStr">
        <is>
          <t>A 6761-2025</t>
        </is>
      </c>
      <c r="B242" s="1" t="n">
        <v>45700.62762731482</v>
      </c>
      <c r="C242" s="1" t="n">
        <v>46031</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53952-2025</t>
        </is>
      </c>
      <c r="B243" s="1" t="n">
        <v>45961.5049537037</v>
      </c>
      <c r="C243" s="1" t="n">
        <v>46031</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34898-2021</t>
        </is>
      </c>
      <c r="B244" s="1" t="n">
        <v>44383</v>
      </c>
      <c r="C244" s="1" t="n">
        <v>46031</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17075-2025</t>
        </is>
      </c>
      <c r="B245" s="1" t="n">
        <v>45755.62278935185</v>
      </c>
      <c r="C245" s="1" t="n">
        <v>46031</v>
      </c>
      <c r="D245" t="inlineStr">
        <is>
          <t>ÖREBRO LÄN</t>
        </is>
      </c>
      <c r="E245" t="inlineStr">
        <is>
          <t>HÄLLEFORS</t>
        </is>
      </c>
      <c r="F245" t="inlineStr">
        <is>
          <t>Bergvik skog väst AB</t>
        </is>
      </c>
      <c r="G245" t="n">
        <v>3.2</v>
      </c>
      <c r="H245" t="n">
        <v>0</v>
      </c>
      <c r="I245" t="n">
        <v>0</v>
      </c>
      <c r="J245" t="n">
        <v>0</v>
      </c>
      <c r="K245" t="n">
        <v>0</v>
      </c>
      <c r="L245" t="n">
        <v>0</v>
      </c>
      <c r="M245" t="n">
        <v>0</v>
      </c>
      <c r="N245" t="n">
        <v>0</v>
      </c>
      <c r="O245" t="n">
        <v>0</v>
      </c>
      <c r="P245" t="n">
        <v>0</v>
      </c>
      <c r="Q245" t="n">
        <v>0</v>
      </c>
      <c r="R245" s="2" t="inlineStr"/>
    </row>
    <row r="246" ht="15" customHeight="1">
      <c r="A246" t="inlineStr">
        <is>
          <t>A 18657-2025</t>
        </is>
      </c>
      <c r="B246" s="1" t="n">
        <v>45763.57651620371</v>
      </c>
      <c r="C246" s="1" t="n">
        <v>46031</v>
      </c>
      <c r="D246" t="inlineStr">
        <is>
          <t>ÖREBRO LÄN</t>
        </is>
      </c>
      <c r="E246" t="inlineStr">
        <is>
          <t>HÄLLEFORS</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62262-2025</t>
        </is>
      </c>
      <c r="B247" s="1" t="n">
        <v>46006.61628472222</v>
      </c>
      <c r="C247" s="1" t="n">
        <v>46031</v>
      </c>
      <c r="D247" t="inlineStr">
        <is>
          <t>ÖREBRO LÄN</t>
        </is>
      </c>
      <c r="E247" t="inlineStr">
        <is>
          <t>HÄLLEFORS</t>
        </is>
      </c>
      <c r="G247" t="n">
        <v>13.4</v>
      </c>
      <c r="H247" t="n">
        <v>0</v>
      </c>
      <c r="I247" t="n">
        <v>0</v>
      </c>
      <c r="J247" t="n">
        <v>0</v>
      </c>
      <c r="K247" t="n">
        <v>0</v>
      </c>
      <c r="L247" t="n">
        <v>0</v>
      </c>
      <c r="M247" t="n">
        <v>0</v>
      </c>
      <c r="N247" t="n">
        <v>0</v>
      </c>
      <c r="O247" t="n">
        <v>0</v>
      </c>
      <c r="P247" t="n">
        <v>0</v>
      </c>
      <c r="Q247" t="n">
        <v>0</v>
      </c>
      <c r="R247" s="2" t="inlineStr"/>
    </row>
    <row r="248" ht="15" customHeight="1">
      <c r="A248" t="inlineStr">
        <is>
          <t>A 9411-2022</t>
        </is>
      </c>
      <c r="B248" s="1" t="n">
        <v>44616</v>
      </c>
      <c r="C248" s="1" t="n">
        <v>46031</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39327-2022</t>
        </is>
      </c>
      <c r="B249" s="1" t="n">
        <v>44817</v>
      </c>
      <c r="C249" s="1" t="n">
        <v>46031</v>
      </c>
      <c r="D249" t="inlineStr">
        <is>
          <t>ÖREBRO LÄN</t>
        </is>
      </c>
      <c r="E249" t="inlineStr">
        <is>
          <t>HÄLLEFORS</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41822-2023</t>
        </is>
      </c>
      <c r="B250" s="1" t="n">
        <v>45176.56863425926</v>
      </c>
      <c r="C250" s="1" t="n">
        <v>46031</v>
      </c>
      <c r="D250" t="inlineStr">
        <is>
          <t>ÖREBRO LÄN</t>
        </is>
      </c>
      <c r="E250" t="inlineStr">
        <is>
          <t>HÄLLEFORS</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5033-2025</t>
        </is>
      </c>
      <c r="B251" s="1" t="n">
        <v>45691.425625</v>
      </c>
      <c r="C251" s="1" t="n">
        <v>46031</v>
      </c>
      <c r="D251" t="inlineStr">
        <is>
          <t>ÖREBRO LÄN</t>
        </is>
      </c>
      <c r="E251" t="inlineStr">
        <is>
          <t>HÄLLEFORS</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16169-2025</t>
        </is>
      </c>
      <c r="B252" s="1" t="n">
        <v>45750</v>
      </c>
      <c r="C252" s="1" t="n">
        <v>46031</v>
      </c>
      <c r="D252" t="inlineStr">
        <is>
          <t>ÖREBRO LÄN</t>
        </is>
      </c>
      <c r="E252" t="inlineStr">
        <is>
          <t>HÄLLEFORS</t>
        </is>
      </c>
      <c r="F252" t="inlineStr">
        <is>
          <t>Kyrkan</t>
        </is>
      </c>
      <c r="G252" t="n">
        <v>2.1</v>
      </c>
      <c r="H252" t="n">
        <v>0</v>
      </c>
      <c r="I252" t="n">
        <v>0</v>
      </c>
      <c r="J252" t="n">
        <v>0</v>
      </c>
      <c r="K252" t="n">
        <v>0</v>
      </c>
      <c r="L252" t="n">
        <v>0</v>
      </c>
      <c r="M252" t="n">
        <v>0</v>
      </c>
      <c r="N252" t="n">
        <v>0</v>
      </c>
      <c r="O252" t="n">
        <v>0</v>
      </c>
      <c r="P252" t="n">
        <v>0</v>
      </c>
      <c r="Q252" t="n">
        <v>0</v>
      </c>
      <c r="R252" s="2" t="inlineStr"/>
    </row>
    <row r="253" ht="15" customHeight="1">
      <c r="A253" t="inlineStr">
        <is>
          <t>A 17350-2025</t>
        </is>
      </c>
      <c r="B253" s="1" t="n">
        <v>45756.68074074074</v>
      </c>
      <c r="C253" s="1" t="n">
        <v>46031</v>
      </c>
      <c r="D253" t="inlineStr">
        <is>
          <t>ÖREBRO LÄN</t>
        </is>
      </c>
      <c r="E253" t="inlineStr">
        <is>
          <t>HÄLLEFORS</t>
        </is>
      </c>
      <c r="F253" t="inlineStr">
        <is>
          <t>Bergvik skog väst AB</t>
        </is>
      </c>
      <c r="G253" t="n">
        <v>6.9</v>
      </c>
      <c r="H253" t="n">
        <v>0</v>
      </c>
      <c r="I253" t="n">
        <v>0</v>
      </c>
      <c r="J253" t="n">
        <v>0</v>
      </c>
      <c r="K253" t="n">
        <v>0</v>
      </c>
      <c r="L253" t="n">
        <v>0</v>
      </c>
      <c r="M253" t="n">
        <v>0</v>
      </c>
      <c r="N253" t="n">
        <v>0</v>
      </c>
      <c r="O253" t="n">
        <v>0</v>
      </c>
      <c r="P253" t="n">
        <v>0</v>
      </c>
      <c r="Q253" t="n">
        <v>0</v>
      </c>
      <c r="R253" s="2" t="inlineStr"/>
    </row>
    <row r="254" ht="15" customHeight="1">
      <c r="A254" t="inlineStr">
        <is>
          <t>A 12082-2025</t>
        </is>
      </c>
      <c r="B254" s="1" t="n">
        <v>45728</v>
      </c>
      <c r="C254" s="1" t="n">
        <v>46031</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62400-2025</t>
        </is>
      </c>
      <c r="B255" s="1" t="n">
        <v>46007.40847222223</v>
      </c>
      <c r="C255" s="1" t="n">
        <v>46031</v>
      </c>
      <c r="D255" t="inlineStr">
        <is>
          <t>ÖREBRO LÄN</t>
        </is>
      </c>
      <c r="E255" t="inlineStr">
        <is>
          <t>HÄLLEFORS</t>
        </is>
      </c>
      <c r="F255" t="inlineStr">
        <is>
          <t>Bergvik skog väst AB</t>
        </is>
      </c>
      <c r="G255" t="n">
        <v>7.3</v>
      </c>
      <c r="H255" t="n">
        <v>0</v>
      </c>
      <c r="I255" t="n">
        <v>0</v>
      </c>
      <c r="J255" t="n">
        <v>0</v>
      </c>
      <c r="K255" t="n">
        <v>0</v>
      </c>
      <c r="L255" t="n">
        <v>0</v>
      </c>
      <c r="M255" t="n">
        <v>0</v>
      </c>
      <c r="N255" t="n">
        <v>0</v>
      </c>
      <c r="O255" t="n">
        <v>0</v>
      </c>
      <c r="P255" t="n">
        <v>0</v>
      </c>
      <c r="Q255" t="n">
        <v>0</v>
      </c>
      <c r="R255" s="2" t="inlineStr"/>
    </row>
    <row r="256" ht="15" customHeight="1">
      <c r="A256" t="inlineStr">
        <is>
          <t>A 27513-2021</t>
        </is>
      </c>
      <c r="B256" s="1" t="n">
        <v>44351</v>
      </c>
      <c r="C256" s="1" t="n">
        <v>46031</v>
      </c>
      <c r="D256" t="inlineStr">
        <is>
          <t>ÖREBRO LÄN</t>
        </is>
      </c>
      <c r="E256" t="inlineStr">
        <is>
          <t>HÄLLEFORS</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17810-2025</t>
        </is>
      </c>
      <c r="B257" s="1" t="n">
        <v>45758.55883101852</v>
      </c>
      <c r="C257" s="1" t="n">
        <v>46031</v>
      </c>
      <c r="D257" t="inlineStr">
        <is>
          <t>ÖREBRO LÄN</t>
        </is>
      </c>
      <c r="E257" t="inlineStr">
        <is>
          <t>HÄLLEFORS</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17811-2025</t>
        </is>
      </c>
      <c r="B258" s="1" t="n">
        <v>45758.5594212963</v>
      </c>
      <c r="C258" s="1" t="n">
        <v>46031</v>
      </c>
      <c r="D258" t="inlineStr">
        <is>
          <t>ÖREBRO LÄN</t>
        </is>
      </c>
      <c r="E258" t="inlineStr">
        <is>
          <t>HÄLLEFORS</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62846-2025</t>
        </is>
      </c>
      <c r="B259" s="1" t="n">
        <v>46008.69574074074</v>
      </c>
      <c r="C259" s="1" t="n">
        <v>46031</v>
      </c>
      <c r="D259" t="inlineStr">
        <is>
          <t>ÖREBRO LÄN</t>
        </is>
      </c>
      <c r="E259" t="inlineStr">
        <is>
          <t>HÄLLEFORS</t>
        </is>
      </c>
      <c r="G259" t="n">
        <v>0.2</v>
      </c>
      <c r="H259" t="n">
        <v>0</v>
      </c>
      <c r="I259" t="n">
        <v>0</v>
      </c>
      <c r="J259" t="n">
        <v>0</v>
      </c>
      <c r="K259" t="n">
        <v>0</v>
      </c>
      <c r="L259" t="n">
        <v>0</v>
      </c>
      <c r="M259" t="n">
        <v>0</v>
      </c>
      <c r="N259" t="n">
        <v>0</v>
      </c>
      <c r="O259" t="n">
        <v>0</v>
      </c>
      <c r="P259" t="n">
        <v>0</v>
      </c>
      <c r="Q259" t="n">
        <v>0</v>
      </c>
      <c r="R259" s="2" t="inlineStr"/>
    </row>
    <row r="260" ht="15" customHeight="1">
      <c r="A260" t="inlineStr">
        <is>
          <t>A 62857-2025</t>
        </is>
      </c>
      <c r="B260" s="1" t="n">
        <v>46008.74070601852</v>
      </c>
      <c r="C260" s="1" t="n">
        <v>46031</v>
      </c>
      <c r="D260" t="inlineStr">
        <is>
          <t>ÖREBRO LÄN</t>
        </is>
      </c>
      <c r="E260" t="inlineStr">
        <is>
          <t>HÄLLEFORS</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62848-2025</t>
        </is>
      </c>
      <c r="B261" s="1" t="n">
        <v>46008.6987037037</v>
      </c>
      <c r="C261" s="1" t="n">
        <v>46031</v>
      </c>
      <c r="D261" t="inlineStr">
        <is>
          <t>ÖREBRO LÄN</t>
        </is>
      </c>
      <c r="E261" t="inlineStr">
        <is>
          <t>HÄLLEFORS</t>
        </is>
      </c>
      <c r="G261" t="n">
        <v>0.2</v>
      </c>
      <c r="H261" t="n">
        <v>0</v>
      </c>
      <c r="I261" t="n">
        <v>0</v>
      </c>
      <c r="J261" t="n">
        <v>0</v>
      </c>
      <c r="K261" t="n">
        <v>0</v>
      </c>
      <c r="L261" t="n">
        <v>0</v>
      </c>
      <c r="M261" t="n">
        <v>0</v>
      </c>
      <c r="N261" t="n">
        <v>0</v>
      </c>
      <c r="O261" t="n">
        <v>0</v>
      </c>
      <c r="P261" t="n">
        <v>0</v>
      </c>
      <c r="Q261" t="n">
        <v>0</v>
      </c>
      <c r="R261" s="2" t="inlineStr"/>
    </row>
    <row r="262" ht="15" customHeight="1">
      <c r="A262" t="inlineStr">
        <is>
          <t>A 62841-2025</t>
        </is>
      </c>
      <c r="B262" s="1" t="n">
        <v>46008.69076388889</v>
      </c>
      <c r="C262" s="1" t="n">
        <v>46031</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33944-2024</t>
        </is>
      </c>
      <c r="B263" s="1" t="n">
        <v>45523</v>
      </c>
      <c r="C263" s="1" t="n">
        <v>46031</v>
      </c>
      <c r="D263" t="inlineStr">
        <is>
          <t>ÖREBRO LÄN</t>
        </is>
      </c>
      <c r="E263" t="inlineStr">
        <is>
          <t>HÄLLEFORS</t>
        </is>
      </c>
      <c r="G263" t="n">
        <v>5.9</v>
      </c>
      <c r="H263" t="n">
        <v>0</v>
      </c>
      <c r="I263" t="n">
        <v>0</v>
      </c>
      <c r="J263" t="n">
        <v>0</v>
      </c>
      <c r="K263" t="n">
        <v>0</v>
      </c>
      <c r="L263" t="n">
        <v>0</v>
      </c>
      <c r="M263" t="n">
        <v>0</v>
      </c>
      <c r="N263" t="n">
        <v>0</v>
      </c>
      <c r="O263" t="n">
        <v>0</v>
      </c>
      <c r="P263" t="n">
        <v>0</v>
      </c>
      <c r="Q263" t="n">
        <v>0</v>
      </c>
      <c r="R263" s="2" t="inlineStr"/>
    </row>
    <row r="264" ht="15" customHeight="1">
      <c r="A264" t="inlineStr">
        <is>
          <t>A 23561-2023</t>
        </is>
      </c>
      <c r="B264" s="1" t="n">
        <v>45077.39368055556</v>
      </c>
      <c r="C264" s="1" t="n">
        <v>46031</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67953-2021</t>
        </is>
      </c>
      <c r="B265" s="1" t="n">
        <v>44525.63929398148</v>
      </c>
      <c r="C265" s="1" t="n">
        <v>46031</v>
      </c>
      <c r="D265" t="inlineStr">
        <is>
          <t>ÖREBRO LÄN</t>
        </is>
      </c>
      <c r="E265" t="inlineStr">
        <is>
          <t>HÄLLEFORS</t>
        </is>
      </c>
      <c r="G265" t="n">
        <v>2</v>
      </c>
      <c r="H265" t="n">
        <v>0</v>
      </c>
      <c r="I265" t="n">
        <v>0</v>
      </c>
      <c r="J265" t="n">
        <v>0</v>
      </c>
      <c r="K265" t="n">
        <v>0</v>
      </c>
      <c r="L265" t="n">
        <v>0</v>
      </c>
      <c r="M265" t="n">
        <v>0</v>
      </c>
      <c r="N265" t="n">
        <v>0</v>
      </c>
      <c r="O265" t="n">
        <v>0</v>
      </c>
      <c r="P265" t="n">
        <v>0</v>
      </c>
      <c r="Q265" t="n">
        <v>0</v>
      </c>
      <c r="R265" s="2" t="inlineStr"/>
    </row>
    <row r="266" ht="15" customHeight="1">
      <c r="A266" t="inlineStr">
        <is>
          <t>A 55183-2025</t>
        </is>
      </c>
      <c r="B266" s="1" t="n">
        <v>45968.533125</v>
      </c>
      <c r="C266" s="1" t="n">
        <v>46031</v>
      </c>
      <c r="D266" t="inlineStr">
        <is>
          <t>ÖREBRO LÄN</t>
        </is>
      </c>
      <c r="E266" t="inlineStr">
        <is>
          <t>HÄLLEFORS</t>
        </is>
      </c>
      <c r="G266" t="n">
        <v>0.7</v>
      </c>
      <c r="H266" t="n">
        <v>0</v>
      </c>
      <c r="I266" t="n">
        <v>0</v>
      </c>
      <c r="J266" t="n">
        <v>0</v>
      </c>
      <c r="K266" t="n">
        <v>0</v>
      </c>
      <c r="L266" t="n">
        <v>0</v>
      </c>
      <c r="M266" t="n">
        <v>0</v>
      </c>
      <c r="N266" t="n">
        <v>0</v>
      </c>
      <c r="O266" t="n">
        <v>0</v>
      </c>
      <c r="P266" t="n">
        <v>0</v>
      </c>
      <c r="Q266" t="n">
        <v>0</v>
      </c>
      <c r="R266" s="2" t="inlineStr"/>
    </row>
    <row r="267" ht="15" customHeight="1">
      <c r="A267" t="inlineStr">
        <is>
          <t>A 9536-2025</t>
        </is>
      </c>
      <c r="B267" s="1" t="n">
        <v>45715.57746527778</v>
      </c>
      <c r="C267" s="1" t="n">
        <v>46031</v>
      </c>
      <c r="D267" t="inlineStr">
        <is>
          <t>ÖREBRO LÄN</t>
        </is>
      </c>
      <c r="E267" t="inlineStr">
        <is>
          <t>HÄLLEFORS</t>
        </is>
      </c>
      <c r="G267" t="n">
        <v>1.5</v>
      </c>
      <c r="H267" t="n">
        <v>0</v>
      </c>
      <c r="I267" t="n">
        <v>0</v>
      </c>
      <c r="J267" t="n">
        <v>0</v>
      </c>
      <c r="K267" t="n">
        <v>0</v>
      </c>
      <c r="L267" t="n">
        <v>0</v>
      </c>
      <c r="M267" t="n">
        <v>0</v>
      </c>
      <c r="N267" t="n">
        <v>0</v>
      </c>
      <c r="O267" t="n">
        <v>0</v>
      </c>
      <c r="P267" t="n">
        <v>0</v>
      </c>
      <c r="Q267" t="n">
        <v>0</v>
      </c>
      <c r="R267" s="2" t="inlineStr"/>
    </row>
    <row r="268" ht="15" customHeight="1">
      <c r="A268" t="inlineStr">
        <is>
          <t>A 9539-2025</t>
        </is>
      </c>
      <c r="B268" s="1" t="n">
        <v>45715.57984953704</v>
      </c>
      <c r="C268" s="1" t="n">
        <v>46031</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5256-2025</t>
        </is>
      </c>
      <c r="B269" s="1" t="n">
        <v>45692.36032407408</v>
      </c>
      <c r="C269" s="1" t="n">
        <v>46031</v>
      </c>
      <c r="D269" t="inlineStr">
        <is>
          <t>ÖREBRO LÄN</t>
        </is>
      </c>
      <c r="E269" t="inlineStr">
        <is>
          <t>HÄLLEFORS</t>
        </is>
      </c>
      <c r="F269" t="inlineStr">
        <is>
          <t>Bergvik skog väst AB</t>
        </is>
      </c>
      <c r="G269" t="n">
        <v>6.3</v>
      </c>
      <c r="H269" t="n">
        <v>0</v>
      </c>
      <c r="I269" t="n">
        <v>0</v>
      </c>
      <c r="J269" t="n">
        <v>0</v>
      </c>
      <c r="K269" t="n">
        <v>0</v>
      </c>
      <c r="L269" t="n">
        <v>0</v>
      </c>
      <c r="M269" t="n">
        <v>0</v>
      </c>
      <c r="N269" t="n">
        <v>0</v>
      </c>
      <c r="O269" t="n">
        <v>0</v>
      </c>
      <c r="P269" t="n">
        <v>0</v>
      </c>
      <c r="Q269" t="n">
        <v>0</v>
      </c>
      <c r="R269" s="2" t="inlineStr"/>
    </row>
    <row r="270" ht="15" customHeight="1">
      <c r="A270" t="inlineStr">
        <is>
          <t>A 35183-2023</t>
        </is>
      </c>
      <c r="B270" s="1" t="n">
        <v>45145.59578703704</v>
      </c>
      <c r="C270" s="1" t="n">
        <v>46031</v>
      </c>
      <c r="D270" t="inlineStr">
        <is>
          <t>ÖREBRO LÄN</t>
        </is>
      </c>
      <c r="E270" t="inlineStr">
        <is>
          <t>HÄLLEFORS</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63614-2025</t>
        </is>
      </c>
      <c r="B271" s="1" t="n">
        <v>46014.34587962963</v>
      </c>
      <c r="C271" s="1" t="n">
        <v>46031</v>
      </c>
      <c r="D271" t="inlineStr">
        <is>
          <t>ÖREBRO LÄN</t>
        </is>
      </c>
      <c r="E271" t="inlineStr">
        <is>
          <t>HÄLLEFORS</t>
        </is>
      </c>
      <c r="F271" t="inlineStr">
        <is>
          <t>Bergvik skog väst AB</t>
        </is>
      </c>
      <c r="G271" t="n">
        <v>1.9</v>
      </c>
      <c r="H271" t="n">
        <v>0</v>
      </c>
      <c r="I271" t="n">
        <v>0</v>
      </c>
      <c r="J271" t="n">
        <v>0</v>
      </c>
      <c r="K271" t="n">
        <v>0</v>
      </c>
      <c r="L271" t="n">
        <v>0</v>
      </c>
      <c r="M271" t="n">
        <v>0</v>
      </c>
      <c r="N271" t="n">
        <v>0</v>
      </c>
      <c r="O271" t="n">
        <v>0</v>
      </c>
      <c r="P271" t="n">
        <v>0</v>
      </c>
      <c r="Q271" t="n">
        <v>0</v>
      </c>
      <c r="R271" s="2" t="inlineStr"/>
    </row>
    <row r="272" ht="15" customHeight="1">
      <c r="A272" t="inlineStr">
        <is>
          <t>A 16135-2025</t>
        </is>
      </c>
      <c r="B272" s="1" t="n">
        <v>45750.44355324074</v>
      </c>
      <c r="C272" s="1" t="n">
        <v>46031</v>
      </c>
      <c r="D272" t="inlineStr">
        <is>
          <t>ÖREBRO LÄN</t>
        </is>
      </c>
      <c r="E272" t="inlineStr">
        <is>
          <t>HÄLLEFORS</t>
        </is>
      </c>
      <c r="F272" t="inlineStr">
        <is>
          <t>Kyrkan</t>
        </is>
      </c>
      <c r="G272" t="n">
        <v>4.6</v>
      </c>
      <c r="H272" t="n">
        <v>0</v>
      </c>
      <c r="I272" t="n">
        <v>0</v>
      </c>
      <c r="J272" t="n">
        <v>0</v>
      </c>
      <c r="K272" t="n">
        <v>0</v>
      </c>
      <c r="L272" t="n">
        <v>0</v>
      </c>
      <c r="M272" t="n">
        <v>0</v>
      </c>
      <c r="N272" t="n">
        <v>0</v>
      </c>
      <c r="O272" t="n">
        <v>0</v>
      </c>
      <c r="P272" t="n">
        <v>0</v>
      </c>
      <c r="Q272" t="n">
        <v>0</v>
      </c>
      <c r="R272" s="2" t="inlineStr"/>
    </row>
    <row r="273" ht="15" customHeight="1">
      <c r="A273" t="inlineStr">
        <is>
          <t>A 17045-2025</t>
        </is>
      </c>
      <c r="B273" s="1" t="n">
        <v>45755.59307870371</v>
      </c>
      <c r="C273" s="1" t="n">
        <v>46031</v>
      </c>
      <c r="D273" t="inlineStr">
        <is>
          <t>ÖREBRO LÄN</t>
        </is>
      </c>
      <c r="E273" t="inlineStr">
        <is>
          <t>HÄLLEFORS</t>
        </is>
      </c>
      <c r="F273" t="inlineStr">
        <is>
          <t>Bergvik skog väst AB</t>
        </is>
      </c>
      <c r="G273" t="n">
        <v>4.8</v>
      </c>
      <c r="H273" t="n">
        <v>0</v>
      </c>
      <c r="I273" t="n">
        <v>0</v>
      </c>
      <c r="J273" t="n">
        <v>0</v>
      </c>
      <c r="K273" t="n">
        <v>0</v>
      </c>
      <c r="L273" t="n">
        <v>0</v>
      </c>
      <c r="M273" t="n">
        <v>0</v>
      </c>
      <c r="N273" t="n">
        <v>0</v>
      </c>
      <c r="O273" t="n">
        <v>0</v>
      </c>
      <c r="P273" t="n">
        <v>0</v>
      </c>
      <c r="Q273" t="n">
        <v>0</v>
      </c>
      <c r="R273" s="2" t="inlineStr"/>
    </row>
    <row r="274" ht="15" customHeight="1">
      <c r="A274" t="inlineStr">
        <is>
          <t>A 24359-2023</t>
        </is>
      </c>
      <c r="B274" s="1" t="n">
        <v>45082</v>
      </c>
      <c r="C274" s="1" t="n">
        <v>46031</v>
      </c>
      <c r="D274" t="inlineStr">
        <is>
          <t>ÖREBRO LÄN</t>
        </is>
      </c>
      <c r="E274" t="inlineStr">
        <is>
          <t>HÄLLEFORS</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46031</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44792.64494212963</v>
      </c>
      <c r="C276" s="1" t="n">
        <v>46031</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5245-2025</t>
        </is>
      </c>
      <c r="B277" s="1" t="n">
        <v>45692</v>
      </c>
      <c r="C277" s="1" t="n">
        <v>46031</v>
      </c>
      <c r="D277" t="inlineStr">
        <is>
          <t>ÖREBRO LÄN</t>
        </is>
      </c>
      <c r="E277" t="inlineStr">
        <is>
          <t>HÄLLEFORS</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38908-2021</t>
        </is>
      </c>
      <c r="B278" s="1" t="n">
        <v>44411</v>
      </c>
      <c r="C278" s="1" t="n">
        <v>46031</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12558-2025</t>
        </is>
      </c>
      <c r="B279" s="1" t="n">
        <v>45731.46960648148</v>
      </c>
      <c r="C279" s="1" t="n">
        <v>46031</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51088-2022</t>
        </is>
      </c>
      <c r="B280" s="1" t="n">
        <v>44868.3935300926</v>
      </c>
      <c r="C280" s="1" t="n">
        <v>46031</v>
      </c>
      <c r="D280" t="inlineStr">
        <is>
          <t>ÖREBRO LÄN</t>
        </is>
      </c>
      <c r="E280" t="inlineStr">
        <is>
          <t>HÄLLEFORS</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9906-2024</t>
        </is>
      </c>
      <c r="B281" s="1" t="n">
        <v>45363.53322916666</v>
      </c>
      <c r="C281" s="1" t="n">
        <v>46031</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44905-2021</t>
        </is>
      </c>
      <c r="B282" s="1" t="n">
        <v>44438.65045138889</v>
      </c>
      <c r="C282" s="1" t="n">
        <v>46031</v>
      </c>
      <c r="D282" t="inlineStr">
        <is>
          <t>ÖREBRO LÄN</t>
        </is>
      </c>
      <c r="E282" t="inlineStr">
        <is>
          <t>HÄLLEFORS</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37232-2025</t>
        </is>
      </c>
      <c r="B283" s="1" t="n">
        <v>45876.34452546296</v>
      </c>
      <c r="C283" s="1" t="n">
        <v>46031</v>
      </c>
      <c r="D283" t="inlineStr">
        <is>
          <t>ÖREBRO LÄN</t>
        </is>
      </c>
      <c r="E283" t="inlineStr">
        <is>
          <t>HÄLLEFORS</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46031</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45037.50085648148</v>
      </c>
      <c r="C285" s="1" t="n">
        <v>46031</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46031</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45758.35846064815</v>
      </c>
      <c r="C287" s="1" t="n">
        <v>46031</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71766-2021</t>
        </is>
      </c>
      <c r="B288" s="1" t="n">
        <v>44543</v>
      </c>
      <c r="C288" s="1" t="n">
        <v>46031</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23037-2024</t>
        </is>
      </c>
      <c r="B289" s="1" t="n">
        <v>45450.3955787037</v>
      </c>
      <c r="C289" s="1" t="n">
        <v>46031</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38148-2025</t>
        </is>
      </c>
      <c r="B290" s="1" t="n">
        <v>45882.58855324074</v>
      </c>
      <c r="C290" s="1" t="n">
        <v>46031</v>
      </c>
      <c r="D290" t="inlineStr">
        <is>
          <t>ÖREBRO LÄN</t>
        </is>
      </c>
      <c r="E290" t="inlineStr">
        <is>
          <t>HÄLLEFORS</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59485-2022</t>
        </is>
      </c>
      <c r="B291" s="1" t="n">
        <v>44907</v>
      </c>
      <c r="C291" s="1" t="n">
        <v>46031</v>
      </c>
      <c r="D291" t="inlineStr">
        <is>
          <t>ÖREBRO LÄN</t>
        </is>
      </c>
      <c r="E291" t="inlineStr">
        <is>
          <t>HÄLLEFORS</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38532-2025</t>
        </is>
      </c>
      <c r="B292" s="1" t="n">
        <v>45884</v>
      </c>
      <c r="C292" s="1" t="n">
        <v>46031</v>
      </c>
      <c r="D292" t="inlineStr">
        <is>
          <t>ÖREBRO LÄN</t>
        </is>
      </c>
      <c r="E292" t="inlineStr">
        <is>
          <t>HÄLLEFORS</t>
        </is>
      </c>
      <c r="F292" t="inlineStr">
        <is>
          <t>Bergvik skog väst AB</t>
        </is>
      </c>
      <c r="G292" t="n">
        <v>6.6</v>
      </c>
      <c r="H292" t="n">
        <v>0</v>
      </c>
      <c r="I292" t="n">
        <v>0</v>
      </c>
      <c r="J292" t="n">
        <v>0</v>
      </c>
      <c r="K292" t="n">
        <v>0</v>
      </c>
      <c r="L292" t="n">
        <v>0</v>
      </c>
      <c r="M292" t="n">
        <v>0</v>
      </c>
      <c r="N292" t="n">
        <v>0</v>
      </c>
      <c r="O292" t="n">
        <v>0</v>
      </c>
      <c r="P292" t="n">
        <v>0</v>
      </c>
      <c r="Q292" t="n">
        <v>0</v>
      </c>
      <c r="R292" s="2" t="inlineStr"/>
    </row>
    <row r="293" ht="15" customHeight="1">
      <c r="A293" t="inlineStr">
        <is>
          <t>A 55300-2023</t>
        </is>
      </c>
      <c r="B293" s="1" t="n">
        <v>45237.83621527778</v>
      </c>
      <c r="C293" s="1" t="n">
        <v>46031</v>
      </c>
      <c r="D293" t="inlineStr">
        <is>
          <t>ÖREBRO LÄN</t>
        </is>
      </c>
      <c r="E293" t="inlineStr">
        <is>
          <t>HÄLLEFORS</t>
        </is>
      </c>
      <c r="F293" t="inlineStr">
        <is>
          <t>Bergvik skog väst AB</t>
        </is>
      </c>
      <c r="G293" t="n">
        <v>5.1</v>
      </c>
      <c r="H293" t="n">
        <v>0</v>
      </c>
      <c r="I293" t="n">
        <v>0</v>
      </c>
      <c r="J293" t="n">
        <v>0</v>
      </c>
      <c r="K293" t="n">
        <v>0</v>
      </c>
      <c r="L293" t="n">
        <v>0</v>
      </c>
      <c r="M293" t="n">
        <v>0</v>
      </c>
      <c r="N293" t="n">
        <v>0</v>
      </c>
      <c r="O293" t="n">
        <v>0</v>
      </c>
      <c r="P293" t="n">
        <v>0</v>
      </c>
      <c r="Q293" t="n">
        <v>0</v>
      </c>
      <c r="R293" s="2" t="inlineStr"/>
    </row>
    <row r="294" ht="15" customHeight="1">
      <c r="A294" t="inlineStr">
        <is>
          <t>A 15073-2022</t>
        </is>
      </c>
      <c r="B294" s="1" t="n">
        <v>44657</v>
      </c>
      <c r="C294" s="1" t="n">
        <v>46031</v>
      </c>
      <c r="D294" t="inlineStr">
        <is>
          <t>ÖREBRO LÄN</t>
        </is>
      </c>
      <c r="E294" t="inlineStr">
        <is>
          <t>HÄLLEFORS</t>
        </is>
      </c>
      <c r="G294" t="n">
        <v>2.3</v>
      </c>
      <c r="H294" t="n">
        <v>0</v>
      </c>
      <c r="I294" t="n">
        <v>0</v>
      </c>
      <c r="J294" t="n">
        <v>0</v>
      </c>
      <c r="K294" t="n">
        <v>0</v>
      </c>
      <c r="L294" t="n">
        <v>0</v>
      </c>
      <c r="M294" t="n">
        <v>0</v>
      </c>
      <c r="N294" t="n">
        <v>0</v>
      </c>
      <c r="O294" t="n">
        <v>0</v>
      </c>
      <c r="P294" t="n">
        <v>0</v>
      </c>
      <c r="Q294" t="n">
        <v>0</v>
      </c>
      <c r="R294" s="2" t="inlineStr"/>
    </row>
    <row r="295" ht="15" customHeight="1">
      <c r="A295" t="inlineStr">
        <is>
          <t>A 30282-2023</t>
        </is>
      </c>
      <c r="B295" s="1" t="n">
        <v>45110.90550925926</v>
      </c>
      <c r="C295" s="1" t="n">
        <v>46031</v>
      </c>
      <c r="D295" t="inlineStr">
        <is>
          <t>ÖREBRO LÄN</t>
        </is>
      </c>
      <c r="E295" t="inlineStr">
        <is>
          <t>HÄLLEFORS</t>
        </is>
      </c>
      <c r="G295" t="n">
        <v>1.9</v>
      </c>
      <c r="H295" t="n">
        <v>0</v>
      </c>
      <c r="I295" t="n">
        <v>0</v>
      </c>
      <c r="J295" t="n">
        <v>0</v>
      </c>
      <c r="K295" t="n">
        <v>0</v>
      </c>
      <c r="L295" t="n">
        <v>0</v>
      </c>
      <c r="M295" t="n">
        <v>0</v>
      </c>
      <c r="N295" t="n">
        <v>0</v>
      </c>
      <c r="O295" t="n">
        <v>0</v>
      </c>
      <c r="P295" t="n">
        <v>0</v>
      </c>
      <c r="Q295" t="n">
        <v>0</v>
      </c>
      <c r="R295" s="2" t="inlineStr"/>
    </row>
    <row r="296" ht="15" customHeight="1">
      <c r="A296" t="inlineStr">
        <is>
          <t>A 35188-2023</t>
        </is>
      </c>
      <c r="B296" s="1" t="n">
        <v>45145.60365740741</v>
      </c>
      <c r="C296" s="1" t="n">
        <v>46031</v>
      </c>
      <c r="D296" t="inlineStr">
        <is>
          <t>ÖREBRO LÄN</t>
        </is>
      </c>
      <c r="E296" t="inlineStr">
        <is>
          <t>HÄLLEFORS</t>
        </is>
      </c>
      <c r="F296" t="inlineStr">
        <is>
          <t>Bergvik skog väst AB</t>
        </is>
      </c>
      <c r="G296" t="n">
        <v>12.9</v>
      </c>
      <c r="H296" t="n">
        <v>0</v>
      </c>
      <c r="I296" t="n">
        <v>0</v>
      </c>
      <c r="J296" t="n">
        <v>0</v>
      </c>
      <c r="K296" t="n">
        <v>0</v>
      </c>
      <c r="L296" t="n">
        <v>0</v>
      </c>
      <c r="M296" t="n">
        <v>0</v>
      </c>
      <c r="N296" t="n">
        <v>0</v>
      </c>
      <c r="O296" t="n">
        <v>0</v>
      </c>
      <c r="P296" t="n">
        <v>0</v>
      </c>
      <c r="Q296" t="n">
        <v>0</v>
      </c>
      <c r="R296" s="2" t="inlineStr"/>
    </row>
    <row r="297" ht="15" customHeight="1">
      <c r="A297" t="inlineStr">
        <is>
          <t>A 38010-2024</t>
        </is>
      </c>
      <c r="B297" s="1" t="n">
        <v>45544.62276620371</v>
      </c>
      <c r="C297" s="1" t="n">
        <v>46031</v>
      </c>
      <c r="D297" t="inlineStr">
        <is>
          <t>ÖREBRO LÄN</t>
        </is>
      </c>
      <c r="E297" t="inlineStr">
        <is>
          <t>HÄLLEFORS</t>
        </is>
      </c>
      <c r="G297" t="n">
        <v>22.7</v>
      </c>
      <c r="H297" t="n">
        <v>0</v>
      </c>
      <c r="I297" t="n">
        <v>0</v>
      </c>
      <c r="J297" t="n">
        <v>0</v>
      </c>
      <c r="K297" t="n">
        <v>0</v>
      </c>
      <c r="L297" t="n">
        <v>0</v>
      </c>
      <c r="M297" t="n">
        <v>0</v>
      </c>
      <c r="N297" t="n">
        <v>0</v>
      </c>
      <c r="O297" t="n">
        <v>0</v>
      </c>
      <c r="P297" t="n">
        <v>0</v>
      </c>
      <c r="Q297" t="n">
        <v>0</v>
      </c>
      <c r="R297" s="2" t="inlineStr"/>
    </row>
    <row r="298" ht="15" customHeight="1">
      <c r="A298" t="inlineStr">
        <is>
          <t>A 30592-2024</t>
        </is>
      </c>
      <c r="B298" s="1" t="n">
        <v>45493.31666666667</v>
      </c>
      <c r="C298" s="1" t="n">
        <v>46031</v>
      </c>
      <c r="D298" t="inlineStr">
        <is>
          <t>ÖREBRO LÄN</t>
        </is>
      </c>
      <c r="E298" t="inlineStr">
        <is>
          <t>HÄLLEFORS</t>
        </is>
      </c>
      <c r="G298" t="n">
        <v>7.1</v>
      </c>
      <c r="H298" t="n">
        <v>0</v>
      </c>
      <c r="I298" t="n">
        <v>0</v>
      </c>
      <c r="J298" t="n">
        <v>0</v>
      </c>
      <c r="K298" t="n">
        <v>0</v>
      </c>
      <c r="L298" t="n">
        <v>0</v>
      </c>
      <c r="M298" t="n">
        <v>0</v>
      </c>
      <c r="N298" t="n">
        <v>0</v>
      </c>
      <c r="O298" t="n">
        <v>0</v>
      </c>
      <c r="P298" t="n">
        <v>0</v>
      </c>
      <c r="Q298" t="n">
        <v>0</v>
      </c>
      <c r="R298" s="2" t="inlineStr"/>
    </row>
    <row r="299" ht="15" customHeight="1">
      <c r="A299" t="inlineStr">
        <is>
          <t>A 7774-2022</t>
        </is>
      </c>
      <c r="B299" s="1" t="n">
        <v>44608.45725694444</v>
      </c>
      <c r="C299" s="1" t="n">
        <v>46031</v>
      </c>
      <c r="D299" t="inlineStr">
        <is>
          <t>ÖREBRO LÄN</t>
        </is>
      </c>
      <c r="E299" t="inlineStr">
        <is>
          <t>HÄLLEFORS</t>
        </is>
      </c>
      <c r="G299" t="n">
        <v>0.9</v>
      </c>
      <c r="H299" t="n">
        <v>0</v>
      </c>
      <c r="I299" t="n">
        <v>0</v>
      </c>
      <c r="J299" t="n">
        <v>0</v>
      </c>
      <c r="K299" t="n">
        <v>0</v>
      </c>
      <c r="L299" t="n">
        <v>0</v>
      </c>
      <c r="M299" t="n">
        <v>0</v>
      </c>
      <c r="N299" t="n">
        <v>0</v>
      </c>
      <c r="O299" t="n">
        <v>0</v>
      </c>
      <c r="P299" t="n">
        <v>0</v>
      </c>
      <c r="Q299" t="n">
        <v>0</v>
      </c>
      <c r="R299" s="2" t="inlineStr"/>
    </row>
    <row r="300" ht="15" customHeight="1">
      <c r="A300" t="inlineStr">
        <is>
          <t>A 41193-2023</t>
        </is>
      </c>
      <c r="B300" s="1" t="n">
        <v>45174</v>
      </c>
      <c r="C300" s="1" t="n">
        <v>46031</v>
      </c>
      <c r="D300" t="inlineStr">
        <is>
          <t>ÖREBRO LÄN</t>
        </is>
      </c>
      <c r="E300" t="inlineStr">
        <is>
          <t>HÄLLEFORS</t>
        </is>
      </c>
      <c r="F300" t="inlineStr">
        <is>
          <t>Bergvik skog väst AB</t>
        </is>
      </c>
      <c r="G300" t="n">
        <v>10.9</v>
      </c>
      <c r="H300" t="n">
        <v>0</v>
      </c>
      <c r="I300" t="n">
        <v>0</v>
      </c>
      <c r="J300" t="n">
        <v>0</v>
      </c>
      <c r="K300" t="n">
        <v>0</v>
      </c>
      <c r="L300" t="n">
        <v>0</v>
      </c>
      <c r="M300" t="n">
        <v>0</v>
      </c>
      <c r="N300" t="n">
        <v>0</v>
      </c>
      <c r="O300" t="n">
        <v>0</v>
      </c>
      <c r="P300" t="n">
        <v>0</v>
      </c>
      <c r="Q300" t="n">
        <v>0</v>
      </c>
      <c r="R300" s="2" t="inlineStr"/>
    </row>
    <row r="301" ht="15" customHeight="1">
      <c r="A301" t="inlineStr">
        <is>
          <t>A 39513-2024</t>
        </is>
      </c>
      <c r="B301" s="1" t="n">
        <v>45551</v>
      </c>
      <c r="C301" s="1" t="n">
        <v>46031</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49709-2023</t>
        </is>
      </c>
      <c r="B302" s="1" t="n">
        <v>45212</v>
      </c>
      <c r="C302" s="1" t="n">
        <v>46031</v>
      </c>
      <c r="D302" t="inlineStr">
        <is>
          <t>ÖREBRO LÄN</t>
        </is>
      </c>
      <c r="E302" t="inlineStr">
        <is>
          <t>HÄLLEFORS</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27935-2023</t>
        </is>
      </c>
      <c r="B303" s="1" t="n">
        <v>45098.65641203704</v>
      </c>
      <c r="C303" s="1" t="n">
        <v>46031</v>
      </c>
      <c r="D303" t="inlineStr">
        <is>
          <t>ÖREBRO LÄN</t>
        </is>
      </c>
      <c r="E303" t="inlineStr">
        <is>
          <t>HÄLLEFORS</t>
        </is>
      </c>
      <c r="G303" t="n">
        <v>1.1</v>
      </c>
      <c r="H303" t="n">
        <v>0</v>
      </c>
      <c r="I303" t="n">
        <v>0</v>
      </c>
      <c r="J303" t="n">
        <v>0</v>
      </c>
      <c r="K303" t="n">
        <v>0</v>
      </c>
      <c r="L303" t="n">
        <v>0</v>
      </c>
      <c r="M303" t="n">
        <v>0</v>
      </c>
      <c r="N303" t="n">
        <v>0</v>
      </c>
      <c r="O303" t="n">
        <v>0</v>
      </c>
      <c r="P303" t="n">
        <v>0</v>
      </c>
      <c r="Q303" t="n">
        <v>0</v>
      </c>
      <c r="R303" s="2" t="inlineStr"/>
    </row>
    <row r="304" ht="15" customHeight="1">
      <c r="A304" t="inlineStr">
        <is>
          <t>A 38429-2023</t>
        </is>
      </c>
      <c r="B304" s="1" t="n">
        <v>45162</v>
      </c>
      <c r="C304" s="1" t="n">
        <v>46031</v>
      </c>
      <c r="D304" t="inlineStr">
        <is>
          <t>ÖREBRO LÄN</t>
        </is>
      </c>
      <c r="E304" t="inlineStr">
        <is>
          <t>HÄLLEFORS</t>
        </is>
      </c>
      <c r="F304" t="inlineStr">
        <is>
          <t>Bergvik skog väst AB</t>
        </is>
      </c>
      <c r="G304" t="n">
        <v>6</v>
      </c>
      <c r="H304" t="n">
        <v>0</v>
      </c>
      <c r="I304" t="n">
        <v>0</v>
      </c>
      <c r="J304" t="n">
        <v>0</v>
      </c>
      <c r="K304" t="n">
        <v>0</v>
      </c>
      <c r="L304" t="n">
        <v>0</v>
      </c>
      <c r="M304" t="n">
        <v>0</v>
      </c>
      <c r="N304" t="n">
        <v>0</v>
      </c>
      <c r="O304" t="n">
        <v>0</v>
      </c>
      <c r="P304" t="n">
        <v>0</v>
      </c>
      <c r="Q304" t="n">
        <v>0</v>
      </c>
      <c r="R304" s="2" t="inlineStr"/>
    </row>
    <row r="305" ht="15" customHeight="1">
      <c r="A305" t="inlineStr">
        <is>
          <t>A 8513-2022</t>
        </is>
      </c>
      <c r="B305" s="1" t="n">
        <v>44613</v>
      </c>
      <c r="C305" s="1" t="n">
        <v>46031</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46599-2024</t>
        </is>
      </c>
      <c r="B306" s="1" t="n">
        <v>45582</v>
      </c>
      <c r="C306" s="1" t="n">
        <v>46031</v>
      </c>
      <c r="D306" t="inlineStr">
        <is>
          <t>ÖREBRO LÄN</t>
        </is>
      </c>
      <c r="E306" t="inlineStr">
        <is>
          <t>HÄLLEFORS</t>
        </is>
      </c>
      <c r="F306" t="inlineStr">
        <is>
          <t>Sveaskog</t>
        </is>
      </c>
      <c r="G306" t="n">
        <v>10.1</v>
      </c>
      <c r="H306" t="n">
        <v>0</v>
      </c>
      <c r="I306" t="n">
        <v>0</v>
      </c>
      <c r="J306" t="n">
        <v>0</v>
      </c>
      <c r="K306" t="n">
        <v>0</v>
      </c>
      <c r="L306" t="n">
        <v>0</v>
      </c>
      <c r="M306" t="n">
        <v>0</v>
      </c>
      <c r="N306" t="n">
        <v>0</v>
      </c>
      <c r="O306" t="n">
        <v>0</v>
      </c>
      <c r="P306" t="n">
        <v>0</v>
      </c>
      <c r="Q306" t="n">
        <v>0</v>
      </c>
      <c r="R306" s="2" t="inlineStr"/>
    </row>
    <row r="307" ht="15" customHeight="1">
      <c r="A307" t="inlineStr">
        <is>
          <t>A 21315-2024</t>
        </is>
      </c>
      <c r="B307" s="1" t="n">
        <v>45440</v>
      </c>
      <c r="C307" s="1" t="n">
        <v>46031</v>
      </c>
      <c r="D307" t="inlineStr">
        <is>
          <t>ÖREBRO LÄN</t>
        </is>
      </c>
      <c r="E307" t="inlineStr">
        <is>
          <t>HÄLLEFORS</t>
        </is>
      </c>
      <c r="G307" t="n">
        <v>3.1</v>
      </c>
      <c r="H307" t="n">
        <v>0</v>
      </c>
      <c r="I307" t="n">
        <v>0</v>
      </c>
      <c r="J307" t="n">
        <v>0</v>
      </c>
      <c r="K307" t="n">
        <v>0</v>
      </c>
      <c r="L307" t="n">
        <v>0</v>
      </c>
      <c r="M307" t="n">
        <v>0</v>
      </c>
      <c r="N307" t="n">
        <v>0</v>
      </c>
      <c r="O307" t="n">
        <v>0</v>
      </c>
      <c r="P307" t="n">
        <v>0</v>
      </c>
      <c r="Q307" t="n">
        <v>0</v>
      </c>
      <c r="R307" s="2" t="inlineStr"/>
    </row>
    <row r="308" ht="15" customHeight="1">
      <c r="A308" t="inlineStr">
        <is>
          <t>A 60312-2024</t>
        </is>
      </c>
      <c r="B308" s="1" t="n">
        <v>45643</v>
      </c>
      <c r="C308" s="1" t="n">
        <v>46031</v>
      </c>
      <c r="D308" t="inlineStr">
        <is>
          <t>ÖREBRO LÄN</t>
        </is>
      </c>
      <c r="E308" t="inlineStr">
        <is>
          <t>HÄLLEFORS</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38402-2023</t>
        </is>
      </c>
      <c r="B309" s="1" t="n">
        <v>45162</v>
      </c>
      <c r="C309" s="1" t="n">
        <v>46031</v>
      </c>
      <c r="D309" t="inlineStr">
        <is>
          <t>ÖREBRO LÄN</t>
        </is>
      </c>
      <c r="E309" t="inlineStr">
        <is>
          <t>HÄLLEFORS</t>
        </is>
      </c>
      <c r="F309" t="inlineStr">
        <is>
          <t>Bergvik skog väst AB</t>
        </is>
      </c>
      <c r="G309" t="n">
        <v>8.5</v>
      </c>
      <c r="H309" t="n">
        <v>0</v>
      </c>
      <c r="I309" t="n">
        <v>0</v>
      </c>
      <c r="J309" t="n">
        <v>0</v>
      </c>
      <c r="K309" t="n">
        <v>0</v>
      </c>
      <c r="L309" t="n">
        <v>0</v>
      </c>
      <c r="M309" t="n">
        <v>0</v>
      </c>
      <c r="N309" t="n">
        <v>0</v>
      </c>
      <c r="O309" t="n">
        <v>0</v>
      </c>
      <c r="P309" t="n">
        <v>0</v>
      </c>
      <c r="Q309" t="n">
        <v>0</v>
      </c>
      <c r="R309" s="2" t="inlineStr"/>
    </row>
    <row r="310" ht="15" customHeight="1">
      <c r="A310" t="inlineStr">
        <is>
          <t>A 8615-2025</t>
        </is>
      </c>
      <c r="B310" s="1" t="n">
        <v>45710.81305555555</v>
      </c>
      <c r="C310" s="1" t="n">
        <v>46031</v>
      </c>
      <c r="D310" t="inlineStr">
        <is>
          <t>ÖREBRO LÄN</t>
        </is>
      </c>
      <c r="E310" t="inlineStr">
        <is>
          <t>HÄLLEFORS</t>
        </is>
      </c>
      <c r="G310" t="n">
        <v>6.2</v>
      </c>
      <c r="H310" t="n">
        <v>0</v>
      </c>
      <c r="I310" t="n">
        <v>0</v>
      </c>
      <c r="J310" t="n">
        <v>0</v>
      </c>
      <c r="K310" t="n">
        <v>0</v>
      </c>
      <c r="L310" t="n">
        <v>0</v>
      </c>
      <c r="M310" t="n">
        <v>0</v>
      </c>
      <c r="N310" t="n">
        <v>0</v>
      </c>
      <c r="O310" t="n">
        <v>0</v>
      </c>
      <c r="P310" t="n">
        <v>0</v>
      </c>
      <c r="Q310" t="n">
        <v>0</v>
      </c>
      <c r="R310" s="2" t="inlineStr"/>
    </row>
    <row r="311" ht="15" customHeight="1">
      <c r="A311" t="inlineStr">
        <is>
          <t>A 18987-2025</t>
        </is>
      </c>
      <c r="B311" s="1" t="n">
        <v>45764.56091435185</v>
      </c>
      <c r="C311" s="1" t="n">
        <v>46031</v>
      </c>
      <c r="D311" t="inlineStr">
        <is>
          <t>ÖREBRO LÄN</t>
        </is>
      </c>
      <c r="E311" t="inlineStr">
        <is>
          <t>HÄLLEFORS</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18535-2025</t>
        </is>
      </c>
      <c r="B312" s="1" t="n">
        <v>45763</v>
      </c>
      <c r="C312" s="1" t="n">
        <v>46031</v>
      </c>
      <c r="D312" t="inlineStr">
        <is>
          <t>ÖREBRO LÄN</t>
        </is>
      </c>
      <c r="E312" t="inlineStr">
        <is>
          <t>HÄLLEFORS</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11044-2021</t>
        </is>
      </c>
      <c r="B313" s="1" t="n">
        <v>44260</v>
      </c>
      <c r="C313" s="1" t="n">
        <v>46031</v>
      </c>
      <c r="D313" t="inlineStr">
        <is>
          <t>ÖREBRO LÄN</t>
        </is>
      </c>
      <c r="E313" t="inlineStr">
        <is>
          <t>HÄLLEFORS</t>
        </is>
      </c>
      <c r="F313" t="inlineStr">
        <is>
          <t>Kyrkan</t>
        </is>
      </c>
      <c r="G313" t="n">
        <v>3.6</v>
      </c>
      <c r="H313" t="n">
        <v>0</v>
      </c>
      <c r="I313" t="n">
        <v>0</v>
      </c>
      <c r="J313" t="n">
        <v>0</v>
      </c>
      <c r="K313" t="n">
        <v>0</v>
      </c>
      <c r="L313" t="n">
        <v>0</v>
      </c>
      <c r="M313" t="n">
        <v>0</v>
      </c>
      <c r="N313" t="n">
        <v>0</v>
      </c>
      <c r="O313" t="n">
        <v>0</v>
      </c>
      <c r="P313" t="n">
        <v>0</v>
      </c>
      <c r="Q313" t="n">
        <v>0</v>
      </c>
      <c r="R313" s="2" t="inlineStr"/>
    </row>
    <row r="314" ht="15" customHeight="1">
      <c r="A314" t="inlineStr">
        <is>
          <t>A 59957-2024</t>
        </is>
      </c>
      <c r="B314" s="1" t="n">
        <v>45642.35061342592</v>
      </c>
      <c r="C314" s="1" t="n">
        <v>46031</v>
      </c>
      <c r="D314" t="inlineStr">
        <is>
          <t>ÖREBRO LÄN</t>
        </is>
      </c>
      <c r="E314" t="inlineStr">
        <is>
          <t>HÄLLEFORS</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59959-2024</t>
        </is>
      </c>
      <c r="B315" s="1" t="n">
        <v>45642.35097222222</v>
      </c>
      <c r="C315" s="1" t="n">
        <v>46031</v>
      </c>
      <c r="D315" t="inlineStr">
        <is>
          <t>ÖREBRO LÄN</t>
        </is>
      </c>
      <c r="E315" t="inlineStr">
        <is>
          <t>HÄLLEFORS</t>
        </is>
      </c>
      <c r="F315" t="inlineStr">
        <is>
          <t>Bergvik skog väst AB</t>
        </is>
      </c>
      <c r="G315" t="n">
        <v>4.9</v>
      </c>
      <c r="H315" t="n">
        <v>0</v>
      </c>
      <c r="I315" t="n">
        <v>0</v>
      </c>
      <c r="J315" t="n">
        <v>0</v>
      </c>
      <c r="K315" t="n">
        <v>0</v>
      </c>
      <c r="L315" t="n">
        <v>0</v>
      </c>
      <c r="M315" t="n">
        <v>0</v>
      </c>
      <c r="N315" t="n">
        <v>0</v>
      </c>
      <c r="O315" t="n">
        <v>0</v>
      </c>
      <c r="P315" t="n">
        <v>0</v>
      </c>
      <c r="Q315" t="n">
        <v>0</v>
      </c>
      <c r="R315" s="2" t="inlineStr"/>
    </row>
    <row r="316" ht="15" customHeight="1">
      <c r="A316" t="inlineStr">
        <is>
          <t>A 8503-2022</t>
        </is>
      </c>
      <c r="B316" s="1" t="n">
        <v>44613</v>
      </c>
      <c r="C316" s="1" t="n">
        <v>46031</v>
      </c>
      <c r="D316" t="inlineStr">
        <is>
          <t>ÖREBRO LÄN</t>
        </is>
      </c>
      <c r="E316" t="inlineStr">
        <is>
          <t>HÄLLEFORS</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17072-2025</t>
        </is>
      </c>
      <c r="B317" s="1" t="n">
        <v>45755.61793981482</v>
      </c>
      <c r="C317" s="1" t="n">
        <v>46031</v>
      </c>
      <c r="D317" t="inlineStr">
        <is>
          <t>ÖREBRO LÄN</t>
        </is>
      </c>
      <c r="E317" t="inlineStr">
        <is>
          <t>HÄLLEFORS</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55745-2024</t>
        </is>
      </c>
      <c r="B318" s="1" t="n">
        <v>45623.3168287037</v>
      </c>
      <c r="C318" s="1" t="n">
        <v>46031</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33617-2022</t>
        </is>
      </c>
      <c r="B319" s="1" t="n">
        <v>44782</v>
      </c>
      <c r="C319" s="1" t="n">
        <v>46031</v>
      </c>
      <c r="D319" t="inlineStr">
        <is>
          <t>ÖREBRO LÄN</t>
        </is>
      </c>
      <c r="E319" t="inlineStr">
        <is>
          <t>HÄLLEFORS</t>
        </is>
      </c>
      <c r="G319" t="n">
        <v>8.6</v>
      </c>
      <c r="H319" t="n">
        <v>0</v>
      </c>
      <c r="I319" t="n">
        <v>0</v>
      </c>
      <c r="J319" t="n">
        <v>0</v>
      </c>
      <c r="K319" t="n">
        <v>0</v>
      </c>
      <c r="L319" t="n">
        <v>0</v>
      </c>
      <c r="M319" t="n">
        <v>0</v>
      </c>
      <c r="N319" t="n">
        <v>0</v>
      </c>
      <c r="O319" t="n">
        <v>0</v>
      </c>
      <c r="P319" t="n">
        <v>0</v>
      </c>
      <c r="Q319" t="n">
        <v>0</v>
      </c>
      <c r="R319" s="2" t="inlineStr"/>
    </row>
    <row r="320" ht="15" customHeight="1">
      <c r="A320" t="inlineStr">
        <is>
          <t>A 1019-2025</t>
        </is>
      </c>
      <c r="B320" s="1" t="n">
        <v>45666.49216435185</v>
      </c>
      <c r="C320" s="1" t="n">
        <v>46031</v>
      </c>
      <c r="D320" t="inlineStr">
        <is>
          <t>ÖREBRO LÄN</t>
        </is>
      </c>
      <c r="E320" t="inlineStr">
        <is>
          <t>HÄLLEFORS</t>
        </is>
      </c>
      <c r="G320" t="n">
        <v>0.4</v>
      </c>
      <c r="H320" t="n">
        <v>0</v>
      </c>
      <c r="I320" t="n">
        <v>0</v>
      </c>
      <c r="J320" t="n">
        <v>0</v>
      </c>
      <c r="K320" t="n">
        <v>0</v>
      </c>
      <c r="L320" t="n">
        <v>0</v>
      </c>
      <c r="M320" t="n">
        <v>0</v>
      </c>
      <c r="N320" t="n">
        <v>0</v>
      </c>
      <c r="O320" t="n">
        <v>0</v>
      </c>
      <c r="P320" t="n">
        <v>0</v>
      </c>
      <c r="Q320" t="n">
        <v>0</v>
      </c>
      <c r="R320" s="2" t="inlineStr"/>
    </row>
    <row r="321" ht="15" customHeight="1">
      <c r="A321" t="inlineStr">
        <is>
          <t>A 3619-2021</t>
        </is>
      </c>
      <c r="B321" s="1" t="n">
        <v>44221</v>
      </c>
      <c r="C321" s="1" t="n">
        <v>46031</v>
      </c>
      <c r="D321" t="inlineStr">
        <is>
          <t>ÖREBRO LÄN</t>
        </is>
      </c>
      <c r="E321" t="inlineStr">
        <is>
          <t>HÄLLEFORS</t>
        </is>
      </c>
      <c r="F321" t="inlineStr">
        <is>
          <t>Kyrkan</t>
        </is>
      </c>
      <c r="G321" t="n">
        <v>0.6</v>
      </c>
      <c r="H321" t="n">
        <v>0</v>
      </c>
      <c r="I321" t="n">
        <v>0</v>
      </c>
      <c r="J321" t="n">
        <v>0</v>
      </c>
      <c r="K321" t="n">
        <v>0</v>
      </c>
      <c r="L321" t="n">
        <v>0</v>
      </c>
      <c r="M321" t="n">
        <v>0</v>
      </c>
      <c r="N321" t="n">
        <v>0</v>
      </c>
      <c r="O321" t="n">
        <v>0</v>
      </c>
      <c r="P321" t="n">
        <v>0</v>
      </c>
      <c r="Q321" t="n">
        <v>0</v>
      </c>
      <c r="R321" s="2" t="inlineStr"/>
    </row>
    <row r="322" ht="15" customHeight="1">
      <c r="A322" t="inlineStr">
        <is>
          <t>A 20128-2024</t>
        </is>
      </c>
      <c r="B322" s="1" t="n">
        <v>45434.5571412037</v>
      </c>
      <c r="C322" s="1" t="n">
        <v>46031</v>
      </c>
      <c r="D322" t="inlineStr">
        <is>
          <t>ÖREBRO LÄN</t>
        </is>
      </c>
      <c r="E322" t="inlineStr">
        <is>
          <t>HÄLLEFORS</t>
        </is>
      </c>
      <c r="G322" t="n">
        <v>2.4</v>
      </c>
      <c r="H322" t="n">
        <v>0</v>
      </c>
      <c r="I322" t="n">
        <v>0</v>
      </c>
      <c r="J322" t="n">
        <v>0</v>
      </c>
      <c r="K322" t="n">
        <v>0</v>
      </c>
      <c r="L322" t="n">
        <v>0</v>
      </c>
      <c r="M322" t="n">
        <v>0</v>
      </c>
      <c r="N322" t="n">
        <v>0</v>
      </c>
      <c r="O322" t="n">
        <v>0</v>
      </c>
      <c r="P322" t="n">
        <v>0</v>
      </c>
      <c r="Q322" t="n">
        <v>0</v>
      </c>
      <c r="R322" s="2" t="inlineStr"/>
    </row>
    <row r="323" ht="15" customHeight="1">
      <c r="A323" t="inlineStr">
        <is>
          <t>A 45710-2023</t>
        </is>
      </c>
      <c r="B323" s="1" t="n">
        <v>45195.35254629629</v>
      </c>
      <c r="C323" s="1" t="n">
        <v>46031</v>
      </c>
      <c r="D323" t="inlineStr">
        <is>
          <t>ÖREBRO LÄN</t>
        </is>
      </c>
      <c r="E323" t="inlineStr">
        <is>
          <t>HÄLLEFORS</t>
        </is>
      </c>
      <c r="G323" t="n">
        <v>5.4</v>
      </c>
      <c r="H323" t="n">
        <v>0</v>
      </c>
      <c r="I323" t="n">
        <v>0</v>
      </c>
      <c r="J323" t="n">
        <v>0</v>
      </c>
      <c r="K323" t="n">
        <v>0</v>
      </c>
      <c r="L323" t="n">
        <v>0</v>
      </c>
      <c r="M323" t="n">
        <v>0</v>
      </c>
      <c r="N323" t="n">
        <v>0</v>
      </c>
      <c r="O323" t="n">
        <v>0</v>
      </c>
      <c r="P323" t="n">
        <v>0</v>
      </c>
      <c r="Q323" t="n">
        <v>0</v>
      </c>
      <c r="R323" s="2" t="inlineStr"/>
    </row>
    <row r="324" ht="15" customHeight="1">
      <c r="A324" t="inlineStr">
        <is>
          <t>A 59955-2024</t>
        </is>
      </c>
      <c r="B324" s="1" t="n">
        <v>45642.34987268518</v>
      </c>
      <c r="C324" s="1" t="n">
        <v>46031</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44088-2024</t>
        </is>
      </c>
      <c r="B325" s="1" t="n">
        <v>45572.61984953703</v>
      </c>
      <c r="C325" s="1" t="n">
        <v>46031</v>
      </c>
      <c r="D325" t="inlineStr">
        <is>
          <t>ÖREBRO LÄN</t>
        </is>
      </c>
      <c r="E325" t="inlineStr">
        <is>
          <t>HÄLLEFORS</t>
        </is>
      </c>
      <c r="G325" t="n">
        <v>4</v>
      </c>
      <c r="H325" t="n">
        <v>0</v>
      </c>
      <c r="I325" t="n">
        <v>0</v>
      </c>
      <c r="J325" t="n">
        <v>0</v>
      </c>
      <c r="K325" t="n">
        <v>0</v>
      </c>
      <c r="L325" t="n">
        <v>0</v>
      </c>
      <c r="M325" t="n">
        <v>0</v>
      </c>
      <c r="N325" t="n">
        <v>0</v>
      </c>
      <c r="O325" t="n">
        <v>0</v>
      </c>
      <c r="P325" t="n">
        <v>0</v>
      </c>
      <c r="Q325" t="n">
        <v>0</v>
      </c>
      <c r="R325" s="2" t="inlineStr"/>
    </row>
    <row r="326" ht="15" customHeight="1">
      <c r="A326" t="inlineStr">
        <is>
          <t>A 28788-2022</t>
        </is>
      </c>
      <c r="B326" s="1" t="n">
        <v>44749.39806712963</v>
      </c>
      <c r="C326" s="1" t="n">
        <v>46031</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60303-2024</t>
        </is>
      </c>
      <c r="B327" s="1" t="n">
        <v>45643</v>
      </c>
      <c r="C327" s="1" t="n">
        <v>46031</v>
      </c>
      <c r="D327" t="inlineStr">
        <is>
          <t>ÖREBRO LÄN</t>
        </is>
      </c>
      <c r="E327" t="inlineStr">
        <is>
          <t>HÄLLEFORS</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19245-2025</t>
        </is>
      </c>
      <c r="B328" s="1" t="n">
        <v>45769</v>
      </c>
      <c r="C328" s="1" t="n">
        <v>46031</v>
      </c>
      <c r="D328" t="inlineStr">
        <is>
          <t>ÖREBRO LÄN</t>
        </is>
      </c>
      <c r="E328" t="inlineStr">
        <is>
          <t>HÄLLEFORS</t>
        </is>
      </c>
      <c r="F328" t="inlineStr">
        <is>
          <t>Kyrkan</t>
        </is>
      </c>
      <c r="G328" t="n">
        <v>2.7</v>
      </c>
      <c r="H328" t="n">
        <v>0</v>
      </c>
      <c r="I328" t="n">
        <v>0</v>
      </c>
      <c r="J328" t="n">
        <v>0</v>
      </c>
      <c r="K328" t="n">
        <v>0</v>
      </c>
      <c r="L328" t="n">
        <v>0</v>
      </c>
      <c r="M328" t="n">
        <v>0</v>
      </c>
      <c r="N328" t="n">
        <v>0</v>
      </c>
      <c r="O328" t="n">
        <v>0</v>
      </c>
      <c r="P328" t="n">
        <v>0</v>
      </c>
      <c r="Q328" t="n">
        <v>0</v>
      </c>
      <c r="R328" s="2" t="inlineStr"/>
    </row>
    <row r="329" ht="15" customHeight="1">
      <c r="A329" t="inlineStr">
        <is>
          <t>A 39869-2023</t>
        </is>
      </c>
      <c r="B329" s="1" t="n">
        <v>45168</v>
      </c>
      <c r="C329" s="1" t="n">
        <v>46031</v>
      </c>
      <c r="D329" t="inlineStr">
        <is>
          <t>ÖREBRO LÄN</t>
        </is>
      </c>
      <c r="E329" t="inlineStr">
        <is>
          <t>HÄLLEFORS</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55756-2023</t>
        </is>
      </c>
      <c r="B330" s="1" t="n">
        <v>45239</v>
      </c>
      <c r="C330" s="1" t="n">
        <v>46031</v>
      </c>
      <c r="D330" t="inlineStr">
        <is>
          <t>ÖREBRO LÄN</t>
        </is>
      </c>
      <c r="E330" t="inlineStr">
        <is>
          <t>HÄLLEFORS</t>
        </is>
      </c>
      <c r="G330" t="n">
        <v>1.6</v>
      </c>
      <c r="H330" t="n">
        <v>0</v>
      </c>
      <c r="I330" t="n">
        <v>0</v>
      </c>
      <c r="J330" t="n">
        <v>0</v>
      </c>
      <c r="K330" t="n">
        <v>0</v>
      </c>
      <c r="L330" t="n">
        <v>0</v>
      </c>
      <c r="M330" t="n">
        <v>0</v>
      </c>
      <c r="N330" t="n">
        <v>0</v>
      </c>
      <c r="O330" t="n">
        <v>0</v>
      </c>
      <c r="P330" t="n">
        <v>0</v>
      </c>
      <c r="Q330" t="n">
        <v>0</v>
      </c>
      <c r="R330" s="2" t="inlineStr"/>
    </row>
    <row r="331" ht="15" customHeight="1">
      <c r="A331" t="inlineStr">
        <is>
          <t>A 18945-2025</t>
        </is>
      </c>
      <c r="B331" s="1" t="n">
        <v>45764.50498842593</v>
      </c>
      <c r="C331" s="1" t="n">
        <v>46031</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17338-2025</t>
        </is>
      </c>
      <c r="B332" s="1" t="n">
        <v>45756</v>
      </c>
      <c r="C332" s="1" t="n">
        <v>46031</v>
      </c>
      <c r="D332" t="inlineStr">
        <is>
          <t>ÖREBRO LÄN</t>
        </is>
      </c>
      <c r="E332" t="inlineStr">
        <is>
          <t>HÄLLEFORS</t>
        </is>
      </c>
      <c r="G332" t="n">
        <v>2.5</v>
      </c>
      <c r="H332" t="n">
        <v>0</v>
      </c>
      <c r="I332" t="n">
        <v>0</v>
      </c>
      <c r="J332" t="n">
        <v>0</v>
      </c>
      <c r="K332" t="n">
        <v>0</v>
      </c>
      <c r="L332" t="n">
        <v>0</v>
      </c>
      <c r="M332" t="n">
        <v>0</v>
      </c>
      <c r="N332" t="n">
        <v>0</v>
      </c>
      <c r="O332" t="n">
        <v>0</v>
      </c>
      <c r="P332" t="n">
        <v>0</v>
      </c>
      <c r="Q332" t="n">
        <v>0</v>
      </c>
      <c r="R332" s="2" t="inlineStr"/>
    </row>
    <row r="333" ht="15" customHeight="1">
      <c r="A333" t="inlineStr">
        <is>
          <t>A 49215-2022</t>
        </is>
      </c>
      <c r="B333" s="1" t="n">
        <v>44861</v>
      </c>
      <c r="C333" s="1" t="n">
        <v>46031</v>
      </c>
      <c r="D333" t="inlineStr">
        <is>
          <t>ÖREBRO LÄN</t>
        </is>
      </c>
      <c r="E333" t="inlineStr">
        <is>
          <t>HÄLLEFORS</t>
        </is>
      </c>
      <c r="F333" t="inlineStr">
        <is>
          <t>Bergvik skog väst AB</t>
        </is>
      </c>
      <c r="G333" t="n">
        <v>9</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46031</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29662-2022</t>
        </is>
      </c>
      <c r="B335" s="1" t="n">
        <v>44754</v>
      </c>
      <c r="C335" s="1" t="n">
        <v>46031</v>
      </c>
      <c r="D335" t="inlineStr">
        <is>
          <t>ÖREBRO LÄN</t>
        </is>
      </c>
      <c r="E335" t="inlineStr">
        <is>
          <t>HÄLLEFORS</t>
        </is>
      </c>
      <c r="F335" t="inlineStr">
        <is>
          <t>Bergvik skog väst AB</t>
        </is>
      </c>
      <c r="G335" t="n">
        <v>1.8</v>
      </c>
      <c r="H335" t="n">
        <v>0</v>
      </c>
      <c r="I335" t="n">
        <v>0</v>
      </c>
      <c r="J335" t="n">
        <v>0</v>
      </c>
      <c r="K335" t="n">
        <v>0</v>
      </c>
      <c r="L335" t="n">
        <v>0</v>
      </c>
      <c r="M335" t="n">
        <v>0</v>
      </c>
      <c r="N335" t="n">
        <v>0</v>
      </c>
      <c r="O335" t="n">
        <v>0</v>
      </c>
      <c r="P335" t="n">
        <v>0</v>
      </c>
      <c r="Q335" t="n">
        <v>0</v>
      </c>
      <c r="R335" s="2" t="inlineStr"/>
    </row>
    <row r="336" ht="15" customHeight="1">
      <c r="A336" t="inlineStr">
        <is>
          <t>A 18979-2025</t>
        </is>
      </c>
      <c r="B336" s="1" t="n">
        <v>45764.55017361111</v>
      </c>
      <c r="C336" s="1" t="n">
        <v>46031</v>
      </c>
      <c r="D336" t="inlineStr">
        <is>
          <t>ÖREBRO LÄN</t>
        </is>
      </c>
      <c r="E336" t="inlineStr">
        <is>
          <t>HÄLLEFORS</t>
        </is>
      </c>
      <c r="G336" t="n">
        <v>0.9</v>
      </c>
      <c r="H336" t="n">
        <v>0</v>
      </c>
      <c r="I336" t="n">
        <v>0</v>
      </c>
      <c r="J336" t="n">
        <v>0</v>
      </c>
      <c r="K336" t="n">
        <v>0</v>
      </c>
      <c r="L336" t="n">
        <v>0</v>
      </c>
      <c r="M336" t="n">
        <v>0</v>
      </c>
      <c r="N336" t="n">
        <v>0</v>
      </c>
      <c r="O336" t="n">
        <v>0</v>
      </c>
      <c r="P336" t="n">
        <v>0</v>
      </c>
      <c r="Q336" t="n">
        <v>0</v>
      </c>
      <c r="R336" s="2" t="inlineStr"/>
    </row>
    <row r="337" ht="15" customHeight="1">
      <c r="A337" t="inlineStr">
        <is>
          <t>A 50754-2023</t>
        </is>
      </c>
      <c r="B337" s="1" t="n">
        <v>45217</v>
      </c>
      <c r="C337" s="1" t="n">
        <v>46031</v>
      </c>
      <c r="D337" t="inlineStr">
        <is>
          <t>ÖREBRO LÄN</t>
        </is>
      </c>
      <c r="E337" t="inlineStr">
        <is>
          <t>HÄLLEFORS</t>
        </is>
      </c>
      <c r="F337" t="inlineStr">
        <is>
          <t>Bergvik skog väst AB</t>
        </is>
      </c>
      <c r="G337" t="n">
        <v>5.8</v>
      </c>
      <c r="H337" t="n">
        <v>0</v>
      </c>
      <c r="I337" t="n">
        <v>0</v>
      </c>
      <c r="J337" t="n">
        <v>0</v>
      </c>
      <c r="K337" t="n">
        <v>0</v>
      </c>
      <c r="L337" t="n">
        <v>0</v>
      </c>
      <c r="M337" t="n">
        <v>0</v>
      </c>
      <c r="N337" t="n">
        <v>0</v>
      </c>
      <c r="O337" t="n">
        <v>0</v>
      </c>
      <c r="P337" t="n">
        <v>0</v>
      </c>
      <c r="Q337" t="n">
        <v>0</v>
      </c>
      <c r="R337" s="2" t="inlineStr"/>
    </row>
    <row r="338" ht="15" customHeight="1">
      <c r="A338" t="inlineStr">
        <is>
          <t>A 67843-2021</t>
        </is>
      </c>
      <c r="B338" s="1" t="n">
        <v>44525.47178240741</v>
      </c>
      <c r="C338" s="1" t="n">
        <v>46031</v>
      </c>
      <c r="D338" t="inlineStr">
        <is>
          <t>ÖREBRO LÄN</t>
        </is>
      </c>
      <c r="E338" t="inlineStr">
        <is>
          <t>HÄLLEFORS</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18555-2025</t>
        </is>
      </c>
      <c r="B339" s="1" t="n">
        <v>45763</v>
      </c>
      <c r="C339" s="1" t="n">
        <v>46031</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2079-2024</t>
        </is>
      </c>
      <c r="B340" s="1" t="n">
        <v>45309</v>
      </c>
      <c r="C340" s="1" t="n">
        <v>46031</v>
      </c>
      <c r="D340" t="inlineStr">
        <is>
          <t>ÖREBRO LÄN</t>
        </is>
      </c>
      <c r="E340" t="inlineStr">
        <is>
          <t>HÄLLEFORS</t>
        </is>
      </c>
      <c r="G340" t="n">
        <v>0.4</v>
      </c>
      <c r="H340" t="n">
        <v>0</v>
      </c>
      <c r="I340" t="n">
        <v>0</v>
      </c>
      <c r="J340" t="n">
        <v>0</v>
      </c>
      <c r="K340" t="n">
        <v>0</v>
      </c>
      <c r="L340" t="n">
        <v>0</v>
      </c>
      <c r="M340" t="n">
        <v>0</v>
      </c>
      <c r="N340" t="n">
        <v>0</v>
      </c>
      <c r="O340" t="n">
        <v>0</v>
      </c>
      <c r="P340" t="n">
        <v>0</v>
      </c>
      <c r="Q340" t="n">
        <v>0</v>
      </c>
      <c r="R340" s="2" t="inlineStr"/>
    </row>
    <row r="341" ht="15" customHeight="1">
      <c r="A341" t="inlineStr">
        <is>
          <t>A 74464-2021</t>
        </is>
      </c>
      <c r="B341" s="1" t="n">
        <v>44560.52915509259</v>
      </c>
      <c r="C341" s="1" t="n">
        <v>46031</v>
      </c>
      <c r="D341" t="inlineStr">
        <is>
          <t>ÖREBRO LÄN</t>
        </is>
      </c>
      <c r="E341" t="inlineStr">
        <is>
          <t>HÄLLEFORS</t>
        </is>
      </c>
      <c r="F341" t="inlineStr">
        <is>
          <t>Bergvik skog väst AB</t>
        </is>
      </c>
      <c r="G341" t="n">
        <v>3.2</v>
      </c>
      <c r="H341" t="n">
        <v>0</v>
      </c>
      <c r="I341" t="n">
        <v>0</v>
      </c>
      <c r="J341" t="n">
        <v>0</v>
      </c>
      <c r="K341" t="n">
        <v>0</v>
      </c>
      <c r="L341" t="n">
        <v>0</v>
      </c>
      <c r="M341" t="n">
        <v>0</v>
      </c>
      <c r="N341" t="n">
        <v>0</v>
      </c>
      <c r="O341" t="n">
        <v>0</v>
      </c>
      <c r="P341" t="n">
        <v>0</v>
      </c>
      <c r="Q341" t="n">
        <v>0</v>
      </c>
      <c r="R341" s="2" t="inlineStr"/>
    </row>
    <row r="342" ht="15" customHeight="1">
      <c r="A342" t="inlineStr">
        <is>
          <t>A 46987-2023</t>
        </is>
      </c>
      <c r="B342" s="1" t="n">
        <v>45201</v>
      </c>
      <c r="C342" s="1" t="n">
        <v>46031</v>
      </c>
      <c r="D342" t="inlineStr">
        <is>
          <t>ÖREBRO LÄN</t>
        </is>
      </c>
      <c r="E342" t="inlineStr">
        <is>
          <t>HÄLLEFORS</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13758-2023</t>
        </is>
      </c>
      <c r="B343" s="1" t="n">
        <v>45007.42528935185</v>
      </c>
      <c r="C343" s="1" t="n">
        <v>46031</v>
      </c>
      <c r="D343" t="inlineStr">
        <is>
          <t>ÖREBRO LÄN</t>
        </is>
      </c>
      <c r="E343" t="inlineStr">
        <is>
          <t>HÄLLEFORS</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19033-2021</t>
        </is>
      </c>
      <c r="B344" s="1" t="n">
        <v>44308</v>
      </c>
      <c r="C344" s="1" t="n">
        <v>46031</v>
      </c>
      <c r="D344" t="inlineStr">
        <is>
          <t>ÖREBRO LÄN</t>
        </is>
      </c>
      <c r="E344" t="inlineStr">
        <is>
          <t>HÄLLEFORS</t>
        </is>
      </c>
      <c r="G344" t="n">
        <v>7.8</v>
      </c>
      <c r="H344" t="n">
        <v>0</v>
      </c>
      <c r="I344" t="n">
        <v>0</v>
      </c>
      <c r="J344" t="n">
        <v>0</v>
      </c>
      <c r="K344" t="n">
        <v>0</v>
      </c>
      <c r="L344" t="n">
        <v>0</v>
      </c>
      <c r="M344" t="n">
        <v>0</v>
      </c>
      <c r="N344" t="n">
        <v>0</v>
      </c>
      <c r="O344" t="n">
        <v>0</v>
      </c>
      <c r="P344" t="n">
        <v>0</v>
      </c>
      <c r="Q344" t="n">
        <v>0</v>
      </c>
      <c r="R344" s="2" t="inlineStr"/>
    </row>
    <row r="345" ht="15" customHeight="1">
      <c r="A345" t="inlineStr">
        <is>
          <t>A 4353-2023</t>
        </is>
      </c>
      <c r="B345" s="1" t="n">
        <v>44954.27407407408</v>
      </c>
      <c r="C345" s="1" t="n">
        <v>46031</v>
      </c>
      <c r="D345" t="inlineStr">
        <is>
          <t>ÖREBRO LÄN</t>
        </is>
      </c>
      <c r="E345" t="inlineStr">
        <is>
          <t>HÄLLEFORS</t>
        </is>
      </c>
      <c r="G345" t="n">
        <v>0.5</v>
      </c>
      <c r="H345" t="n">
        <v>0</v>
      </c>
      <c r="I345" t="n">
        <v>0</v>
      </c>
      <c r="J345" t="n">
        <v>0</v>
      </c>
      <c r="K345" t="n">
        <v>0</v>
      </c>
      <c r="L345" t="n">
        <v>0</v>
      </c>
      <c r="M345" t="n">
        <v>0</v>
      </c>
      <c r="N345" t="n">
        <v>0</v>
      </c>
      <c r="O345" t="n">
        <v>0</v>
      </c>
      <c r="P345" t="n">
        <v>0</v>
      </c>
      <c r="Q345" t="n">
        <v>0</v>
      </c>
      <c r="R345" s="2" t="inlineStr"/>
    </row>
    <row r="346" ht="15" customHeight="1">
      <c r="A346" t="inlineStr">
        <is>
          <t>A 51488-2021</t>
        </is>
      </c>
      <c r="B346" s="1" t="n">
        <v>44460</v>
      </c>
      <c r="C346" s="1" t="n">
        <v>46031</v>
      </c>
      <c r="D346" t="inlineStr">
        <is>
          <t>ÖREBRO LÄN</t>
        </is>
      </c>
      <c r="E346" t="inlineStr">
        <is>
          <t>HÄLLEFORS</t>
        </is>
      </c>
      <c r="G346" t="n">
        <v>2.8</v>
      </c>
      <c r="H346" t="n">
        <v>0</v>
      </c>
      <c r="I346" t="n">
        <v>0</v>
      </c>
      <c r="J346" t="n">
        <v>0</v>
      </c>
      <c r="K346" t="n">
        <v>0</v>
      </c>
      <c r="L346" t="n">
        <v>0</v>
      </c>
      <c r="M346" t="n">
        <v>0</v>
      </c>
      <c r="N346" t="n">
        <v>0</v>
      </c>
      <c r="O346" t="n">
        <v>0</v>
      </c>
      <c r="P346" t="n">
        <v>0</v>
      </c>
      <c r="Q346" t="n">
        <v>0</v>
      </c>
      <c r="R346" s="2" t="inlineStr"/>
    </row>
    <row r="347" ht="15" customHeight="1">
      <c r="A347" t="inlineStr">
        <is>
          <t>A 44105-2024</t>
        </is>
      </c>
      <c r="B347" s="1" t="n">
        <v>45572.62980324074</v>
      </c>
      <c r="C347" s="1" t="n">
        <v>46031</v>
      </c>
      <c r="D347" t="inlineStr">
        <is>
          <t>ÖREBRO LÄN</t>
        </is>
      </c>
      <c r="E347" t="inlineStr">
        <is>
          <t>HÄLLEFORS</t>
        </is>
      </c>
      <c r="F347" t="inlineStr">
        <is>
          <t>Bergvik skog väst AB</t>
        </is>
      </c>
      <c r="G347" t="n">
        <v>5.6</v>
      </c>
      <c r="H347" t="n">
        <v>0</v>
      </c>
      <c r="I347" t="n">
        <v>0</v>
      </c>
      <c r="J347" t="n">
        <v>0</v>
      </c>
      <c r="K347" t="n">
        <v>0</v>
      </c>
      <c r="L347" t="n">
        <v>0</v>
      </c>
      <c r="M347" t="n">
        <v>0</v>
      </c>
      <c r="N347" t="n">
        <v>0</v>
      </c>
      <c r="O347" t="n">
        <v>0</v>
      </c>
      <c r="P347" t="n">
        <v>0</v>
      </c>
      <c r="Q347" t="n">
        <v>0</v>
      </c>
      <c r="R347" s="2" t="inlineStr"/>
    </row>
    <row r="348" ht="15" customHeight="1">
      <c r="A348" t="inlineStr">
        <is>
          <t>A 42920-2024</t>
        </is>
      </c>
      <c r="B348" s="1" t="n">
        <v>45567.29131944444</v>
      </c>
      <c r="C348" s="1" t="n">
        <v>46031</v>
      </c>
      <c r="D348" t="inlineStr">
        <is>
          <t>ÖREBRO LÄN</t>
        </is>
      </c>
      <c r="E348" t="inlineStr">
        <is>
          <t>HÄLLEFORS</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67027-2021</t>
        </is>
      </c>
      <c r="B349" s="1" t="n">
        <v>44522.66836805556</v>
      </c>
      <c r="C349" s="1" t="n">
        <v>46031</v>
      </c>
      <c r="D349" t="inlineStr">
        <is>
          <t>ÖREBRO LÄN</t>
        </is>
      </c>
      <c r="E349" t="inlineStr">
        <is>
          <t>HÄLLEFORS</t>
        </is>
      </c>
      <c r="G349" t="n">
        <v>1.7</v>
      </c>
      <c r="H349" t="n">
        <v>0</v>
      </c>
      <c r="I349" t="n">
        <v>0</v>
      </c>
      <c r="J349" t="n">
        <v>0</v>
      </c>
      <c r="K349" t="n">
        <v>0</v>
      </c>
      <c r="L349" t="n">
        <v>0</v>
      </c>
      <c r="M349" t="n">
        <v>0</v>
      </c>
      <c r="N349" t="n">
        <v>0</v>
      </c>
      <c r="O349" t="n">
        <v>0</v>
      </c>
      <c r="P349" t="n">
        <v>0</v>
      </c>
      <c r="Q349" t="n">
        <v>0</v>
      </c>
      <c r="R349" s="2" t="inlineStr"/>
    </row>
    <row r="350" ht="15" customHeight="1">
      <c r="A350" t="inlineStr">
        <is>
          <t>A 9009-2023</t>
        </is>
      </c>
      <c r="B350" s="1" t="n">
        <v>44979</v>
      </c>
      <c r="C350" s="1" t="n">
        <v>46031</v>
      </c>
      <c r="D350" t="inlineStr">
        <is>
          <t>ÖREBRO LÄN</t>
        </is>
      </c>
      <c r="E350" t="inlineStr">
        <is>
          <t>HÄLLEFORS</t>
        </is>
      </c>
      <c r="G350" t="n">
        <v>0.6</v>
      </c>
      <c r="H350" t="n">
        <v>0</v>
      </c>
      <c r="I350" t="n">
        <v>0</v>
      </c>
      <c r="J350" t="n">
        <v>0</v>
      </c>
      <c r="K350" t="n">
        <v>0</v>
      </c>
      <c r="L350" t="n">
        <v>0</v>
      </c>
      <c r="M350" t="n">
        <v>0</v>
      </c>
      <c r="N350" t="n">
        <v>0</v>
      </c>
      <c r="O350" t="n">
        <v>0</v>
      </c>
      <c r="P350" t="n">
        <v>0</v>
      </c>
      <c r="Q350" t="n">
        <v>0</v>
      </c>
      <c r="R350" s="2" t="inlineStr"/>
    </row>
    <row r="351" ht="15" customHeight="1">
      <c r="A351" t="inlineStr">
        <is>
          <t>A 60518-2021</t>
        </is>
      </c>
      <c r="B351" s="1" t="n">
        <v>44496.5028125</v>
      </c>
      <c r="C351" s="1" t="n">
        <v>46031</v>
      </c>
      <c r="D351" t="inlineStr">
        <is>
          <t>ÖREBRO LÄN</t>
        </is>
      </c>
      <c r="E351" t="inlineStr">
        <is>
          <t>HÄLLEFORS</t>
        </is>
      </c>
      <c r="G351" t="n">
        <v>1.9</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46031</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18888-2025</t>
        </is>
      </c>
      <c r="B353" s="1" t="n">
        <v>45764.44396990741</v>
      </c>
      <c r="C353" s="1" t="n">
        <v>46031</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30591-2024</t>
        </is>
      </c>
      <c r="B354" s="1" t="n">
        <v>45493.3153125</v>
      </c>
      <c r="C354" s="1" t="n">
        <v>46031</v>
      </c>
      <c r="D354" t="inlineStr">
        <is>
          <t>ÖREBRO LÄN</t>
        </is>
      </c>
      <c r="E354" t="inlineStr">
        <is>
          <t>HÄLLEFORS</t>
        </is>
      </c>
      <c r="G354" t="n">
        <v>12.5</v>
      </c>
      <c r="H354" t="n">
        <v>0</v>
      </c>
      <c r="I354" t="n">
        <v>0</v>
      </c>
      <c r="J354" t="n">
        <v>0</v>
      </c>
      <c r="K354" t="n">
        <v>0</v>
      </c>
      <c r="L354" t="n">
        <v>0</v>
      </c>
      <c r="M354" t="n">
        <v>0</v>
      </c>
      <c r="N354" t="n">
        <v>0</v>
      </c>
      <c r="O354" t="n">
        <v>0</v>
      </c>
      <c r="P354" t="n">
        <v>0</v>
      </c>
      <c r="Q354" t="n">
        <v>0</v>
      </c>
      <c r="R354" s="2" t="inlineStr"/>
    </row>
    <row r="355" ht="15" customHeight="1">
      <c r="A355" t="inlineStr">
        <is>
          <t>A 11467-2024</t>
        </is>
      </c>
      <c r="B355" s="1" t="n">
        <v>45372.59753472222</v>
      </c>
      <c r="C355" s="1" t="n">
        <v>46031</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44091-2024</t>
        </is>
      </c>
      <c r="B356" s="1" t="n">
        <v>45572.6216087963</v>
      </c>
      <c r="C356" s="1" t="n">
        <v>46031</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44052-2024</t>
        </is>
      </c>
      <c r="B357" s="1" t="n">
        <v>45572.59605324074</v>
      </c>
      <c r="C357" s="1" t="n">
        <v>46031</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46912-2023</t>
        </is>
      </c>
      <c r="B358" s="1" t="n">
        <v>45201</v>
      </c>
      <c r="C358" s="1" t="n">
        <v>46031</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46031</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47190-2022</t>
        </is>
      </c>
      <c r="B360" s="1" t="n">
        <v>44852</v>
      </c>
      <c r="C360" s="1" t="n">
        <v>46031</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46031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51213-2023</t>
        </is>
      </c>
      <c r="B362" s="1" t="n">
        <v>45219.44515046296</v>
      </c>
      <c r="C362" s="1" t="n">
        <v>46031</v>
      </c>
      <c r="D362" t="inlineStr">
        <is>
          <t>ÖREBRO LÄN</t>
        </is>
      </c>
      <c r="E362" t="inlineStr">
        <is>
          <t>HÄLLEFORS</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46031</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46031</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46031</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60523-2024</t>
        </is>
      </c>
      <c r="B366" s="1" t="n">
        <v>45643.69060185185</v>
      </c>
      <c r="C366" s="1" t="n">
        <v>46031</v>
      </c>
      <c r="D366" t="inlineStr">
        <is>
          <t>ÖREBRO LÄN</t>
        </is>
      </c>
      <c r="E366" t="inlineStr">
        <is>
          <t>HÄLLEFORS</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26537-2021</t>
        </is>
      </c>
      <c r="B367" s="1" t="n">
        <v>44348</v>
      </c>
      <c r="C367" s="1" t="n">
        <v>46031</v>
      </c>
      <c r="D367" t="inlineStr">
        <is>
          <t>ÖREBRO LÄN</t>
        </is>
      </c>
      <c r="E367" t="inlineStr">
        <is>
          <t>HÄLLEFORS</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21901-2023</t>
        </is>
      </c>
      <c r="B368" s="1" t="n">
        <v>45068.53265046296</v>
      </c>
      <c r="C368" s="1" t="n">
        <v>46031</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55397-2023</t>
        </is>
      </c>
      <c r="B369" s="1" t="n">
        <v>45238</v>
      </c>
      <c r="C369" s="1" t="n">
        <v>46031</v>
      </c>
      <c r="D369" t="inlineStr">
        <is>
          <t>ÖREBRO LÄN</t>
        </is>
      </c>
      <c r="E369" t="inlineStr">
        <is>
          <t>HÄLLEFORS</t>
        </is>
      </c>
      <c r="G369" t="n">
        <v>1.3</v>
      </c>
      <c r="H369" t="n">
        <v>0</v>
      </c>
      <c r="I369" t="n">
        <v>0</v>
      </c>
      <c r="J369" t="n">
        <v>0</v>
      </c>
      <c r="K369" t="n">
        <v>0</v>
      </c>
      <c r="L369" t="n">
        <v>0</v>
      </c>
      <c r="M369" t="n">
        <v>0</v>
      </c>
      <c r="N369" t="n">
        <v>0</v>
      </c>
      <c r="O369" t="n">
        <v>0</v>
      </c>
      <c r="P369" t="n">
        <v>0</v>
      </c>
      <c r="Q369" t="n">
        <v>0</v>
      </c>
      <c r="R369" s="2" t="inlineStr"/>
    </row>
    <row r="370" ht="15" customHeight="1">
      <c r="A370" t="inlineStr">
        <is>
          <t>A 4716-2022</t>
        </is>
      </c>
      <c r="B370" s="1" t="n">
        <v>44592</v>
      </c>
      <c r="C370" s="1" t="n">
        <v>46031</v>
      </c>
      <c r="D370" t="inlineStr">
        <is>
          <t>ÖREBRO LÄN</t>
        </is>
      </c>
      <c r="E370" t="inlineStr">
        <is>
          <t>HÄLLEFORS</t>
        </is>
      </c>
      <c r="G370" t="n">
        <v>1.5</v>
      </c>
      <c r="H370" t="n">
        <v>0</v>
      </c>
      <c r="I370" t="n">
        <v>0</v>
      </c>
      <c r="J370" t="n">
        <v>0</v>
      </c>
      <c r="K370" t="n">
        <v>0</v>
      </c>
      <c r="L370" t="n">
        <v>0</v>
      </c>
      <c r="M370" t="n">
        <v>0</v>
      </c>
      <c r="N370" t="n">
        <v>0</v>
      </c>
      <c r="O370" t="n">
        <v>0</v>
      </c>
      <c r="P370" t="n">
        <v>0</v>
      </c>
      <c r="Q370" t="n">
        <v>0</v>
      </c>
      <c r="R370" s="2" t="inlineStr"/>
    </row>
    <row r="371" ht="15" customHeight="1">
      <c r="A371" t="inlineStr">
        <is>
          <t>A 43941-2023</t>
        </is>
      </c>
      <c r="B371" s="1" t="n">
        <v>45187</v>
      </c>
      <c r="C371" s="1" t="n">
        <v>46031</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48429-2024</t>
        </is>
      </c>
      <c r="B372" s="1" t="n">
        <v>45590</v>
      </c>
      <c r="C372" s="1" t="n">
        <v>46031</v>
      </c>
      <c r="D372" t="inlineStr">
        <is>
          <t>ÖREBRO LÄN</t>
        </is>
      </c>
      <c r="E372" t="inlineStr">
        <is>
          <t>HÄLLEFORS</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16999-2024</t>
        </is>
      </c>
      <c r="B373" s="1" t="n">
        <v>45412.35543981481</v>
      </c>
      <c r="C373" s="1" t="n">
        <v>46031</v>
      </c>
      <c r="D373" t="inlineStr">
        <is>
          <t>ÖREBRO LÄN</t>
        </is>
      </c>
      <c r="E373" t="inlineStr">
        <is>
          <t>HÄLLEFORS</t>
        </is>
      </c>
      <c r="G373" t="n">
        <v>3.5</v>
      </c>
      <c r="H373" t="n">
        <v>0</v>
      </c>
      <c r="I373" t="n">
        <v>0</v>
      </c>
      <c r="J373" t="n">
        <v>0</v>
      </c>
      <c r="K373" t="n">
        <v>0</v>
      </c>
      <c r="L373" t="n">
        <v>0</v>
      </c>
      <c r="M373" t="n">
        <v>0</v>
      </c>
      <c r="N373" t="n">
        <v>0</v>
      </c>
      <c r="O373" t="n">
        <v>0</v>
      </c>
      <c r="P373" t="n">
        <v>0</v>
      </c>
      <c r="Q373" t="n">
        <v>0</v>
      </c>
      <c r="R373" s="2" t="inlineStr"/>
    </row>
    <row r="374" ht="15" customHeight="1">
      <c r="A374" t="inlineStr">
        <is>
          <t>A 12559-2025</t>
        </is>
      </c>
      <c r="B374" s="1" t="n">
        <v>45731.47399305556</v>
      </c>
      <c r="C374" s="1" t="n">
        <v>46031</v>
      </c>
      <c r="D374" t="inlineStr">
        <is>
          <t>ÖREBRO LÄN</t>
        </is>
      </c>
      <c r="E374" t="inlineStr">
        <is>
          <t>HÄLLEFORS</t>
        </is>
      </c>
      <c r="G374" t="n">
        <v>2.4</v>
      </c>
      <c r="H374" t="n">
        <v>0</v>
      </c>
      <c r="I374" t="n">
        <v>0</v>
      </c>
      <c r="J374" t="n">
        <v>0</v>
      </c>
      <c r="K374" t="n">
        <v>0</v>
      </c>
      <c r="L374" t="n">
        <v>0</v>
      </c>
      <c r="M374" t="n">
        <v>0</v>
      </c>
      <c r="N374" t="n">
        <v>0</v>
      </c>
      <c r="O374" t="n">
        <v>0</v>
      </c>
      <c r="P374" t="n">
        <v>0</v>
      </c>
      <c r="Q374" t="n">
        <v>0</v>
      </c>
      <c r="R374" s="2" t="inlineStr"/>
    </row>
    <row r="375" ht="15" customHeight="1">
      <c r="A375" t="inlineStr">
        <is>
          <t>A 5762-2024</t>
        </is>
      </c>
      <c r="B375" s="1" t="n">
        <v>45335</v>
      </c>
      <c r="C375" s="1" t="n">
        <v>46031</v>
      </c>
      <c r="D375" t="inlineStr">
        <is>
          <t>ÖREBRO LÄN</t>
        </is>
      </c>
      <c r="E375" t="inlineStr">
        <is>
          <t>HÄLLEFORS</t>
        </is>
      </c>
      <c r="G375" t="n">
        <v>12.1</v>
      </c>
      <c r="H375" t="n">
        <v>0</v>
      </c>
      <c r="I375" t="n">
        <v>0</v>
      </c>
      <c r="J375" t="n">
        <v>0</v>
      </c>
      <c r="K375" t="n">
        <v>0</v>
      </c>
      <c r="L375" t="n">
        <v>0</v>
      </c>
      <c r="M375" t="n">
        <v>0</v>
      </c>
      <c r="N375" t="n">
        <v>0</v>
      </c>
      <c r="O375" t="n">
        <v>0</v>
      </c>
      <c r="P375" t="n">
        <v>0</v>
      </c>
      <c r="Q375" t="n">
        <v>0</v>
      </c>
      <c r="R375" s="2" t="inlineStr"/>
    </row>
    <row r="376" ht="15" customHeight="1">
      <c r="A376" t="inlineStr">
        <is>
          <t>A 37542-2024</t>
        </is>
      </c>
      <c r="B376" s="1" t="n">
        <v>45541.42298611111</v>
      </c>
      <c r="C376" s="1" t="n">
        <v>46031</v>
      </c>
      <c r="D376" t="inlineStr">
        <is>
          <t>ÖREBRO LÄN</t>
        </is>
      </c>
      <c r="E376" t="inlineStr">
        <is>
          <t>HÄLLEFORS</t>
        </is>
      </c>
      <c r="G376" t="n">
        <v>1.6</v>
      </c>
      <c r="H376" t="n">
        <v>0</v>
      </c>
      <c r="I376" t="n">
        <v>0</v>
      </c>
      <c r="J376" t="n">
        <v>0</v>
      </c>
      <c r="K376" t="n">
        <v>0</v>
      </c>
      <c r="L376" t="n">
        <v>0</v>
      </c>
      <c r="M376" t="n">
        <v>0</v>
      </c>
      <c r="N376" t="n">
        <v>0</v>
      </c>
      <c r="O376" t="n">
        <v>0</v>
      </c>
      <c r="P376" t="n">
        <v>0</v>
      </c>
      <c r="Q376" t="n">
        <v>0</v>
      </c>
      <c r="R376" s="2" t="inlineStr"/>
    </row>
    <row r="377" ht="15" customHeight="1">
      <c r="A377" t="inlineStr">
        <is>
          <t>A 55099-2024</t>
        </is>
      </c>
      <c r="B377" s="1" t="n">
        <v>45621</v>
      </c>
      <c r="C377" s="1" t="n">
        <v>46031</v>
      </c>
      <c r="D377" t="inlineStr">
        <is>
          <t>ÖREBRO LÄN</t>
        </is>
      </c>
      <c r="E377" t="inlineStr">
        <is>
          <t>HÄLLEFORS</t>
        </is>
      </c>
      <c r="G377" t="n">
        <v>0.8</v>
      </c>
      <c r="H377" t="n">
        <v>0</v>
      </c>
      <c r="I377" t="n">
        <v>0</v>
      </c>
      <c r="J377" t="n">
        <v>0</v>
      </c>
      <c r="K377" t="n">
        <v>0</v>
      </c>
      <c r="L377" t="n">
        <v>0</v>
      </c>
      <c r="M377" t="n">
        <v>0</v>
      </c>
      <c r="N377" t="n">
        <v>0</v>
      </c>
      <c r="O377" t="n">
        <v>0</v>
      </c>
      <c r="P377" t="n">
        <v>0</v>
      </c>
      <c r="Q377" t="n">
        <v>0</v>
      </c>
      <c r="R377" s="2" t="inlineStr"/>
    </row>
    <row r="378" ht="15" customHeight="1">
      <c r="A378" t="inlineStr">
        <is>
          <t>A 9537-2025</t>
        </is>
      </c>
      <c r="B378" s="1" t="n">
        <v>45715.57903935185</v>
      </c>
      <c r="C378" s="1" t="n">
        <v>46031</v>
      </c>
      <c r="D378" t="inlineStr">
        <is>
          <t>ÖREBRO LÄN</t>
        </is>
      </c>
      <c r="E378" t="inlineStr">
        <is>
          <t>HÄLLEFORS</t>
        </is>
      </c>
      <c r="G378" t="n">
        <v>2.7</v>
      </c>
      <c r="H378" t="n">
        <v>0</v>
      </c>
      <c r="I378" t="n">
        <v>0</v>
      </c>
      <c r="J378" t="n">
        <v>0</v>
      </c>
      <c r="K378" t="n">
        <v>0</v>
      </c>
      <c r="L378" t="n">
        <v>0</v>
      </c>
      <c r="M378" t="n">
        <v>0</v>
      </c>
      <c r="N378" t="n">
        <v>0</v>
      </c>
      <c r="O378" t="n">
        <v>0</v>
      </c>
      <c r="P378" t="n">
        <v>0</v>
      </c>
      <c r="Q378" t="n">
        <v>0</v>
      </c>
      <c r="R378" s="2" t="inlineStr"/>
    </row>
    <row r="379" ht="15" customHeight="1">
      <c r="A379" t="inlineStr">
        <is>
          <t>A 18715-2025</t>
        </is>
      </c>
      <c r="B379" s="1" t="n">
        <v>45763.64383101852</v>
      </c>
      <c r="C379" s="1" t="n">
        <v>46031</v>
      </c>
      <c r="D379" t="inlineStr">
        <is>
          <t>ÖREBRO LÄN</t>
        </is>
      </c>
      <c r="E379" t="inlineStr">
        <is>
          <t>HÄLLEFORS</t>
        </is>
      </c>
      <c r="F379" t="inlineStr">
        <is>
          <t>Bergvik skog väst AB</t>
        </is>
      </c>
      <c r="G379" t="n">
        <v>4.1</v>
      </c>
      <c r="H379" t="n">
        <v>0</v>
      </c>
      <c r="I379" t="n">
        <v>0</v>
      </c>
      <c r="J379" t="n">
        <v>0</v>
      </c>
      <c r="K379" t="n">
        <v>0</v>
      </c>
      <c r="L379" t="n">
        <v>0</v>
      </c>
      <c r="M379" t="n">
        <v>0</v>
      </c>
      <c r="N379" t="n">
        <v>0</v>
      </c>
      <c r="O379" t="n">
        <v>0</v>
      </c>
      <c r="P379" t="n">
        <v>0</v>
      </c>
      <c r="Q379" t="n">
        <v>0</v>
      </c>
      <c r="R379" s="2" t="inlineStr"/>
    </row>
    <row r="380" ht="15" customHeight="1">
      <c r="A380" t="inlineStr">
        <is>
          <t>A 14669-2025</t>
        </is>
      </c>
      <c r="B380" s="1" t="n">
        <v>45742.55043981481</v>
      </c>
      <c r="C380" s="1" t="n">
        <v>46031</v>
      </c>
      <c r="D380" t="inlineStr">
        <is>
          <t>ÖREBRO LÄN</t>
        </is>
      </c>
      <c r="E380" t="inlineStr">
        <is>
          <t>HÄLLEFORS</t>
        </is>
      </c>
      <c r="G380" t="n">
        <v>0.8</v>
      </c>
      <c r="H380" t="n">
        <v>0</v>
      </c>
      <c r="I380" t="n">
        <v>0</v>
      </c>
      <c r="J380" t="n">
        <v>0</v>
      </c>
      <c r="K380" t="n">
        <v>0</v>
      </c>
      <c r="L380" t="n">
        <v>0</v>
      </c>
      <c r="M380" t="n">
        <v>0</v>
      </c>
      <c r="N380" t="n">
        <v>0</v>
      </c>
      <c r="O380" t="n">
        <v>0</v>
      </c>
      <c r="P380" t="n">
        <v>0</v>
      </c>
      <c r="Q380" t="n">
        <v>0</v>
      </c>
      <c r="R380" s="2" t="inlineStr"/>
    </row>
    <row r="381" ht="15" customHeight="1">
      <c r="A381" t="inlineStr">
        <is>
          <t>A 46642-2024</t>
        </is>
      </c>
      <c r="B381" s="1" t="n">
        <v>45583.34902777777</v>
      </c>
      <c r="C381" s="1" t="n">
        <v>46031</v>
      </c>
      <c r="D381" t="inlineStr">
        <is>
          <t>ÖREBRO LÄN</t>
        </is>
      </c>
      <c r="E381" t="inlineStr">
        <is>
          <t>HÄLLEFORS</t>
        </is>
      </c>
      <c r="F381" t="inlineStr">
        <is>
          <t>Bergvik skog väst AB</t>
        </is>
      </c>
      <c r="G381" t="n">
        <v>0.7</v>
      </c>
      <c r="H381" t="n">
        <v>0</v>
      </c>
      <c r="I381" t="n">
        <v>0</v>
      </c>
      <c r="J381" t="n">
        <v>0</v>
      </c>
      <c r="K381" t="n">
        <v>0</v>
      </c>
      <c r="L381" t="n">
        <v>0</v>
      </c>
      <c r="M381" t="n">
        <v>0</v>
      </c>
      <c r="N381" t="n">
        <v>0</v>
      </c>
      <c r="O381" t="n">
        <v>0</v>
      </c>
      <c r="P381" t="n">
        <v>0</v>
      </c>
      <c r="Q381" t="n">
        <v>0</v>
      </c>
      <c r="R381" s="2" t="inlineStr"/>
    </row>
    <row r="382" ht="15" customHeight="1">
      <c r="A382" t="inlineStr">
        <is>
          <t>A 20670-2025</t>
        </is>
      </c>
      <c r="B382" s="1" t="n">
        <v>45776.43351851852</v>
      </c>
      <c r="C382" s="1" t="n">
        <v>46031</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21050-2025</t>
        </is>
      </c>
      <c r="B383" s="1" t="n">
        <v>45777.56322916667</v>
      </c>
      <c r="C383" s="1" t="n">
        <v>46031</v>
      </c>
      <c r="D383" t="inlineStr">
        <is>
          <t>ÖREBRO LÄN</t>
        </is>
      </c>
      <c r="E383" t="inlineStr">
        <is>
          <t>HÄLLEFORS</t>
        </is>
      </c>
      <c r="F383" t="inlineStr">
        <is>
          <t>Kyrkan</t>
        </is>
      </c>
      <c r="G383" t="n">
        <v>0.9</v>
      </c>
      <c r="H383" t="n">
        <v>0</v>
      </c>
      <c r="I383" t="n">
        <v>0</v>
      </c>
      <c r="J383" t="n">
        <v>0</v>
      </c>
      <c r="K383" t="n">
        <v>0</v>
      </c>
      <c r="L383" t="n">
        <v>0</v>
      </c>
      <c r="M383" t="n">
        <v>0</v>
      </c>
      <c r="N383" t="n">
        <v>0</v>
      </c>
      <c r="O383" t="n">
        <v>0</v>
      </c>
      <c r="P383" t="n">
        <v>0</v>
      </c>
      <c r="Q383" t="n">
        <v>0</v>
      </c>
      <c r="R383" s="2" t="inlineStr"/>
    </row>
    <row r="384" ht="15" customHeight="1">
      <c r="A384" t="inlineStr">
        <is>
          <t>A 20951-2025</t>
        </is>
      </c>
      <c r="B384" s="1" t="n">
        <v>45777.43930555556</v>
      </c>
      <c r="C384" s="1" t="n">
        <v>46031</v>
      </c>
      <c r="D384" t="inlineStr">
        <is>
          <t>ÖREBRO LÄN</t>
        </is>
      </c>
      <c r="E384" t="inlineStr">
        <is>
          <t>HÄLLEFORS</t>
        </is>
      </c>
      <c r="F384" t="inlineStr">
        <is>
          <t>Kyrkan</t>
        </is>
      </c>
      <c r="G384" t="n">
        <v>1</v>
      </c>
      <c r="H384" t="n">
        <v>0</v>
      </c>
      <c r="I384" t="n">
        <v>0</v>
      </c>
      <c r="J384" t="n">
        <v>0</v>
      </c>
      <c r="K384" t="n">
        <v>0</v>
      </c>
      <c r="L384" t="n">
        <v>0</v>
      </c>
      <c r="M384" t="n">
        <v>0</v>
      </c>
      <c r="N384" t="n">
        <v>0</v>
      </c>
      <c r="O384" t="n">
        <v>0</v>
      </c>
      <c r="P384" t="n">
        <v>0</v>
      </c>
      <c r="Q384" t="n">
        <v>0</v>
      </c>
      <c r="R384" s="2" t="inlineStr"/>
    </row>
    <row r="385" ht="15" customHeight="1">
      <c r="A385" t="inlineStr">
        <is>
          <t>A 21099-2025</t>
        </is>
      </c>
      <c r="B385" s="1" t="n">
        <v>45777.64827546296</v>
      </c>
      <c r="C385" s="1" t="n">
        <v>46031</v>
      </c>
      <c r="D385" t="inlineStr">
        <is>
          <t>ÖREBRO LÄN</t>
        </is>
      </c>
      <c r="E385" t="inlineStr">
        <is>
          <t>HÄLLEFORS</t>
        </is>
      </c>
      <c r="F385" t="inlineStr">
        <is>
          <t>Kyrkan</t>
        </is>
      </c>
      <c r="G385" t="n">
        <v>1.7</v>
      </c>
      <c r="H385" t="n">
        <v>0</v>
      </c>
      <c r="I385" t="n">
        <v>0</v>
      </c>
      <c r="J385" t="n">
        <v>0</v>
      </c>
      <c r="K385" t="n">
        <v>0</v>
      </c>
      <c r="L385" t="n">
        <v>0</v>
      </c>
      <c r="M385" t="n">
        <v>0</v>
      </c>
      <c r="N385" t="n">
        <v>0</v>
      </c>
      <c r="O385" t="n">
        <v>0</v>
      </c>
      <c r="P385" t="n">
        <v>0</v>
      </c>
      <c r="Q385" t="n">
        <v>0</v>
      </c>
      <c r="R385" s="2" t="inlineStr"/>
    </row>
    <row r="386" ht="15" customHeight="1">
      <c r="A386" t="inlineStr">
        <is>
          <t>A 18878-2025</t>
        </is>
      </c>
      <c r="B386" s="1" t="n">
        <v>45764</v>
      </c>
      <c r="C386" s="1" t="n">
        <v>46031</v>
      </c>
      <c r="D386" t="inlineStr">
        <is>
          <t>ÖREBRO LÄN</t>
        </is>
      </c>
      <c r="E386" t="inlineStr">
        <is>
          <t>HÄLLEFORS</t>
        </is>
      </c>
      <c r="G386" t="n">
        <v>1.4</v>
      </c>
      <c r="H386" t="n">
        <v>0</v>
      </c>
      <c r="I386" t="n">
        <v>0</v>
      </c>
      <c r="J386" t="n">
        <v>0</v>
      </c>
      <c r="K386" t="n">
        <v>0</v>
      </c>
      <c r="L386" t="n">
        <v>0</v>
      </c>
      <c r="M386" t="n">
        <v>0</v>
      </c>
      <c r="N386" t="n">
        <v>0</v>
      </c>
      <c r="O386" t="n">
        <v>0</v>
      </c>
      <c r="P386" t="n">
        <v>0</v>
      </c>
      <c r="Q386" t="n">
        <v>0</v>
      </c>
      <c r="R386" s="2" t="inlineStr"/>
    </row>
    <row r="387" ht="15" customHeight="1">
      <c r="A387" t="inlineStr">
        <is>
          <t>A 18790-2025</t>
        </is>
      </c>
      <c r="B387" s="1" t="n">
        <v>45764</v>
      </c>
      <c r="C387" s="1" t="n">
        <v>46031</v>
      </c>
      <c r="D387" t="inlineStr">
        <is>
          <t>ÖREBRO LÄN</t>
        </is>
      </c>
      <c r="E387" t="inlineStr">
        <is>
          <t>HÄLLEFORS</t>
        </is>
      </c>
      <c r="G387" t="n">
        <v>14.9</v>
      </c>
      <c r="H387" t="n">
        <v>0</v>
      </c>
      <c r="I387" t="n">
        <v>0</v>
      </c>
      <c r="J387" t="n">
        <v>0</v>
      </c>
      <c r="K387" t="n">
        <v>0</v>
      </c>
      <c r="L387" t="n">
        <v>0</v>
      </c>
      <c r="M387" t="n">
        <v>0</v>
      </c>
      <c r="N387" t="n">
        <v>0</v>
      </c>
      <c r="O387" t="n">
        <v>0</v>
      </c>
      <c r="P387" t="n">
        <v>0</v>
      </c>
      <c r="Q387" t="n">
        <v>0</v>
      </c>
      <c r="R387" s="2" t="inlineStr"/>
    </row>
    <row r="388" ht="15" customHeight="1">
      <c r="A388" t="inlineStr">
        <is>
          <t>A 18852-2025</t>
        </is>
      </c>
      <c r="B388" s="1" t="n">
        <v>45764</v>
      </c>
      <c r="C388" s="1" t="n">
        <v>46031</v>
      </c>
      <c r="D388" t="inlineStr">
        <is>
          <t>ÖREBRO LÄN</t>
        </is>
      </c>
      <c r="E388" t="inlineStr">
        <is>
          <t>HÄLLEFORS</t>
        </is>
      </c>
      <c r="G388" t="n">
        <v>6.8</v>
      </c>
      <c r="H388" t="n">
        <v>0</v>
      </c>
      <c r="I388" t="n">
        <v>0</v>
      </c>
      <c r="J388" t="n">
        <v>0</v>
      </c>
      <c r="K388" t="n">
        <v>0</v>
      </c>
      <c r="L388" t="n">
        <v>0</v>
      </c>
      <c r="M388" t="n">
        <v>0</v>
      </c>
      <c r="N388" t="n">
        <v>0</v>
      </c>
      <c r="O388" t="n">
        <v>0</v>
      </c>
      <c r="P388" t="n">
        <v>0</v>
      </c>
      <c r="Q388" t="n">
        <v>0</v>
      </c>
      <c r="R388" s="2" t="inlineStr"/>
    </row>
    <row r="389" ht="15" customHeight="1">
      <c r="A389" t="inlineStr">
        <is>
          <t>A 18869-2025</t>
        </is>
      </c>
      <c r="B389" s="1" t="n">
        <v>45764</v>
      </c>
      <c r="C389" s="1" t="n">
        <v>46031</v>
      </c>
      <c r="D389" t="inlineStr">
        <is>
          <t>ÖREBRO LÄN</t>
        </is>
      </c>
      <c r="E389" t="inlineStr">
        <is>
          <t>HÄLLEFORS</t>
        </is>
      </c>
      <c r="G389" t="n">
        <v>3.7</v>
      </c>
      <c r="H389" t="n">
        <v>0</v>
      </c>
      <c r="I389" t="n">
        <v>0</v>
      </c>
      <c r="J389" t="n">
        <v>0</v>
      </c>
      <c r="K389" t="n">
        <v>0</v>
      </c>
      <c r="L389" t="n">
        <v>0</v>
      </c>
      <c r="M389" t="n">
        <v>0</v>
      </c>
      <c r="N389" t="n">
        <v>0</v>
      </c>
      <c r="O389" t="n">
        <v>0</v>
      </c>
      <c r="P389" t="n">
        <v>0</v>
      </c>
      <c r="Q389" t="n">
        <v>0</v>
      </c>
      <c r="R389" s="2" t="inlineStr"/>
    </row>
    <row r="390" ht="15" customHeight="1">
      <c r="A390" t="inlineStr">
        <is>
          <t>A 18891-2025</t>
        </is>
      </c>
      <c r="B390" s="1" t="n">
        <v>45764</v>
      </c>
      <c r="C390" s="1" t="n">
        <v>46031</v>
      </c>
      <c r="D390" t="inlineStr">
        <is>
          <t>ÖREBRO LÄN</t>
        </is>
      </c>
      <c r="E390" t="inlineStr">
        <is>
          <t>HÄLLEFORS</t>
        </is>
      </c>
      <c r="G390" t="n">
        <v>2.2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46031</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17112-2025</t>
        </is>
      </c>
      <c r="B392" s="1" t="n">
        <v>45755</v>
      </c>
      <c r="C392" s="1" t="n">
        <v>46031</v>
      </c>
      <c r="D392" t="inlineStr">
        <is>
          <t>ÖREBRO LÄN</t>
        </is>
      </c>
      <c r="E392" t="inlineStr">
        <is>
          <t>HÄLLEFORS</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30307-2024</t>
        </is>
      </c>
      <c r="B393" s="1" t="n">
        <v>45490.70074074074</v>
      </c>
      <c r="C393" s="1" t="n">
        <v>46031</v>
      </c>
      <c r="D393" t="inlineStr">
        <is>
          <t>ÖREBRO LÄN</t>
        </is>
      </c>
      <c r="E393" t="inlineStr">
        <is>
          <t>HÄLLEFORS</t>
        </is>
      </c>
      <c r="G393" t="n">
        <v>2.5</v>
      </c>
      <c r="H393" t="n">
        <v>0</v>
      </c>
      <c r="I393" t="n">
        <v>0</v>
      </c>
      <c r="J393" t="n">
        <v>0</v>
      </c>
      <c r="K393" t="n">
        <v>0</v>
      </c>
      <c r="L393" t="n">
        <v>0</v>
      </c>
      <c r="M393" t="n">
        <v>0</v>
      </c>
      <c r="N393" t="n">
        <v>0</v>
      </c>
      <c r="O393" t="n">
        <v>0</v>
      </c>
      <c r="P393" t="n">
        <v>0</v>
      </c>
      <c r="Q393" t="n">
        <v>0</v>
      </c>
      <c r="R393" s="2" t="inlineStr"/>
    </row>
    <row r="394" ht="15" customHeight="1">
      <c r="A394" t="inlineStr">
        <is>
          <t>A 45694-2023</t>
        </is>
      </c>
      <c r="B394" s="1" t="n">
        <v>45195</v>
      </c>
      <c r="C394" s="1" t="n">
        <v>46031</v>
      </c>
      <c r="D394" t="inlineStr">
        <is>
          <t>ÖREBRO LÄN</t>
        </is>
      </c>
      <c r="E394" t="inlineStr">
        <is>
          <t>HÄLLEFORS</t>
        </is>
      </c>
      <c r="G394" t="n">
        <v>10.8</v>
      </c>
      <c r="H394" t="n">
        <v>0</v>
      </c>
      <c r="I394" t="n">
        <v>0</v>
      </c>
      <c r="J394" t="n">
        <v>0</v>
      </c>
      <c r="K394" t="n">
        <v>0</v>
      </c>
      <c r="L394" t="n">
        <v>0</v>
      </c>
      <c r="M394" t="n">
        <v>0</v>
      </c>
      <c r="N394" t="n">
        <v>0</v>
      </c>
      <c r="O394" t="n">
        <v>0</v>
      </c>
      <c r="P394" t="n">
        <v>0</v>
      </c>
      <c r="Q394" t="n">
        <v>0</v>
      </c>
      <c r="R394" s="2" t="inlineStr"/>
    </row>
    <row r="395" ht="15" customHeight="1">
      <c r="A395" t="inlineStr">
        <is>
          <t>A 18168-2024</t>
        </is>
      </c>
      <c r="B395" s="1" t="n">
        <v>45420</v>
      </c>
      <c r="C395" s="1" t="n">
        <v>46031</v>
      </c>
      <c r="D395" t="inlineStr">
        <is>
          <t>ÖREBRO LÄN</t>
        </is>
      </c>
      <c r="E395" t="inlineStr">
        <is>
          <t>HÄLLEFORS</t>
        </is>
      </c>
      <c r="G395" t="n">
        <v>1.4</v>
      </c>
      <c r="H395" t="n">
        <v>0</v>
      </c>
      <c r="I395" t="n">
        <v>0</v>
      </c>
      <c r="J395" t="n">
        <v>0</v>
      </c>
      <c r="K395" t="n">
        <v>0</v>
      </c>
      <c r="L395" t="n">
        <v>0</v>
      </c>
      <c r="M395" t="n">
        <v>0</v>
      </c>
      <c r="N395" t="n">
        <v>0</v>
      </c>
      <c r="O395" t="n">
        <v>0</v>
      </c>
      <c r="P395" t="n">
        <v>0</v>
      </c>
      <c r="Q395" t="n">
        <v>0</v>
      </c>
      <c r="R395" s="2" t="inlineStr"/>
    </row>
    <row r="396" ht="15" customHeight="1">
      <c r="A396" t="inlineStr">
        <is>
          <t>A 21852-2025</t>
        </is>
      </c>
      <c r="B396" s="1" t="n">
        <v>45784</v>
      </c>
      <c r="C396" s="1" t="n">
        <v>46031</v>
      </c>
      <c r="D396" t="inlineStr">
        <is>
          <t>ÖREBRO LÄN</t>
        </is>
      </c>
      <c r="E396" t="inlineStr">
        <is>
          <t>HÄLLEFORS</t>
        </is>
      </c>
      <c r="G396" t="n">
        <v>4.2</v>
      </c>
      <c r="H396" t="n">
        <v>0</v>
      </c>
      <c r="I396" t="n">
        <v>0</v>
      </c>
      <c r="J396" t="n">
        <v>0</v>
      </c>
      <c r="K396" t="n">
        <v>0</v>
      </c>
      <c r="L396" t="n">
        <v>0</v>
      </c>
      <c r="M396" t="n">
        <v>0</v>
      </c>
      <c r="N396" t="n">
        <v>0</v>
      </c>
      <c r="O396" t="n">
        <v>0</v>
      </c>
      <c r="P396" t="n">
        <v>0</v>
      </c>
      <c r="Q396" t="n">
        <v>0</v>
      </c>
      <c r="R396" s="2" t="inlineStr"/>
    </row>
    <row r="397" ht="15" customHeight="1">
      <c r="A397" t="inlineStr">
        <is>
          <t>A 53340-2024</t>
        </is>
      </c>
      <c r="B397" s="1" t="n">
        <v>45614.43358796297</v>
      </c>
      <c r="C397" s="1" t="n">
        <v>46031</v>
      </c>
      <c r="D397" t="inlineStr">
        <is>
          <t>ÖREBRO LÄN</t>
        </is>
      </c>
      <c r="E397" t="inlineStr">
        <is>
          <t>HÄLLEFORS</t>
        </is>
      </c>
      <c r="G397" t="n">
        <v>1.3</v>
      </c>
      <c r="H397" t="n">
        <v>0</v>
      </c>
      <c r="I397" t="n">
        <v>0</v>
      </c>
      <c r="J397" t="n">
        <v>0</v>
      </c>
      <c r="K397" t="n">
        <v>0</v>
      </c>
      <c r="L397" t="n">
        <v>0</v>
      </c>
      <c r="M397" t="n">
        <v>0</v>
      </c>
      <c r="N397" t="n">
        <v>0</v>
      </c>
      <c r="O397" t="n">
        <v>0</v>
      </c>
      <c r="P397" t="n">
        <v>0</v>
      </c>
      <c r="Q397" t="n">
        <v>0</v>
      </c>
      <c r="R397" s="2" t="inlineStr"/>
    </row>
    <row r="398" ht="15" customHeight="1">
      <c r="A398" t="inlineStr">
        <is>
          <t>A 35106-2023</t>
        </is>
      </c>
      <c r="B398" s="1" t="n">
        <v>45145</v>
      </c>
      <c r="C398" s="1" t="n">
        <v>46031</v>
      </c>
      <c r="D398" t="inlineStr">
        <is>
          <t>ÖREBRO LÄN</t>
        </is>
      </c>
      <c r="E398" t="inlineStr">
        <is>
          <t>HÄLLEFORS</t>
        </is>
      </c>
      <c r="F398" t="inlineStr">
        <is>
          <t>Bergvik skog väst AB</t>
        </is>
      </c>
      <c r="G398" t="n">
        <v>13.9</v>
      </c>
      <c r="H398" t="n">
        <v>0</v>
      </c>
      <c r="I398" t="n">
        <v>0</v>
      </c>
      <c r="J398" t="n">
        <v>0</v>
      </c>
      <c r="K398" t="n">
        <v>0</v>
      </c>
      <c r="L398" t="n">
        <v>0</v>
      </c>
      <c r="M398" t="n">
        <v>0</v>
      </c>
      <c r="N398" t="n">
        <v>0</v>
      </c>
      <c r="O398" t="n">
        <v>0</v>
      </c>
      <c r="P398" t="n">
        <v>0</v>
      </c>
      <c r="Q398" t="n">
        <v>0</v>
      </c>
      <c r="R398" s="2" t="inlineStr"/>
    </row>
    <row r="399" ht="15" customHeight="1">
      <c r="A399" t="inlineStr">
        <is>
          <t>A 39178-2022</t>
        </is>
      </c>
      <c r="B399" s="1" t="n">
        <v>44817.50186342592</v>
      </c>
      <c r="C399" s="1" t="n">
        <v>46031</v>
      </c>
      <c r="D399" t="inlineStr">
        <is>
          <t>ÖREBRO LÄN</t>
        </is>
      </c>
      <c r="E399" t="inlineStr">
        <is>
          <t>HÄLLEFORS</t>
        </is>
      </c>
      <c r="G399" t="n">
        <v>1.1</v>
      </c>
      <c r="H399" t="n">
        <v>0</v>
      </c>
      <c r="I399" t="n">
        <v>0</v>
      </c>
      <c r="J399" t="n">
        <v>0</v>
      </c>
      <c r="K399" t="n">
        <v>0</v>
      </c>
      <c r="L399" t="n">
        <v>0</v>
      </c>
      <c r="M399" t="n">
        <v>0</v>
      </c>
      <c r="N399" t="n">
        <v>0</v>
      </c>
      <c r="O399" t="n">
        <v>0</v>
      </c>
      <c r="P399" t="n">
        <v>0</v>
      </c>
      <c r="Q399" t="n">
        <v>0</v>
      </c>
      <c r="R399" s="2" t="inlineStr"/>
    </row>
    <row r="400">
      <c r="A400" t="inlineStr">
        <is>
          <t>A 47907-2024</t>
        </is>
      </c>
      <c r="B400" s="1" t="n">
        <v>45589.31677083333</v>
      </c>
      <c r="C400" s="1" t="n">
        <v>46031</v>
      </c>
      <c r="D400" t="inlineStr">
        <is>
          <t>ÖREBRO LÄN</t>
        </is>
      </c>
      <c r="E400" t="inlineStr">
        <is>
          <t>HÄLLEFORS</t>
        </is>
      </c>
      <c r="F400" t="inlineStr">
        <is>
          <t>Bergvik skog väst AB</t>
        </is>
      </c>
      <c r="G400" t="n">
        <v>4.6</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2026-01-09T10:48:51Z</dcterms:created>
  <dcterms:modified xmlns:dcterms="http://purl.org/dc/terms/" xmlns:xsi="http://www.w3.org/2001/XMLSchema-instance" xsi:type="dcterms:W3CDTF">2026-01-09T10:48:51Z</dcterms:modified>
</cp:coreProperties>
</file>