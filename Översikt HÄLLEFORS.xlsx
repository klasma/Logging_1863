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46204</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46204</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46204</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46204</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46204</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46204</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46204</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14340-2026</t>
        </is>
      </c>
      <c r="B9" s="1" t="n">
        <v>46100</v>
      </c>
      <c r="C9" s="1" t="n">
        <v>46204</v>
      </c>
      <c r="D9" t="inlineStr">
        <is>
          <t>ÖREBRO LÄN</t>
        </is>
      </c>
      <c r="E9" t="inlineStr">
        <is>
          <t>HÄLLEFORS</t>
        </is>
      </c>
      <c r="F9" t="inlineStr">
        <is>
          <t>Sveaskog</t>
        </is>
      </c>
      <c r="G9" t="n">
        <v>1.7</v>
      </c>
      <c r="H9" t="n">
        <v>2</v>
      </c>
      <c r="I9" t="n">
        <v>0</v>
      </c>
      <c r="J9" t="n">
        <v>2</v>
      </c>
      <c r="K9" t="n">
        <v>0</v>
      </c>
      <c r="L9" t="n">
        <v>0</v>
      </c>
      <c r="M9" t="n">
        <v>0</v>
      </c>
      <c r="N9" t="n">
        <v>0</v>
      </c>
      <c r="O9" t="n">
        <v>2</v>
      </c>
      <c r="P9" t="n">
        <v>0</v>
      </c>
      <c r="Q9" t="n">
        <v>3</v>
      </c>
      <c r="R9" s="2" t="inlineStr">
        <is>
          <t>Tretåig hackspett
Vedskivlav
Mattlummer</t>
        </is>
      </c>
      <c r="S9">
        <f>HYPERLINK("https://klasma.github.io/Logging_1863/artfynd/A 14340-2026 artfynd.xlsx", "A 14340-2026")</f>
        <v/>
      </c>
      <c r="T9">
        <f>HYPERLINK("https://klasma.github.io/Logging_1863/kartor/A 14340-2026 karta.png", "A 14340-2026")</f>
        <v/>
      </c>
      <c r="V9">
        <f>HYPERLINK("https://klasma.github.io/Logging_1863/klagomål/A 14340-2026 FSC-klagomål.docx", "A 14340-2026")</f>
        <v/>
      </c>
      <c r="W9">
        <f>HYPERLINK("https://klasma.github.io/Logging_1863/klagomålsmail/A 14340-2026 FSC-klagomål mail.docx", "A 14340-2026")</f>
        <v/>
      </c>
      <c r="X9">
        <f>HYPERLINK("https://klasma.github.io/Logging_1863/tillsyn/A 14340-2026 tillsynsbegäran.docx", "A 14340-2026")</f>
        <v/>
      </c>
      <c r="Y9">
        <f>HYPERLINK("https://klasma.github.io/Logging_1863/tillsynsmail/A 14340-2026 tillsynsbegäran mail.docx", "A 14340-2026")</f>
        <v/>
      </c>
      <c r="Z9">
        <f>HYPERLINK("https://klasma.github.io/Logging_1863/fåglar/A 14340-2026 prioriterade fågelarter.docx", "A 14340-2026")</f>
        <v/>
      </c>
    </row>
    <row r="10" ht="15" customHeight="1">
      <c r="A10" t="inlineStr">
        <is>
          <t>A 18047-2026</t>
        </is>
      </c>
      <c r="B10" s="1" t="n">
        <v>46125</v>
      </c>
      <c r="C10" s="1" t="n">
        <v>46204</v>
      </c>
      <c r="D10" t="inlineStr">
        <is>
          <t>ÖREBRO LÄN</t>
        </is>
      </c>
      <c r="E10" t="inlineStr">
        <is>
          <t>HÄLLEFORS</t>
        </is>
      </c>
      <c r="F10" t="inlineStr">
        <is>
          <t>Sveaskog</t>
        </is>
      </c>
      <c r="G10" t="n">
        <v>3.4</v>
      </c>
      <c r="H10" t="n">
        <v>3</v>
      </c>
      <c r="I10" t="n">
        <v>0</v>
      </c>
      <c r="J10" t="n">
        <v>0</v>
      </c>
      <c r="K10" t="n">
        <v>0</v>
      </c>
      <c r="L10" t="n">
        <v>0</v>
      </c>
      <c r="M10" t="n">
        <v>0</v>
      </c>
      <c r="N10" t="n">
        <v>0</v>
      </c>
      <c r="O10" t="n">
        <v>0</v>
      </c>
      <c r="P10" t="n">
        <v>0</v>
      </c>
      <c r="Q10" t="n">
        <v>3</v>
      </c>
      <c r="R10" s="2" t="inlineStr">
        <is>
          <t>Mattlummer
Tjäder
Revlummer</t>
        </is>
      </c>
      <c r="S10">
        <f>HYPERLINK("https://klasma.github.io/Logging_1863/artfynd/A 18047-2026 artfynd.xlsx", "A 18047-2026")</f>
        <v/>
      </c>
      <c r="T10">
        <f>HYPERLINK("https://klasma.github.io/Logging_1863/kartor/A 18047-2026 karta.png", "A 18047-2026")</f>
        <v/>
      </c>
      <c r="V10">
        <f>HYPERLINK("https://klasma.github.io/Logging_1863/klagomål/A 18047-2026 FSC-klagomål.docx", "A 18047-2026")</f>
        <v/>
      </c>
      <c r="W10">
        <f>HYPERLINK("https://klasma.github.io/Logging_1863/klagomålsmail/A 18047-2026 FSC-klagomål mail.docx", "A 18047-2026")</f>
        <v/>
      </c>
      <c r="X10">
        <f>HYPERLINK("https://klasma.github.io/Logging_1863/tillsyn/A 18047-2026 tillsynsbegäran.docx", "A 18047-2026")</f>
        <v/>
      </c>
      <c r="Y10">
        <f>HYPERLINK("https://klasma.github.io/Logging_1863/tillsynsmail/A 18047-2026 tillsynsbegäran mail.docx", "A 18047-2026")</f>
        <v/>
      </c>
      <c r="Z10">
        <f>HYPERLINK("https://klasma.github.io/Logging_1863/fåglar/A 18047-2026 prioriterade fågelarter.docx", "A 18047-2026")</f>
        <v/>
      </c>
    </row>
    <row r="11" ht="15" customHeight="1">
      <c r="A11" t="inlineStr">
        <is>
          <t>A 16169-2025</t>
        </is>
      </c>
      <c r="B11" s="1" t="n">
        <v>45750</v>
      </c>
      <c r="C11" s="1" t="n">
        <v>46204</v>
      </c>
      <c r="D11" t="inlineStr">
        <is>
          <t>ÖREBRO LÄN</t>
        </is>
      </c>
      <c r="E11" t="inlineStr">
        <is>
          <t>HÄLLEFORS</t>
        </is>
      </c>
      <c r="F11" t="inlineStr">
        <is>
          <t>Kyrkan</t>
        </is>
      </c>
      <c r="G11" t="n">
        <v>2.1</v>
      </c>
      <c r="H11" t="n">
        <v>1</v>
      </c>
      <c r="I11" t="n">
        <v>1</v>
      </c>
      <c r="J11" t="n">
        <v>1</v>
      </c>
      <c r="K11" t="n">
        <v>1</v>
      </c>
      <c r="L11" t="n">
        <v>0</v>
      </c>
      <c r="M11" t="n">
        <v>0</v>
      </c>
      <c r="N11" t="n">
        <v>0</v>
      </c>
      <c r="O11" t="n">
        <v>2</v>
      </c>
      <c r="P11" t="n">
        <v>1</v>
      </c>
      <c r="Q11" t="n">
        <v>3</v>
      </c>
      <c r="R11" s="2" t="inlineStr">
        <is>
          <t>Garnlav
Talltita
Vedticka</t>
        </is>
      </c>
      <c r="S11">
        <f>HYPERLINK("https://klasma.github.io/Logging_1863/artfynd/A 16169-2025 artfynd.xlsx", "A 16169-2025")</f>
        <v/>
      </c>
      <c r="T11">
        <f>HYPERLINK("https://klasma.github.io/Logging_1863/kartor/A 16169-2025 karta.png", "A 16169-2025")</f>
        <v/>
      </c>
      <c r="V11">
        <f>HYPERLINK("https://klasma.github.io/Logging_1863/klagomål/A 16169-2025 FSC-klagomål.docx", "A 16169-2025")</f>
        <v/>
      </c>
      <c r="W11">
        <f>HYPERLINK("https://klasma.github.io/Logging_1863/klagomålsmail/A 16169-2025 FSC-klagomål mail.docx", "A 16169-2025")</f>
        <v/>
      </c>
      <c r="X11">
        <f>HYPERLINK("https://klasma.github.io/Logging_1863/tillsyn/A 16169-2025 tillsynsbegäran.docx", "A 16169-2025")</f>
        <v/>
      </c>
      <c r="Y11">
        <f>HYPERLINK("https://klasma.github.io/Logging_1863/tillsynsmail/A 16169-2025 tillsynsbegäran mail.docx", "A 16169-2025")</f>
        <v/>
      </c>
      <c r="Z11">
        <f>HYPERLINK("https://klasma.github.io/Logging_1863/fåglar/A 16169-2025 prioriterade fågelarter.docx", "A 16169-2025")</f>
        <v/>
      </c>
    </row>
    <row r="12" ht="15" customHeight="1">
      <c r="A12" t="inlineStr">
        <is>
          <t>A 16932-2025</t>
        </is>
      </c>
      <c r="B12" s="1" t="n">
        <v>45755</v>
      </c>
      <c r="C12" s="1" t="n">
        <v>46204</v>
      </c>
      <c r="D12" t="inlineStr">
        <is>
          <t>ÖREBRO LÄN</t>
        </is>
      </c>
      <c r="E12" t="inlineStr">
        <is>
          <t>HÄLLEFORS</t>
        </is>
      </c>
      <c r="F12" t="inlineStr">
        <is>
          <t>Bergvik skog väst AB</t>
        </is>
      </c>
      <c r="G12" t="n">
        <v>4.9</v>
      </c>
      <c r="H12" t="n">
        <v>2</v>
      </c>
      <c r="I12" t="n">
        <v>1</v>
      </c>
      <c r="J12" t="n">
        <v>0</v>
      </c>
      <c r="K12" t="n">
        <v>0</v>
      </c>
      <c r="L12" t="n">
        <v>0</v>
      </c>
      <c r="M12" t="n">
        <v>0</v>
      </c>
      <c r="N12" t="n">
        <v>0</v>
      </c>
      <c r="O12" t="n">
        <v>0</v>
      </c>
      <c r="P12" t="n">
        <v>0</v>
      </c>
      <c r="Q12" t="n">
        <v>3</v>
      </c>
      <c r="R12" s="2" t="inlineStr">
        <is>
          <t>Svavelriska
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row>
    <row r="13" ht="15" customHeight="1">
      <c r="A13" t="inlineStr">
        <is>
          <t>A 22248-2026</t>
        </is>
      </c>
      <c r="B13" s="1" t="n">
        <v>46154</v>
      </c>
      <c r="C13" s="1" t="n">
        <v>46204</v>
      </c>
      <c r="D13" t="inlineStr">
        <is>
          <t>ÖREBRO LÄN</t>
        </is>
      </c>
      <c r="E13" t="inlineStr">
        <is>
          <t>HÄLLEFORS</t>
        </is>
      </c>
      <c r="F13" t="inlineStr">
        <is>
          <t>Sveaskog</t>
        </is>
      </c>
      <c r="G13" t="n">
        <v>12.5</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22248-2026 artfynd.xlsx", "A 22248-2026")</f>
        <v/>
      </c>
      <c r="T13">
        <f>HYPERLINK("https://klasma.github.io/Logging_1863/kartor/A 22248-2026 karta.png", "A 22248-2026")</f>
        <v/>
      </c>
      <c r="V13">
        <f>HYPERLINK("https://klasma.github.io/Logging_1863/klagomål/A 22248-2026 FSC-klagomål.docx", "A 22248-2026")</f>
        <v/>
      </c>
      <c r="W13">
        <f>HYPERLINK("https://klasma.github.io/Logging_1863/klagomålsmail/A 22248-2026 FSC-klagomål mail.docx", "A 22248-2026")</f>
        <v/>
      </c>
      <c r="X13">
        <f>HYPERLINK("https://klasma.github.io/Logging_1863/tillsyn/A 22248-2026 tillsynsbegäran.docx", "A 22248-2026")</f>
        <v/>
      </c>
      <c r="Y13">
        <f>HYPERLINK("https://klasma.github.io/Logging_1863/tillsynsmail/A 22248-2026 tillsynsbegäran mail.docx", "A 22248-2026")</f>
        <v/>
      </c>
      <c r="Z13">
        <f>HYPERLINK("https://klasma.github.io/Logging_1863/fåglar/A 22248-2026 prioriterade fågelarter.docx", "A 22248-2026")</f>
        <v/>
      </c>
    </row>
    <row r="14" ht="15" customHeight="1">
      <c r="A14" t="inlineStr">
        <is>
          <t>A 71826-2021</t>
        </is>
      </c>
      <c r="B14" s="1" t="n">
        <v>44543</v>
      </c>
      <c r="C14" s="1" t="n">
        <v>46204</v>
      </c>
      <c r="D14" t="inlineStr">
        <is>
          <t>ÖREBRO LÄN</t>
        </is>
      </c>
      <c r="E14" t="inlineStr">
        <is>
          <t>HÄLLEFORS</t>
        </is>
      </c>
      <c r="F14" t="inlineStr">
        <is>
          <t>Sveaskog</t>
        </is>
      </c>
      <c r="G14" t="n">
        <v>0.2</v>
      </c>
      <c r="H14" t="n">
        <v>2</v>
      </c>
      <c r="I14" t="n">
        <v>0</v>
      </c>
      <c r="J14" t="n">
        <v>0</v>
      </c>
      <c r="K14" t="n">
        <v>0</v>
      </c>
      <c r="L14" t="n">
        <v>0</v>
      </c>
      <c r="M14" t="n">
        <v>0</v>
      </c>
      <c r="N14" t="n">
        <v>0</v>
      </c>
      <c r="O14" t="n">
        <v>0</v>
      </c>
      <c r="P14" t="n">
        <v>0</v>
      </c>
      <c r="Q14" t="n">
        <v>2</v>
      </c>
      <c r="R14" s="2" t="inlineStr">
        <is>
          <t>Blåsippa
Gullviva</t>
        </is>
      </c>
      <c r="S14">
        <f>HYPERLINK("https://klasma.github.io/Logging_1863/artfynd/A 71826-2021 artfynd.xlsx", "A 71826-2021")</f>
        <v/>
      </c>
      <c r="T14">
        <f>HYPERLINK("https://klasma.github.io/Logging_1863/kartor/A 71826-2021 karta.png", "A 71826-2021")</f>
        <v/>
      </c>
      <c r="V14">
        <f>HYPERLINK("https://klasma.github.io/Logging_1863/klagomål/A 71826-2021 FSC-klagomål.docx", "A 71826-2021")</f>
        <v/>
      </c>
      <c r="W14">
        <f>HYPERLINK("https://klasma.github.io/Logging_1863/klagomålsmail/A 71826-2021 FSC-klagomål mail.docx", "A 71826-2021")</f>
        <v/>
      </c>
      <c r="X14">
        <f>HYPERLINK("https://klasma.github.io/Logging_1863/tillsyn/A 71826-2021 tillsynsbegäran.docx", "A 71826-2021")</f>
        <v/>
      </c>
      <c r="Y14">
        <f>HYPERLINK("https://klasma.github.io/Logging_1863/tillsynsmail/A 71826-2021 tillsynsbegäran mail.docx", "A 71826-2021")</f>
        <v/>
      </c>
    </row>
    <row r="15" ht="15" customHeight="1">
      <c r="A15" t="inlineStr">
        <is>
          <t>A 39105-2024</t>
        </is>
      </c>
      <c r="B15" s="1" t="n">
        <v>45548</v>
      </c>
      <c r="C15" s="1" t="n">
        <v>46204</v>
      </c>
      <c r="D15" t="inlineStr">
        <is>
          <t>ÖREBRO LÄN</t>
        </is>
      </c>
      <c r="E15" t="inlineStr">
        <is>
          <t>HÄLLEFORS</t>
        </is>
      </c>
      <c r="G15" t="n">
        <v>3.3</v>
      </c>
      <c r="H15" t="n">
        <v>0</v>
      </c>
      <c r="I15" t="n">
        <v>0</v>
      </c>
      <c r="J15" t="n">
        <v>1</v>
      </c>
      <c r="K15" t="n">
        <v>1</v>
      </c>
      <c r="L15" t="n">
        <v>0</v>
      </c>
      <c r="M15" t="n">
        <v>0</v>
      </c>
      <c r="N15" t="n">
        <v>0</v>
      </c>
      <c r="O15" t="n">
        <v>2</v>
      </c>
      <c r="P15" t="n">
        <v>1</v>
      </c>
      <c r="Q15" t="n">
        <v>2</v>
      </c>
      <c r="R15" s="2" t="inlineStr">
        <is>
          <t>Trollsmultron
Brunag</t>
        </is>
      </c>
      <c r="S15">
        <f>HYPERLINK("https://klasma.github.io/Logging_1863/artfynd/A 39105-2024 artfynd.xlsx", "A 39105-2024")</f>
        <v/>
      </c>
      <c r="T15">
        <f>HYPERLINK("https://klasma.github.io/Logging_1863/kartor/A 39105-2024 karta.png", "A 39105-2024")</f>
        <v/>
      </c>
      <c r="V15">
        <f>HYPERLINK("https://klasma.github.io/Logging_1863/klagomål/A 39105-2024 FSC-klagomål.docx", "A 39105-2024")</f>
        <v/>
      </c>
      <c r="W15">
        <f>HYPERLINK("https://klasma.github.io/Logging_1863/klagomålsmail/A 39105-2024 FSC-klagomål mail.docx", "A 39105-2024")</f>
        <v/>
      </c>
      <c r="X15">
        <f>HYPERLINK("https://klasma.github.io/Logging_1863/tillsyn/A 39105-2024 tillsynsbegäran.docx", "A 39105-2024")</f>
        <v/>
      </c>
      <c r="Y15">
        <f>HYPERLINK("https://klasma.github.io/Logging_1863/tillsynsmail/A 39105-2024 tillsynsbegäran mail.docx", "A 39105-2024")</f>
        <v/>
      </c>
    </row>
    <row r="16" ht="15" customHeight="1">
      <c r="A16" t="inlineStr">
        <is>
          <t>A 5360-2022</t>
        </is>
      </c>
      <c r="B16" s="1" t="n">
        <v>44594</v>
      </c>
      <c r="C16" s="1" t="n">
        <v>46204</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v>
      </c>
      <c r="C17" s="1" t="n">
        <v>46204</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44402-2025</t>
        </is>
      </c>
      <c r="B18" s="1" t="n">
        <v>45916</v>
      </c>
      <c r="C18" s="1" t="n">
        <v>46204</v>
      </c>
      <c r="D18" t="inlineStr">
        <is>
          <t>ÖREBRO LÄN</t>
        </is>
      </c>
      <c r="E18" t="inlineStr">
        <is>
          <t>HÄLLEFORS</t>
        </is>
      </c>
      <c r="F18" t="inlineStr">
        <is>
          <t>Bergvik skog väst AB</t>
        </is>
      </c>
      <c r="G18" t="n">
        <v>1.8</v>
      </c>
      <c r="H18" t="n">
        <v>0</v>
      </c>
      <c r="I18" t="n">
        <v>1</v>
      </c>
      <c r="J18" t="n">
        <v>0</v>
      </c>
      <c r="K18" t="n">
        <v>1</v>
      </c>
      <c r="L18" t="n">
        <v>0</v>
      </c>
      <c r="M18" t="n">
        <v>0</v>
      </c>
      <c r="N18" t="n">
        <v>0</v>
      </c>
      <c r="O18" t="n">
        <v>1</v>
      </c>
      <c r="P18" t="n">
        <v>1</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v>
      </c>
      <c r="C19" s="1" t="n">
        <v>46204</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5684-2025</t>
        </is>
      </c>
      <c r="B20" s="1" t="n">
        <v>45694</v>
      </c>
      <c r="C20" s="1" t="n">
        <v>46204</v>
      </c>
      <c r="D20" t="inlineStr">
        <is>
          <t>ÖREBRO LÄN</t>
        </is>
      </c>
      <c r="E20" t="inlineStr">
        <is>
          <t>HÄLLEFORS</t>
        </is>
      </c>
      <c r="F20" t="inlineStr">
        <is>
          <t>Bergvik skog väst AB</t>
        </is>
      </c>
      <c r="G20" t="n">
        <v>2.1</v>
      </c>
      <c r="H20" t="n">
        <v>2</v>
      </c>
      <c r="I20" t="n">
        <v>0</v>
      </c>
      <c r="J20" t="n">
        <v>0</v>
      </c>
      <c r="K20" t="n">
        <v>0</v>
      </c>
      <c r="L20" t="n">
        <v>0</v>
      </c>
      <c r="M20" t="n">
        <v>0</v>
      </c>
      <c r="N20" t="n">
        <v>0</v>
      </c>
      <c r="O20" t="n">
        <v>0</v>
      </c>
      <c r="P20" t="n">
        <v>0</v>
      </c>
      <c r="Q20" t="n">
        <v>2</v>
      </c>
      <c r="R20" s="2" t="inlineStr">
        <is>
          <t>Gröngöling
Kungsfågel</t>
        </is>
      </c>
      <c r="S20">
        <f>HYPERLINK("https://klasma.github.io/Logging_1863/artfynd/A 5684-2025 artfynd.xlsx", "A 5684-2025")</f>
        <v/>
      </c>
      <c r="T20">
        <f>HYPERLINK("https://klasma.github.io/Logging_1863/kartor/A 5684-2025 karta.png", "A 5684-2025")</f>
        <v/>
      </c>
      <c r="V20">
        <f>HYPERLINK("https://klasma.github.io/Logging_1863/klagomål/A 5684-2025 FSC-klagomål.docx", "A 5684-2025")</f>
        <v/>
      </c>
      <c r="W20">
        <f>HYPERLINK("https://klasma.github.io/Logging_1863/klagomålsmail/A 5684-2025 FSC-klagomål mail.docx", "A 5684-2025")</f>
        <v/>
      </c>
      <c r="X20">
        <f>HYPERLINK("https://klasma.github.io/Logging_1863/tillsyn/A 5684-2025 tillsynsbegäran.docx", "A 5684-2025")</f>
        <v/>
      </c>
      <c r="Y20">
        <f>HYPERLINK("https://klasma.github.io/Logging_1863/tillsynsmail/A 5684-2025 tillsynsbegäran mail.docx", "A 5684-2025")</f>
        <v/>
      </c>
    </row>
    <row r="21" ht="15" customHeight="1">
      <c r="A21" t="inlineStr">
        <is>
          <t>A 37259-2024</t>
        </is>
      </c>
      <c r="B21" s="1" t="n">
        <v>45540</v>
      </c>
      <c r="C21" s="1" t="n">
        <v>46204</v>
      </c>
      <c r="D21" t="inlineStr">
        <is>
          <t>ÖREBRO LÄN</t>
        </is>
      </c>
      <c r="E21" t="inlineStr">
        <is>
          <t>HÄLLEFORS</t>
        </is>
      </c>
      <c r="F21" t="inlineStr">
        <is>
          <t>Bergvik skog väst AB</t>
        </is>
      </c>
      <c r="G21" t="n">
        <v>4.5</v>
      </c>
      <c r="H21" t="n">
        <v>2</v>
      </c>
      <c r="I21" t="n">
        <v>0</v>
      </c>
      <c r="J21" t="n">
        <v>0</v>
      </c>
      <c r="K21" t="n">
        <v>0</v>
      </c>
      <c r="L21" t="n">
        <v>0</v>
      </c>
      <c r="M21" t="n">
        <v>0</v>
      </c>
      <c r="N21" t="n">
        <v>0</v>
      </c>
      <c r="O21" t="n">
        <v>0</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16088-2026</t>
        </is>
      </c>
      <c r="B22" s="1" t="n">
        <v>46108</v>
      </c>
      <c r="C22" s="1" t="n">
        <v>46204</v>
      </c>
      <c r="D22" t="inlineStr">
        <is>
          <t>ÖREBRO LÄN</t>
        </is>
      </c>
      <c r="E22" t="inlineStr">
        <is>
          <t>HÄLLEFORS</t>
        </is>
      </c>
      <c r="F22" t="inlineStr">
        <is>
          <t>Sveaskog</t>
        </is>
      </c>
      <c r="G22" t="n">
        <v>4.8</v>
      </c>
      <c r="H22" t="n">
        <v>2</v>
      </c>
      <c r="I22" t="n">
        <v>0</v>
      </c>
      <c r="J22" t="n">
        <v>0</v>
      </c>
      <c r="K22" t="n">
        <v>0</v>
      </c>
      <c r="L22" t="n">
        <v>0</v>
      </c>
      <c r="M22" t="n">
        <v>0</v>
      </c>
      <c r="N22" t="n">
        <v>0</v>
      </c>
      <c r="O22" t="n">
        <v>0</v>
      </c>
      <c r="P22" t="n">
        <v>0</v>
      </c>
      <c r="Q22" t="n">
        <v>2</v>
      </c>
      <c r="R22" s="2" t="inlineStr">
        <is>
          <t>Mattlummer
Tjäder</t>
        </is>
      </c>
      <c r="S22">
        <f>HYPERLINK("https://klasma.github.io/Logging_1863/artfynd/A 16088-2026 artfynd.xlsx", "A 16088-2026")</f>
        <v/>
      </c>
      <c r="T22">
        <f>HYPERLINK("https://klasma.github.io/Logging_1863/kartor/A 16088-2026 karta.png", "A 16088-2026")</f>
        <v/>
      </c>
      <c r="V22">
        <f>HYPERLINK("https://klasma.github.io/Logging_1863/klagomål/A 16088-2026 FSC-klagomål.docx", "A 16088-2026")</f>
        <v/>
      </c>
      <c r="W22">
        <f>HYPERLINK("https://klasma.github.io/Logging_1863/klagomålsmail/A 16088-2026 FSC-klagomål mail.docx", "A 16088-2026")</f>
        <v/>
      </c>
      <c r="X22">
        <f>HYPERLINK("https://klasma.github.io/Logging_1863/tillsyn/A 16088-2026 tillsynsbegäran.docx", "A 16088-2026")</f>
        <v/>
      </c>
      <c r="Y22">
        <f>HYPERLINK("https://klasma.github.io/Logging_1863/tillsynsmail/A 16088-2026 tillsynsbegäran mail.docx", "A 16088-2026")</f>
        <v/>
      </c>
      <c r="Z22">
        <f>HYPERLINK("https://klasma.github.io/Logging_1863/fåglar/A 16088-2026 prioriterade fågelarter.docx", "A 16088-2026")</f>
        <v/>
      </c>
    </row>
    <row r="23" ht="15" customHeight="1">
      <c r="A23" t="inlineStr">
        <is>
          <t>A 59521-2025</t>
        </is>
      </c>
      <c r="B23" s="1" t="n">
        <v>45989</v>
      </c>
      <c r="C23" s="1" t="n">
        <v>46204</v>
      </c>
      <c r="D23" t="inlineStr">
        <is>
          <t>ÖREBRO LÄN</t>
        </is>
      </c>
      <c r="E23" t="inlineStr">
        <is>
          <t>HÄLLEFORS</t>
        </is>
      </c>
      <c r="F23" t="inlineStr">
        <is>
          <t>Sveaskog</t>
        </is>
      </c>
      <c r="G23" t="n">
        <v>8.800000000000001</v>
      </c>
      <c r="H23" t="n">
        <v>2</v>
      </c>
      <c r="I23" t="n">
        <v>0</v>
      </c>
      <c r="J23" t="n">
        <v>0</v>
      </c>
      <c r="K23" t="n">
        <v>0</v>
      </c>
      <c r="L23" t="n">
        <v>0</v>
      </c>
      <c r="M23" t="n">
        <v>0</v>
      </c>
      <c r="N23" t="n">
        <v>0</v>
      </c>
      <c r="O23" t="n">
        <v>0</v>
      </c>
      <c r="P23" t="n">
        <v>0</v>
      </c>
      <c r="Q23" t="n">
        <v>2</v>
      </c>
      <c r="R23" s="2" t="inlineStr">
        <is>
          <t>Blåsippa
Gråspett</t>
        </is>
      </c>
      <c r="S23">
        <f>HYPERLINK("https://klasma.github.io/Logging_1863/artfynd/A 59521-2025 artfynd.xlsx", "A 59521-2025")</f>
        <v/>
      </c>
      <c r="T23">
        <f>HYPERLINK("https://klasma.github.io/Logging_1863/kartor/A 59521-2025 karta.png", "A 59521-2025")</f>
        <v/>
      </c>
      <c r="V23">
        <f>HYPERLINK("https://klasma.github.io/Logging_1863/klagomål/A 59521-2025 FSC-klagomål.docx", "A 59521-2025")</f>
        <v/>
      </c>
      <c r="W23">
        <f>HYPERLINK("https://klasma.github.io/Logging_1863/klagomålsmail/A 59521-2025 FSC-klagomål mail.docx", "A 59521-2025")</f>
        <v/>
      </c>
      <c r="X23">
        <f>HYPERLINK("https://klasma.github.io/Logging_1863/tillsyn/A 59521-2025 tillsynsbegäran.docx", "A 59521-2025")</f>
        <v/>
      </c>
      <c r="Y23">
        <f>HYPERLINK("https://klasma.github.io/Logging_1863/tillsynsmail/A 59521-2025 tillsynsbegäran mail.docx", "A 59521-2025")</f>
        <v/>
      </c>
      <c r="Z23">
        <f>HYPERLINK("https://klasma.github.io/Logging_1863/fåglar/A 59521-2025 prioriterade fågelarter.docx", "A 59521-2025")</f>
        <v/>
      </c>
    </row>
    <row r="24" ht="15" customHeight="1">
      <c r="A24" t="inlineStr">
        <is>
          <t>A 23421-2026</t>
        </is>
      </c>
      <c r="B24" s="1" t="n">
        <v>46163</v>
      </c>
      <c r="C24" s="1" t="n">
        <v>46204</v>
      </c>
      <c r="D24" t="inlineStr">
        <is>
          <t>ÖREBRO LÄN</t>
        </is>
      </c>
      <c r="E24" t="inlineStr">
        <is>
          <t>HÄLLEFORS</t>
        </is>
      </c>
      <c r="F24" t="inlineStr">
        <is>
          <t>Sveaskog</t>
        </is>
      </c>
      <c r="G24" t="n">
        <v>4.6</v>
      </c>
      <c r="H24" t="n">
        <v>1</v>
      </c>
      <c r="I24" t="n">
        <v>1</v>
      </c>
      <c r="J24" t="n">
        <v>0</v>
      </c>
      <c r="K24" t="n">
        <v>0</v>
      </c>
      <c r="L24" t="n">
        <v>0</v>
      </c>
      <c r="M24" t="n">
        <v>0</v>
      </c>
      <c r="N24" t="n">
        <v>0</v>
      </c>
      <c r="O24" t="n">
        <v>0</v>
      </c>
      <c r="P24" t="n">
        <v>0</v>
      </c>
      <c r="Q24" t="n">
        <v>2</v>
      </c>
      <c r="R24" s="2" t="inlineStr">
        <is>
          <t>Bollvitmossa
Mattlummer</t>
        </is>
      </c>
      <c r="S24">
        <f>HYPERLINK("https://klasma.github.io/Logging_1863/artfynd/A 23421-2026 artfynd.xlsx", "A 23421-2026")</f>
        <v/>
      </c>
      <c r="T24">
        <f>HYPERLINK("https://klasma.github.io/Logging_1863/kartor/A 23421-2026 karta.png", "A 23421-2026")</f>
        <v/>
      </c>
      <c r="V24">
        <f>HYPERLINK("https://klasma.github.io/Logging_1863/klagomål/A 23421-2026 FSC-klagomål.docx", "A 23421-2026")</f>
        <v/>
      </c>
      <c r="W24">
        <f>HYPERLINK("https://klasma.github.io/Logging_1863/klagomålsmail/A 23421-2026 FSC-klagomål mail.docx", "A 23421-2026")</f>
        <v/>
      </c>
      <c r="X24">
        <f>HYPERLINK("https://klasma.github.io/Logging_1863/tillsyn/A 23421-2026 tillsynsbegäran.docx", "A 23421-2026")</f>
        <v/>
      </c>
      <c r="Y24">
        <f>HYPERLINK("https://klasma.github.io/Logging_1863/tillsynsmail/A 23421-2026 tillsynsbegäran mail.docx", "A 23421-2026")</f>
        <v/>
      </c>
    </row>
    <row r="25" ht="15" customHeight="1">
      <c r="A25" t="inlineStr">
        <is>
          <t>A 20696-2026</t>
        </is>
      </c>
      <c r="B25" s="1" t="n">
        <v>46141</v>
      </c>
      <c r="C25" s="1" t="n">
        <v>46204</v>
      </c>
      <c r="D25" t="inlineStr">
        <is>
          <t>ÖREBRO LÄN</t>
        </is>
      </c>
      <c r="E25" t="inlineStr">
        <is>
          <t>HÄLLEFORS</t>
        </is>
      </c>
      <c r="F25" t="inlineStr">
        <is>
          <t>Sveaskog</t>
        </is>
      </c>
      <c r="G25" t="n">
        <v>7.5</v>
      </c>
      <c r="H25" t="n">
        <v>1</v>
      </c>
      <c r="I25" t="n">
        <v>0</v>
      </c>
      <c r="J25" t="n">
        <v>1</v>
      </c>
      <c r="K25" t="n">
        <v>0</v>
      </c>
      <c r="L25" t="n">
        <v>0</v>
      </c>
      <c r="M25" t="n">
        <v>0</v>
      </c>
      <c r="N25" t="n">
        <v>0</v>
      </c>
      <c r="O25" t="n">
        <v>1</v>
      </c>
      <c r="P25" t="n">
        <v>0</v>
      </c>
      <c r="Q25" t="n">
        <v>2</v>
      </c>
      <c r="R25" s="2" t="inlineStr">
        <is>
          <t>Kolflarnlav
Revlummer</t>
        </is>
      </c>
      <c r="S25">
        <f>HYPERLINK("https://klasma.github.io/Logging_1863/artfynd/A 20696-2026 artfynd.xlsx", "A 20696-2026")</f>
        <v/>
      </c>
      <c r="T25">
        <f>HYPERLINK("https://klasma.github.io/Logging_1863/kartor/A 20696-2026 karta.png", "A 20696-2026")</f>
        <v/>
      </c>
      <c r="V25">
        <f>HYPERLINK("https://klasma.github.io/Logging_1863/klagomål/A 20696-2026 FSC-klagomål.docx", "A 20696-2026")</f>
        <v/>
      </c>
      <c r="W25">
        <f>HYPERLINK("https://klasma.github.io/Logging_1863/klagomålsmail/A 20696-2026 FSC-klagomål mail.docx", "A 20696-2026")</f>
        <v/>
      </c>
      <c r="X25">
        <f>HYPERLINK("https://klasma.github.io/Logging_1863/tillsyn/A 20696-2026 tillsynsbegäran.docx", "A 20696-2026")</f>
        <v/>
      </c>
      <c r="Y25">
        <f>HYPERLINK("https://klasma.github.io/Logging_1863/tillsynsmail/A 20696-2026 tillsynsbegäran mail.docx", "A 20696-2026")</f>
        <v/>
      </c>
    </row>
    <row r="26" ht="15" customHeight="1">
      <c r="A26" t="inlineStr">
        <is>
          <t>A 20695-2026</t>
        </is>
      </c>
      <c r="B26" s="1" t="n">
        <v>46141</v>
      </c>
      <c r="C26" s="1" t="n">
        <v>46204</v>
      </c>
      <c r="D26" t="inlineStr">
        <is>
          <t>ÖREBRO LÄN</t>
        </is>
      </c>
      <c r="E26" t="inlineStr">
        <is>
          <t>HÄLLEFORS</t>
        </is>
      </c>
      <c r="F26" t="inlineStr">
        <is>
          <t>Sveaskog</t>
        </is>
      </c>
      <c r="G26" t="n">
        <v>8</v>
      </c>
      <c r="H26" t="n">
        <v>1</v>
      </c>
      <c r="I26" t="n">
        <v>0</v>
      </c>
      <c r="J26" t="n">
        <v>1</v>
      </c>
      <c r="K26" t="n">
        <v>0</v>
      </c>
      <c r="L26" t="n">
        <v>0</v>
      </c>
      <c r="M26" t="n">
        <v>0</v>
      </c>
      <c r="N26" t="n">
        <v>0</v>
      </c>
      <c r="O26" t="n">
        <v>1</v>
      </c>
      <c r="P26" t="n">
        <v>0</v>
      </c>
      <c r="Q26" t="n">
        <v>2</v>
      </c>
      <c r="R26" s="2" t="inlineStr">
        <is>
          <t>Vedskivlav
Spillkråka</t>
        </is>
      </c>
      <c r="S26">
        <f>HYPERLINK("https://klasma.github.io/Logging_1863/artfynd/A 20695-2026 artfynd.xlsx", "A 20695-2026")</f>
        <v/>
      </c>
      <c r="T26">
        <f>HYPERLINK("https://klasma.github.io/Logging_1863/kartor/A 20695-2026 karta.png", "A 20695-2026")</f>
        <v/>
      </c>
      <c r="V26">
        <f>HYPERLINK("https://klasma.github.io/Logging_1863/klagomål/A 20695-2026 FSC-klagomål.docx", "A 20695-2026")</f>
        <v/>
      </c>
      <c r="W26">
        <f>HYPERLINK("https://klasma.github.io/Logging_1863/klagomålsmail/A 20695-2026 FSC-klagomål mail.docx", "A 20695-2026")</f>
        <v/>
      </c>
      <c r="X26">
        <f>HYPERLINK("https://klasma.github.io/Logging_1863/tillsyn/A 20695-2026 tillsynsbegäran.docx", "A 20695-2026")</f>
        <v/>
      </c>
      <c r="Y26">
        <f>HYPERLINK("https://klasma.github.io/Logging_1863/tillsynsmail/A 20695-2026 tillsynsbegäran mail.docx", "A 20695-2026")</f>
        <v/>
      </c>
      <c r="Z26">
        <f>HYPERLINK("https://klasma.github.io/Logging_1863/fåglar/A 20695-2026 prioriterade fågelarter.docx", "A 20695-2026")</f>
        <v/>
      </c>
    </row>
    <row r="27" ht="15" customHeight="1">
      <c r="A27" t="inlineStr">
        <is>
          <t>A 22247-2026</t>
        </is>
      </c>
      <c r="B27" s="1" t="n">
        <v>46154</v>
      </c>
      <c r="C27" s="1" t="n">
        <v>46204</v>
      </c>
      <c r="D27" t="inlineStr">
        <is>
          <t>ÖREBRO LÄN</t>
        </is>
      </c>
      <c r="E27" t="inlineStr">
        <is>
          <t>HÄLLEFORS</t>
        </is>
      </c>
      <c r="F27" t="inlineStr">
        <is>
          <t>Sveaskog</t>
        </is>
      </c>
      <c r="G27" t="n">
        <v>3.2</v>
      </c>
      <c r="H27" t="n">
        <v>2</v>
      </c>
      <c r="I27" t="n">
        <v>0</v>
      </c>
      <c r="J27" t="n">
        <v>0</v>
      </c>
      <c r="K27" t="n">
        <v>0</v>
      </c>
      <c r="L27" t="n">
        <v>0</v>
      </c>
      <c r="M27" t="n">
        <v>0</v>
      </c>
      <c r="N27" t="n">
        <v>0</v>
      </c>
      <c r="O27" t="n">
        <v>0</v>
      </c>
      <c r="P27" t="n">
        <v>0</v>
      </c>
      <c r="Q27" t="n">
        <v>2</v>
      </c>
      <c r="R27" s="2" t="inlineStr">
        <is>
          <t>Mattlummer
Tjäder</t>
        </is>
      </c>
      <c r="S27">
        <f>HYPERLINK("https://klasma.github.io/Logging_1863/artfynd/A 22247-2026 artfynd.xlsx", "A 22247-2026")</f>
        <v/>
      </c>
      <c r="T27">
        <f>HYPERLINK("https://klasma.github.io/Logging_1863/kartor/A 22247-2026 karta.png", "A 22247-2026")</f>
        <v/>
      </c>
      <c r="V27">
        <f>HYPERLINK("https://klasma.github.io/Logging_1863/klagomål/A 22247-2026 FSC-klagomål.docx", "A 22247-2026")</f>
        <v/>
      </c>
      <c r="W27">
        <f>HYPERLINK("https://klasma.github.io/Logging_1863/klagomålsmail/A 22247-2026 FSC-klagomål mail.docx", "A 22247-2026")</f>
        <v/>
      </c>
      <c r="X27">
        <f>HYPERLINK("https://klasma.github.io/Logging_1863/tillsyn/A 22247-2026 tillsynsbegäran.docx", "A 22247-2026")</f>
        <v/>
      </c>
      <c r="Y27">
        <f>HYPERLINK("https://klasma.github.io/Logging_1863/tillsynsmail/A 22247-2026 tillsynsbegäran mail.docx", "A 22247-2026")</f>
        <v/>
      </c>
      <c r="Z27">
        <f>HYPERLINK("https://klasma.github.io/Logging_1863/fåglar/A 22247-2026 prioriterade fågelarter.docx", "A 22247-2026")</f>
        <v/>
      </c>
    </row>
    <row r="28" ht="15" customHeight="1">
      <c r="A28" t="inlineStr">
        <is>
          <t>A 46114-2021</t>
        </is>
      </c>
      <c r="B28" s="1" t="n">
        <v>44442</v>
      </c>
      <c r="C28" s="1" t="n">
        <v>46204</v>
      </c>
      <c r="D28" t="inlineStr">
        <is>
          <t>ÖREBRO LÄN</t>
        </is>
      </c>
      <c r="E28" t="inlineStr">
        <is>
          <t>HÄLLEFORS</t>
        </is>
      </c>
      <c r="F28" t="inlineStr">
        <is>
          <t>Sveaskog</t>
        </is>
      </c>
      <c r="G28" t="n">
        <v>4.1</v>
      </c>
      <c r="H28" t="n">
        <v>0</v>
      </c>
      <c r="I28" t="n">
        <v>0</v>
      </c>
      <c r="J28" t="n">
        <v>1</v>
      </c>
      <c r="K28" t="n">
        <v>0</v>
      </c>
      <c r="L28" t="n">
        <v>0</v>
      </c>
      <c r="M28" t="n">
        <v>0</v>
      </c>
      <c r="N28" t="n">
        <v>0</v>
      </c>
      <c r="O28" t="n">
        <v>1</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39540-2022</t>
        </is>
      </c>
      <c r="B29" s="1" t="n">
        <v>44818</v>
      </c>
      <c r="C29" s="1" t="n">
        <v>46204</v>
      </c>
      <c r="D29" t="inlineStr">
        <is>
          <t>ÖREBRO LÄN</t>
        </is>
      </c>
      <c r="E29" t="inlineStr">
        <is>
          <t>HÄLLEFORS</t>
        </is>
      </c>
      <c r="G29" t="n">
        <v>0.5</v>
      </c>
      <c r="H29" t="n">
        <v>0</v>
      </c>
      <c r="I29" t="n">
        <v>1</v>
      </c>
      <c r="J29" t="n">
        <v>0</v>
      </c>
      <c r="K29" t="n">
        <v>0</v>
      </c>
      <c r="L29" t="n">
        <v>0</v>
      </c>
      <c r="M29" t="n">
        <v>0</v>
      </c>
      <c r="N29" t="n">
        <v>0</v>
      </c>
      <c r="O29" t="n">
        <v>0</v>
      </c>
      <c r="P29" t="n">
        <v>0</v>
      </c>
      <c r="Q29" t="n">
        <v>1</v>
      </c>
      <c r="R29" s="2" t="inlineStr">
        <is>
          <t>Norrlandslav</t>
        </is>
      </c>
      <c r="S29">
        <f>HYPERLINK("https://klasma.github.io/Logging_1863/artfynd/A 39540-2022 artfynd.xlsx", "A 39540-2022")</f>
        <v/>
      </c>
      <c r="T29">
        <f>HYPERLINK("https://klasma.github.io/Logging_1863/kartor/A 39540-2022 karta.png", "A 39540-2022")</f>
        <v/>
      </c>
      <c r="V29">
        <f>HYPERLINK("https://klasma.github.io/Logging_1863/klagomål/A 39540-2022 FSC-klagomål.docx", "A 39540-2022")</f>
        <v/>
      </c>
      <c r="W29">
        <f>HYPERLINK("https://klasma.github.io/Logging_1863/klagomålsmail/A 39540-2022 FSC-klagomål mail.docx", "A 39540-2022")</f>
        <v/>
      </c>
      <c r="X29">
        <f>HYPERLINK("https://klasma.github.io/Logging_1863/tillsyn/A 39540-2022 tillsynsbegäran.docx", "A 39540-2022")</f>
        <v/>
      </c>
      <c r="Y29">
        <f>HYPERLINK("https://klasma.github.io/Logging_1863/tillsynsmail/A 39540-2022 tillsynsbegäran mail.docx", "A 39540-2022")</f>
        <v/>
      </c>
    </row>
    <row r="30" ht="15" customHeight="1">
      <c r="A30" t="inlineStr">
        <is>
          <t>A 56295-2021</t>
        </is>
      </c>
      <c r="B30" s="1" t="n">
        <v>44477</v>
      </c>
      <c r="C30" s="1" t="n">
        <v>46204</v>
      </c>
      <c r="D30" t="inlineStr">
        <is>
          <t>ÖREBRO LÄN</t>
        </is>
      </c>
      <c r="E30" t="inlineStr">
        <is>
          <t>HÄLLEFORS</t>
        </is>
      </c>
      <c r="G30" t="n">
        <v>11.3</v>
      </c>
      <c r="H30" t="n">
        <v>1</v>
      </c>
      <c r="I30" t="n">
        <v>0</v>
      </c>
      <c r="J30" t="n">
        <v>1</v>
      </c>
      <c r="K30" t="n">
        <v>0</v>
      </c>
      <c r="L30" t="n">
        <v>0</v>
      </c>
      <c r="M30" t="n">
        <v>0</v>
      </c>
      <c r="N30" t="n">
        <v>0</v>
      </c>
      <c r="O30" t="n">
        <v>1</v>
      </c>
      <c r="P30" t="n">
        <v>0</v>
      </c>
      <c r="Q30" t="n">
        <v>1</v>
      </c>
      <c r="R30" s="2" t="inlineStr">
        <is>
          <t>Kungsörn</t>
        </is>
      </c>
      <c r="S30">
        <f>HYPERLINK("https://klasma.github.io/Logging_1863/artfynd/A 56295-2021 artfynd.xlsx", "A 56295-2021")</f>
        <v/>
      </c>
      <c r="T30">
        <f>HYPERLINK("https://klasma.github.io/Logging_1863/kartor/A 56295-2021 karta.png", "A 56295-2021")</f>
        <v/>
      </c>
      <c r="V30">
        <f>HYPERLINK("https://klasma.github.io/Logging_1863/klagomål/A 56295-2021 FSC-klagomål.docx", "A 56295-2021")</f>
        <v/>
      </c>
      <c r="W30">
        <f>HYPERLINK("https://klasma.github.io/Logging_1863/klagomålsmail/A 56295-2021 FSC-klagomål mail.docx", "A 56295-2021")</f>
        <v/>
      </c>
      <c r="X30">
        <f>HYPERLINK("https://klasma.github.io/Logging_1863/tillsyn/A 56295-2021 tillsynsbegäran.docx", "A 56295-2021")</f>
        <v/>
      </c>
      <c r="Y30">
        <f>HYPERLINK("https://klasma.github.io/Logging_1863/tillsynsmail/A 56295-2021 tillsynsbegäran mail.docx", "A 56295-2021")</f>
        <v/>
      </c>
      <c r="Z30">
        <f>HYPERLINK("https://klasma.github.io/Logging_1863/fåglar/A 56295-2021 prioriterade fågelarter.docx", "A 56295-2021")</f>
        <v/>
      </c>
    </row>
    <row r="31" ht="15" customHeight="1">
      <c r="A31" t="inlineStr">
        <is>
          <t>A 5025-2022</t>
        </is>
      </c>
      <c r="B31" s="1" t="n">
        <v>44593</v>
      </c>
      <c r="C31" s="1" t="n">
        <v>46204</v>
      </c>
      <c r="D31" t="inlineStr">
        <is>
          <t>ÖREBRO LÄN</t>
        </is>
      </c>
      <c r="E31" t="inlineStr">
        <is>
          <t>HÄLLEFORS</t>
        </is>
      </c>
      <c r="G31" t="n">
        <v>3.7</v>
      </c>
      <c r="H31" t="n">
        <v>1</v>
      </c>
      <c r="I31" t="n">
        <v>0</v>
      </c>
      <c r="J31" t="n">
        <v>0</v>
      </c>
      <c r="K31" t="n">
        <v>0</v>
      </c>
      <c r="L31" t="n">
        <v>0</v>
      </c>
      <c r="M31" t="n">
        <v>0</v>
      </c>
      <c r="N31" t="n">
        <v>0</v>
      </c>
      <c r="O31" t="n">
        <v>0</v>
      </c>
      <c r="P31" t="n">
        <v>0</v>
      </c>
      <c r="Q31" t="n">
        <v>1</v>
      </c>
      <c r="R31" s="2" t="inlineStr">
        <is>
          <t>Smålom</t>
        </is>
      </c>
      <c r="S31">
        <f>HYPERLINK("https://klasma.github.io/Logging_1863/artfynd/A 5025-2022 artfynd.xlsx", "A 5025-2022")</f>
        <v/>
      </c>
      <c r="T31">
        <f>HYPERLINK("https://klasma.github.io/Logging_1863/kartor/A 5025-2022 karta.png", "A 5025-2022")</f>
        <v/>
      </c>
      <c r="V31">
        <f>HYPERLINK("https://klasma.github.io/Logging_1863/klagomål/A 5025-2022 FSC-klagomål.docx", "A 5025-2022")</f>
        <v/>
      </c>
      <c r="W31">
        <f>HYPERLINK("https://klasma.github.io/Logging_1863/klagomålsmail/A 5025-2022 FSC-klagomål mail.docx", "A 5025-2022")</f>
        <v/>
      </c>
      <c r="X31">
        <f>HYPERLINK("https://klasma.github.io/Logging_1863/tillsyn/A 5025-2022 tillsynsbegäran.docx", "A 5025-2022")</f>
        <v/>
      </c>
      <c r="Y31">
        <f>HYPERLINK("https://klasma.github.io/Logging_1863/tillsynsmail/A 5025-2022 tillsynsbegäran mail.docx", "A 5025-2022")</f>
        <v/>
      </c>
      <c r="Z31">
        <f>HYPERLINK("https://klasma.github.io/Logging_1863/fåglar/A 5025-2022 prioriterade fågelarter.docx", "A 5025-2022")</f>
        <v/>
      </c>
    </row>
    <row r="32" ht="15" customHeight="1">
      <c r="A32" t="inlineStr">
        <is>
          <t>A 28598-2024</t>
        </is>
      </c>
      <c r="B32" s="1" t="n">
        <v>45478</v>
      </c>
      <c r="C32" s="1" t="n">
        <v>46204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18889-2024</t>
        </is>
      </c>
      <c r="B33" s="1" t="n">
        <v>45427</v>
      </c>
      <c r="C33" s="1" t="n">
        <v>46204</v>
      </c>
      <c r="D33" t="inlineStr">
        <is>
          <t>ÖREBRO LÄN</t>
        </is>
      </c>
      <c r="E33" t="inlineStr">
        <is>
          <t>HÄLLEFORS</t>
        </is>
      </c>
      <c r="G33" t="n">
        <v>8.5</v>
      </c>
      <c r="H33" t="n">
        <v>1</v>
      </c>
      <c r="I33" t="n">
        <v>0</v>
      </c>
      <c r="J33" t="n">
        <v>0</v>
      </c>
      <c r="K33" t="n">
        <v>0</v>
      </c>
      <c r="L33" t="n">
        <v>0</v>
      </c>
      <c r="M33" t="n">
        <v>0</v>
      </c>
      <c r="N33" t="n">
        <v>0</v>
      </c>
      <c r="O33" t="n">
        <v>0</v>
      </c>
      <c r="P33" t="n">
        <v>0</v>
      </c>
      <c r="Q33" t="n">
        <v>1</v>
      </c>
      <c r="R33" s="2" t="inlineStr">
        <is>
          <t>Gröngöling</t>
        </is>
      </c>
      <c r="S33">
        <f>HYPERLINK("https://klasma.github.io/Logging_1863/artfynd/A 18889-2024 artfynd.xlsx", "A 18889-2024")</f>
        <v/>
      </c>
      <c r="T33">
        <f>HYPERLINK("https://klasma.github.io/Logging_1863/kartor/A 18889-2024 karta.png", "A 18889-2024")</f>
        <v/>
      </c>
      <c r="V33">
        <f>HYPERLINK("https://klasma.github.io/Logging_1863/klagomål/A 18889-2024 FSC-klagomål.docx", "A 18889-2024")</f>
        <v/>
      </c>
      <c r="W33">
        <f>HYPERLINK("https://klasma.github.io/Logging_1863/klagomålsmail/A 18889-2024 FSC-klagomål mail.docx", "A 18889-2024")</f>
        <v/>
      </c>
      <c r="X33">
        <f>HYPERLINK("https://klasma.github.io/Logging_1863/tillsyn/A 18889-2024 tillsynsbegäran.docx", "A 18889-2024")</f>
        <v/>
      </c>
      <c r="Y33">
        <f>HYPERLINK("https://klasma.github.io/Logging_1863/tillsynsmail/A 18889-2024 tillsynsbegäran mail.docx", "A 18889-2024")</f>
        <v/>
      </c>
    </row>
    <row r="34" ht="15" customHeight="1">
      <c r="A34" t="inlineStr">
        <is>
          <t>A 17350-2025</t>
        </is>
      </c>
      <c r="B34" s="1" t="n">
        <v>45756</v>
      </c>
      <c r="C34" s="1" t="n">
        <v>46204</v>
      </c>
      <c r="D34" t="inlineStr">
        <is>
          <t>ÖREBRO LÄN</t>
        </is>
      </c>
      <c r="E34" t="inlineStr">
        <is>
          <t>HÄLLEFORS</t>
        </is>
      </c>
      <c r="F34" t="inlineStr">
        <is>
          <t>Bergvik skog väst AB</t>
        </is>
      </c>
      <c r="G34" t="n">
        <v>6.9</v>
      </c>
      <c r="H34" t="n">
        <v>1</v>
      </c>
      <c r="I34" t="n">
        <v>0</v>
      </c>
      <c r="J34" t="n">
        <v>0</v>
      </c>
      <c r="K34" t="n">
        <v>0</v>
      </c>
      <c r="L34" t="n">
        <v>0</v>
      </c>
      <c r="M34" t="n">
        <v>0</v>
      </c>
      <c r="N34" t="n">
        <v>0</v>
      </c>
      <c r="O34" t="n">
        <v>0</v>
      </c>
      <c r="P34" t="n">
        <v>0</v>
      </c>
      <c r="Q34" t="n">
        <v>1</v>
      </c>
      <c r="R34" s="2" t="inlineStr">
        <is>
          <t>Smålom</t>
        </is>
      </c>
      <c r="S34">
        <f>HYPERLINK("https://klasma.github.io/Logging_1863/artfynd/A 17350-2025 artfynd.xlsx", "A 17350-2025")</f>
        <v/>
      </c>
      <c r="T34">
        <f>HYPERLINK("https://klasma.github.io/Logging_1863/kartor/A 17350-2025 karta.png", "A 17350-2025")</f>
        <v/>
      </c>
      <c r="V34">
        <f>HYPERLINK("https://klasma.github.io/Logging_1863/klagomål/A 17350-2025 FSC-klagomål.docx", "A 17350-2025")</f>
        <v/>
      </c>
      <c r="W34">
        <f>HYPERLINK("https://klasma.github.io/Logging_1863/klagomålsmail/A 17350-2025 FSC-klagomål mail.docx", "A 17350-2025")</f>
        <v/>
      </c>
      <c r="X34">
        <f>HYPERLINK("https://klasma.github.io/Logging_1863/tillsyn/A 17350-2025 tillsynsbegäran.docx", "A 17350-2025")</f>
        <v/>
      </c>
      <c r="Y34">
        <f>HYPERLINK("https://klasma.github.io/Logging_1863/tillsynsmail/A 17350-2025 tillsynsbegäran mail.docx", "A 17350-2025")</f>
        <v/>
      </c>
      <c r="Z34">
        <f>HYPERLINK("https://klasma.github.io/Logging_1863/fåglar/A 17350-2025 prioriterade fågelarter.docx", "A 17350-2025")</f>
        <v/>
      </c>
    </row>
    <row r="35" ht="15" customHeight="1">
      <c r="A35" t="inlineStr">
        <is>
          <t>A 57421-2025</t>
        </is>
      </c>
      <c r="B35" s="1" t="n">
        <v>45980</v>
      </c>
      <c r="C35" s="1" t="n">
        <v>46204</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Gropticka</t>
        </is>
      </c>
      <c r="S35">
        <f>HYPERLINK("https://klasma.github.io/Logging_1863/artfynd/A 57421-2025 artfynd.xlsx", "A 57421-2025")</f>
        <v/>
      </c>
      <c r="T35">
        <f>HYPERLINK("https://klasma.github.io/Logging_1863/kartor/A 57421-2025 karta.png", "A 57421-2025")</f>
        <v/>
      </c>
      <c r="V35">
        <f>HYPERLINK("https://klasma.github.io/Logging_1863/klagomål/A 57421-2025 FSC-klagomål.docx", "A 57421-2025")</f>
        <v/>
      </c>
      <c r="W35">
        <f>HYPERLINK("https://klasma.github.io/Logging_1863/klagomålsmail/A 57421-2025 FSC-klagomål mail.docx", "A 57421-2025")</f>
        <v/>
      </c>
      <c r="X35">
        <f>HYPERLINK("https://klasma.github.io/Logging_1863/tillsyn/A 57421-2025 tillsynsbegäran.docx", "A 57421-2025")</f>
        <v/>
      </c>
      <c r="Y35">
        <f>HYPERLINK("https://klasma.github.io/Logging_1863/tillsynsmail/A 57421-2025 tillsynsbegäran mail.docx", "A 57421-2025")</f>
        <v/>
      </c>
    </row>
    <row r="36" ht="15" customHeight="1">
      <c r="A36" t="inlineStr">
        <is>
          <t>A 23423-2026</t>
        </is>
      </c>
      <c r="B36" s="1" t="n">
        <v>46163</v>
      </c>
      <c r="C36" s="1" t="n">
        <v>46204</v>
      </c>
      <c r="D36" t="inlineStr">
        <is>
          <t>ÖREBRO LÄN</t>
        </is>
      </c>
      <c r="E36" t="inlineStr">
        <is>
          <t>HÄLLEFORS</t>
        </is>
      </c>
      <c r="F36" t="inlineStr">
        <is>
          <t>Sveaskog</t>
        </is>
      </c>
      <c r="G36" t="n">
        <v>4.4</v>
      </c>
      <c r="H36" t="n">
        <v>1</v>
      </c>
      <c r="I36" t="n">
        <v>0</v>
      </c>
      <c r="J36" t="n">
        <v>0</v>
      </c>
      <c r="K36" t="n">
        <v>0</v>
      </c>
      <c r="L36" t="n">
        <v>0</v>
      </c>
      <c r="M36" t="n">
        <v>0</v>
      </c>
      <c r="N36" t="n">
        <v>0</v>
      </c>
      <c r="O36" t="n">
        <v>0</v>
      </c>
      <c r="P36" t="n">
        <v>0</v>
      </c>
      <c r="Q36" t="n">
        <v>1</v>
      </c>
      <c r="R36" s="2" t="inlineStr">
        <is>
          <t>Revlummer</t>
        </is>
      </c>
      <c r="S36">
        <f>HYPERLINK("https://klasma.github.io/Logging_1863/artfynd/A 23423-2026 artfynd.xlsx", "A 23423-2026")</f>
        <v/>
      </c>
      <c r="T36">
        <f>HYPERLINK("https://klasma.github.io/Logging_1863/kartor/A 23423-2026 karta.png", "A 23423-2026")</f>
        <v/>
      </c>
      <c r="V36">
        <f>HYPERLINK("https://klasma.github.io/Logging_1863/klagomål/A 23423-2026 FSC-klagomål.docx", "A 23423-2026")</f>
        <v/>
      </c>
      <c r="W36">
        <f>HYPERLINK("https://klasma.github.io/Logging_1863/klagomålsmail/A 23423-2026 FSC-klagomål mail.docx", "A 23423-2026")</f>
        <v/>
      </c>
      <c r="X36">
        <f>HYPERLINK("https://klasma.github.io/Logging_1863/tillsyn/A 23423-2026 tillsynsbegäran.docx", "A 23423-2026")</f>
        <v/>
      </c>
      <c r="Y36">
        <f>HYPERLINK("https://klasma.github.io/Logging_1863/tillsynsmail/A 23423-2026 tillsynsbegäran mail.docx", "A 23423-2026")</f>
        <v/>
      </c>
    </row>
    <row r="37" ht="15" customHeight="1">
      <c r="A37" t="inlineStr">
        <is>
          <t>A 18048-2026</t>
        </is>
      </c>
      <c r="B37" s="1" t="n">
        <v>46125</v>
      </c>
      <c r="C37" s="1" t="n">
        <v>46204</v>
      </c>
      <c r="D37" t="inlineStr">
        <is>
          <t>ÖREBRO LÄN</t>
        </is>
      </c>
      <c r="E37" t="inlineStr">
        <is>
          <t>HÄLLEFORS</t>
        </is>
      </c>
      <c r="F37" t="inlineStr">
        <is>
          <t>Sveaskog</t>
        </is>
      </c>
      <c r="G37" t="n">
        <v>1.2</v>
      </c>
      <c r="H37" t="n">
        <v>1</v>
      </c>
      <c r="I37" t="n">
        <v>0</v>
      </c>
      <c r="J37" t="n">
        <v>0</v>
      </c>
      <c r="K37" t="n">
        <v>0</v>
      </c>
      <c r="L37" t="n">
        <v>0</v>
      </c>
      <c r="M37" t="n">
        <v>0</v>
      </c>
      <c r="N37" t="n">
        <v>0</v>
      </c>
      <c r="O37" t="n">
        <v>0</v>
      </c>
      <c r="P37" t="n">
        <v>0</v>
      </c>
      <c r="Q37" t="n">
        <v>1</v>
      </c>
      <c r="R37" s="2" t="inlineStr">
        <is>
          <t>Blåsippa</t>
        </is>
      </c>
      <c r="S37">
        <f>HYPERLINK("https://klasma.github.io/Logging_1863/artfynd/A 18048-2026 artfynd.xlsx", "A 18048-2026")</f>
        <v/>
      </c>
      <c r="T37">
        <f>HYPERLINK("https://klasma.github.io/Logging_1863/kartor/A 18048-2026 karta.png", "A 18048-2026")</f>
        <v/>
      </c>
      <c r="V37">
        <f>HYPERLINK("https://klasma.github.io/Logging_1863/klagomål/A 18048-2026 FSC-klagomål.docx", "A 18048-2026")</f>
        <v/>
      </c>
      <c r="W37">
        <f>HYPERLINK("https://klasma.github.io/Logging_1863/klagomålsmail/A 18048-2026 FSC-klagomål mail.docx", "A 18048-2026")</f>
        <v/>
      </c>
      <c r="X37">
        <f>HYPERLINK("https://klasma.github.io/Logging_1863/tillsyn/A 18048-2026 tillsynsbegäran.docx", "A 18048-2026")</f>
        <v/>
      </c>
      <c r="Y37">
        <f>HYPERLINK("https://klasma.github.io/Logging_1863/tillsynsmail/A 18048-2026 tillsynsbegäran mail.docx", "A 18048-2026")</f>
        <v/>
      </c>
    </row>
    <row r="38" ht="15" customHeight="1">
      <c r="A38" t="inlineStr">
        <is>
          <t>A 18050-2026</t>
        </is>
      </c>
      <c r="B38" s="1" t="n">
        <v>46125</v>
      </c>
      <c r="C38" s="1" t="n">
        <v>46204</v>
      </c>
      <c r="D38" t="inlineStr">
        <is>
          <t>ÖREBRO LÄN</t>
        </is>
      </c>
      <c r="E38" t="inlineStr">
        <is>
          <t>HÄLLEFORS</t>
        </is>
      </c>
      <c r="F38" t="inlineStr">
        <is>
          <t>Sveaskog</t>
        </is>
      </c>
      <c r="G38" t="n">
        <v>10.2</v>
      </c>
      <c r="H38" t="n">
        <v>0</v>
      </c>
      <c r="I38" t="n">
        <v>0</v>
      </c>
      <c r="J38" t="n">
        <v>1</v>
      </c>
      <c r="K38" t="n">
        <v>0</v>
      </c>
      <c r="L38" t="n">
        <v>0</v>
      </c>
      <c r="M38" t="n">
        <v>0</v>
      </c>
      <c r="N38" t="n">
        <v>0</v>
      </c>
      <c r="O38" t="n">
        <v>1</v>
      </c>
      <c r="P38" t="n">
        <v>0</v>
      </c>
      <c r="Q38" t="n">
        <v>1</v>
      </c>
      <c r="R38" s="2" t="inlineStr">
        <is>
          <t>Dofttaggsvamp</t>
        </is>
      </c>
      <c r="S38">
        <f>HYPERLINK("https://klasma.github.io/Logging_1863/artfynd/A 18050-2026 artfynd.xlsx", "A 18050-2026")</f>
        <v/>
      </c>
      <c r="T38">
        <f>HYPERLINK("https://klasma.github.io/Logging_1863/kartor/A 18050-2026 karta.png", "A 18050-2026")</f>
        <v/>
      </c>
      <c r="V38">
        <f>HYPERLINK("https://klasma.github.io/Logging_1863/klagomål/A 18050-2026 FSC-klagomål.docx", "A 18050-2026")</f>
        <v/>
      </c>
      <c r="W38">
        <f>HYPERLINK("https://klasma.github.io/Logging_1863/klagomålsmail/A 18050-2026 FSC-klagomål mail.docx", "A 18050-2026")</f>
        <v/>
      </c>
      <c r="X38">
        <f>HYPERLINK("https://klasma.github.io/Logging_1863/tillsyn/A 18050-2026 tillsynsbegäran.docx", "A 18050-2026")</f>
        <v/>
      </c>
      <c r="Y38">
        <f>HYPERLINK("https://klasma.github.io/Logging_1863/tillsynsmail/A 18050-2026 tillsynsbegäran mail.docx", "A 18050-2026")</f>
        <v/>
      </c>
    </row>
    <row r="39" ht="15" customHeight="1">
      <c r="A39" t="inlineStr">
        <is>
          <t>A 5244-2025</t>
        </is>
      </c>
      <c r="B39" s="1" t="n">
        <v>45692</v>
      </c>
      <c r="C39" s="1" t="n">
        <v>46204</v>
      </c>
      <c r="D39" t="inlineStr">
        <is>
          <t>ÖREBRO LÄN</t>
        </is>
      </c>
      <c r="E39" t="inlineStr">
        <is>
          <t>HÄLLEFORS</t>
        </is>
      </c>
      <c r="F39" t="inlineStr">
        <is>
          <t>Bergvik skog väst AB</t>
        </is>
      </c>
      <c r="G39" t="n">
        <v>9.199999999999999</v>
      </c>
      <c r="H39" t="n">
        <v>0</v>
      </c>
      <c r="I39" t="n">
        <v>0</v>
      </c>
      <c r="J39" t="n">
        <v>1</v>
      </c>
      <c r="K39" t="n">
        <v>0</v>
      </c>
      <c r="L39" t="n">
        <v>0</v>
      </c>
      <c r="M39" t="n">
        <v>0</v>
      </c>
      <c r="N39" t="n">
        <v>0</v>
      </c>
      <c r="O39" t="n">
        <v>1</v>
      </c>
      <c r="P39" t="n">
        <v>0</v>
      </c>
      <c r="Q39" t="n">
        <v>1</v>
      </c>
      <c r="R39" s="2" t="inlineStr">
        <is>
          <t>Lunglav</t>
        </is>
      </c>
      <c r="S39">
        <f>HYPERLINK("https://klasma.github.io/Logging_1863/artfynd/A 5244-2025 artfynd.xlsx", "A 5244-2025")</f>
        <v/>
      </c>
      <c r="T39">
        <f>HYPERLINK("https://klasma.github.io/Logging_1863/kartor/A 5244-2025 karta.png", "A 5244-2025")</f>
        <v/>
      </c>
      <c r="V39">
        <f>HYPERLINK("https://klasma.github.io/Logging_1863/klagomål/A 5244-2025 FSC-klagomål.docx", "A 5244-2025")</f>
        <v/>
      </c>
      <c r="W39">
        <f>HYPERLINK("https://klasma.github.io/Logging_1863/klagomålsmail/A 5244-2025 FSC-klagomål mail.docx", "A 5244-2025")</f>
        <v/>
      </c>
      <c r="X39">
        <f>HYPERLINK("https://klasma.github.io/Logging_1863/tillsyn/A 5244-2025 tillsynsbegäran.docx", "A 5244-2025")</f>
        <v/>
      </c>
      <c r="Y39">
        <f>HYPERLINK("https://klasma.github.io/Logging_1863/tillsynsmail/A 5244-2025 tillsynsbegäran mail.docx", "A 5244-2025")</f>
        <v/>
      </c>
    </row>
    <row r="40" ht="15" customHeight="1">
      <c r="A40" t="inlineStr">
        <is>
          <t>A 19948-2026</t>
        </is>
      </c>
      <c r="B40" s="1" t="n">
        <v>46136</v>
      </c>
      <c r="C40" s="1" t="n">
        <v>46204</v>
      </c>
      <c r="D40" t="inlineStr">
        <is>
          <t>ÖREBRO LÄN</t>
        </is>
      </c>
      <c r="E40" t="inlineStr">
        <is>
          <t>HÄLLEFORS</t>
        </is>
      </c>
      <c r="F40" t="inlineStr">
        <is>
          <t>Bergvik skog väst AB</t>
        </is>
      </c>
      <c r="G40" t="n">
        <v>10.3</v>
      </c>
      <c r="H40" t="n">
        <v>1</v>
      </c>
      <c r="I40" t="n">
        <v>0</v>
      </c>
      <c r="J40" t="n">
        <v>0</v>
      </c>
      <c r="K40" t="n">
        <v>0</v>
      </c>
      <c r="L40" t="n">
        <v>0</v>
      </c>
      <c r="M40" t="n">
        <v>0</v>
      </c>
      <c r="N40" t="n">
        <v>0</v>
      </c>
      <c r="O40" t="n">
        <v>0</v>
      </c>
      <c r="P40" t="n">
        <v>0</v>
      </c>
      <c r="Q40" t="n">
        <v>1</v>
      </c>
      <c r="R40" s="2" t="inlineStr">
        <is>
          <t>Mattlummer</t>
        </is>
      </c>
      <c r="S40">
        <f>HYPERLINK("https://klasma.github.io/Logging_1863/artfynd/A 19948-2026 artfynd.xlsx", "A 19948-2026")</f>
        <v/>
      </c>
      <c r="T40">
        <f>HYPERLINK("https://klasma.github.io/Logging_1863/kartor/A 19948-2026 karta.png", "A 19948-2026")</f>
        <v/>
      </c>
      <c r="V40">
        <f>HYPERLINK("https://klasma.github.io/Logging_1863/klagomål/A 19948-2026 FSC-klagomål.docx", "A 19948-2026")</f>
        <v/>
      </c>
      <c r="W40">
        <f>HYPERLINK("https://klasma.github.io/Logging_1863/klagomålsmail/A 19948-2026 FSC-klagomål mail.docx", "A 19948-2026")</f>
        <v/>
      </c>
      <c r="X40">
        <f>HYPERLINK("https://klasma.github.io/Logging_1863/tillsyn/A 19948-2026 tillsynsbegäran.docx", "A 19948-2026")</f>
        <v/>
      </c>
      <c r="Y40">
        <f>HYPERLINK("https://klasma.github.io/Logging_1863/tillsynsmail/A 19948-2026 tillsynsbegäran mail.docx", "A 19948-2026")</f>
        <v/>
      </c>
    </row>
    <row r="41" ht="15" customHeight="1">
      <c r="A41" t="inlineStr">
        <is>
          <t>A 16923-2025</t>
        </is>
      </c>
      <c r="B41" s="1" t="n">
        <v>45755</v>
      </c>
      <c r="C41" s="1" t="n">
        <v>46204</v>
      </c>
      <c r="D41" t="inlineStr">
        <is>
          <t>ÖREBRO LÄN</t>
        </is>
      </c>
      <c r="E41" t="inlineStr">
        <is>
          <t>HÄLLEFORS</t>
        </is>
      </c>
      <c r="F41" t="inlineStr">
        <is>
          <t>Bergvik skog väst AB</t>
        </is>
      </c>
      <c r="G41" t="n">
        <v>3.5</v>
      </c>
      <c r="H41" t="n">
        <v>1</v>
      </c>
      <c r="I41" t="n">
        <v>0</v>
      </c>
      <c r="J41" t="n">
        <v>1</v>
      </c>
      <c r="K41" t="n">
        <v>0</v>
      </c>
      <c r="L41" t="n">
        <v>0</v>
      </c>
      <c r="M41" t="n">
        <v>0</v>
      </c>
      <c r="N41" t="n">
        <v>0</v>
      </c>
      <c r="O41" t="n">
        <v>1</v>
      </c>
      <c r="P41" t="n">
        <v>0</v>
      </c>
      <c r="Q41" t="n">
        <v>1</v>
      </c>
      <c r="R41" s="2" t="inlineStr">
        <is>
          <t>Strandlummer</t>
        </is>
      </c>
      <c r="S41">
        <f>HYPERLINK("https://klasma.github.io/Logging_1863/artfynd/A 16923-2025 artfynd.xlsx", "A 16923-2025")</f>
        <v/>
      </c>
      <c r="T41">
        <f>HYPERLINK("https://klasma.github.io/Logging_1863/kartor/A 16923-2025 karta.png", "A 16923-2025")</f>
        <v/>
      </c>
      <c r="V41">
        <f>HYPERLINK("https://klasma.github.io/Logging_1863/klagomål/A 16923-2025 FSC-klagomål.docx", "A 16923-2025")</f>
        <v/>
      </c>
      <c r="W41">
        <f>HYPERLINK("https://klasma.github.io/Logging_1863/klagomålsmail/A 16923-2025 FSC-klagomål mail.docx", "A 16923-2025")</f>
        <v/>
      </c>
      <c r="X41">
        <f>HYPERLINK("https://klasma.github.io/Logging_1863/tillsyn/A 16923-2025 tillsynsbegäran.docx", "A 16923-2025")</f>
        <v/>
      </c>
      <c r="Y41">
        <f>HYPERLINK("https://klasma.github.io/Logging_1863/tillsynsmail/A 16923-2025 tillsynsbegäran mail.docx", "A 16923-2025")</f>
        <v/>
      </c>
    </row>
    <row r="42" ht="15" customHeight="1">
      <c r="A42" t="inlineStr">
        <is>
          <t>A 20698-2026</t>
        </is>
      </c>
      <c r="B42" s="1" t="n">
        <v>46141</v>
      </c>
      <c r="C42" s="1" t="n">
        <v>46204</v>
      </c>
      <c r="D42" t="inlineStr">
        <is>
          <t>ÖREBRO LÄN</t>
        </is>
      </c>
      <c r="E42" t="inlineStr">
        <is>
          <t>HÄLLEFORS</t>
        </is>
      </c>
      <c r="F42" t="inlineStr">
        <is>
          <t>Sveaskog</t>
        </is>
      </c>
      <c r="G42" t="n">
        <v>2</v>
      </c>
      <c r="H42" t="n">
        <v>0</v>
      </c>
      <c r="I42" t="n">
        <v>0</v>
      </c>
      <c r="J42" t="n">
        <v>1</v>
      </c>
      <c r="K42" t="n">
        <v>0</v>
      </c>
      <c r="L42" t="n">
        <v>0</v>
      </c>
      <c r="M42" t="n">
        <v>0</v>
      </c>
      <c r="N42" t="n">
        <v>0</v>
      </c>
      <c r="O42" t="n">
        <v>1</v>
      </c>
      <c r="P42" t="n">
        <v>0</v>
      </c>
      <c r="Q42" t="n">
        <v>1</v>
      </c>
      <c r="R42" s="2" t="inlineStr">
        <is>
          <t>Motaggsvamp</t>
        </is>
      </c>
      <c r="S42">
        <f>HYPERLINK("https://klasma.github.io/Logging_1863/artfynd/A 20698-2026 artfynd.xlsx", "A 20698-2026")</f>
        <v/>
      </c>
      <c r="T42">
        <f>HYPERLINK("https://klasma.github.io/Logging_1863/kartor/A 20698-2026 karta.png", "A 20698-2026")</f>
        <v/>
      </c>
      <c r="V42">
        <f>HYPERLINK("https://klasma.github.io/Logging_1863/klagomål/A 20698-2026 FSC-klagomål.docx", "A 20698-2026")</f>
        <v/>
      </c>
      <c r="W42">
        <f>HYPERLINK("https://klasma.github.io/Logging_1863/klagomålsmail/A 20698-2026 FSC-klagomål mail.docx", "A 20698-2026")</f>
        <v/>
      </c>
      <c r="X42">
        <f>HYPERLINK("https://klasma.github.io/Logging_1863/tillsyn/A 20698-2026 tillsynsbegäran.docx", "A 20698-2026")</f>
        <v/>
      </c>
      <c r="Y42">
        <f>HYPERLINK("https://klasma.github.io/Logging_1863/tillsynsmail/A 20698-2026 tillsynsbegäran mail.docx", "A 20698-2026")</f>
        <v/>
      </c>
    </row>
    <row r="43" ht="15" customHeight="1">
      <c r="A43" t="inlineStr">
        <is>
          <t>A 27705-2026</t>
        </is>
      </c>
      <c r="B43" s="1" t="n">
        <v>46190</v>
      </c>
      <c r="C43" s="1" t="n">
        <v>46204</v>
      </c>
      <c r="D43" t="inlineStr">
        <is>
          <t>ÖREBRO LÄN</t>
        </is>
      </c>
      <c r="E43" t="inlineStr">
        <is>
          <t>HÄLLEFORS</t>
        </is>
      </c>
      <c r="G43" t="n">
        <v>8.1</v>
      </c>
      <c r="H43" t="n">
        <v>0</v>
      </c>
      <c r="I43" t="n">
        <v>1</v>
      </c>
      <c r="J43" t="n">
        <v>0</v>
      </c>
      <c r="K43" t="n">
        <v>0</v>
      </c>
      <c r="L43" t="n">
        <v>0</v>
      </c>
      <c r="M43" t="n">
        <v>0</v>
      </c>
      <c r="N43" t="n">
        <v>0</v>
      </c>
      <c r="O43" t="n">
        <v>0</v>
      </c>
      <c r="P43" t="n">
        <v>0</v>
      </c>
      <c r="Q43" t="n">
        <v>1</v>
      </c>
      <c r="R43" s="2" t="inlineStr">
        <is>
          <t>Toppvaxing</t>
        </is>
      </c>
      <c r="S43">
        <f>HYPERLINK("https://klasma.github.io/Logging_1863/artfynd/A 27705-2026 artfynd.xlsx", "A 27705-2026")</f>
        <v/>
      </c>
      <c r="T43">
        <f>HYPERLINK("https://klasma.github.io/Logging_1863/kartor/A 27705-2026 karta.png", "A 27705-2026")</f>
        <v/>
      </c>
      <c r="V43">
        <f>HYPERLINK("https://klasma.github.io/Logging_1863/klagomål/A 27705-2026 FSC-klagomål.docx", "A 27705-2026")</f>
        <v/>
      </c>
      <c r="W43">
        <f>HYPERLINK("https://klasma.github.io/Logging_1863/klagomålsmail/A 27705-2026 FSC-klagomål mail.docx", "A 27705-2026")</f>
        <v/>
      </c>
      <c r="X43">
        <f>HYPERLINK("https://klasma.github.io/Logging_1863/tillsyn/A 27705-2026 tillsynsbegäran.docx", "A 27705-2026")</f>
        <v/>
      </c>
      <c r="Y43">
        <f>HYPERLINK("https://klasma.github.io/Logging_1863/tillsynsmail/A 27705-2026 tillsynsbegäran mail.docx", "A 27705-2026")</f>
        <v/>
      </c>
    </row>
    <row r="44" ht="15" customHeight="1">
      <c r="A44" t="inlineStr">
        <is>
          <t>A 22246-2026</t>
        </is>
      </c>
      <c r="B44" s="1" t="n">
        <v>46154</v>
      </c>
      <c r="C44" s="1" t="n">
        <v>46204</v>
      </c>
      <c r="D44" t="inlineStr">
        <is>
          <t>ÖREBRO LÄN</t>
        </is>
      </c>
      <c r="E44" t="inlineStr">
        <is>
          <t>HÄLLEFORS</t>
        </is>
      </c>
      <c r="F44" t="inlineStr">
        <is>
          <t>Sveaskog</t>
        </is>
      </c>
      <c r="G44" t="n">
        <v>13.1</v>
      </c>
      <c r="H44" t="n">
        <v>1</v>
      </c>
      <c r="I44" t="n">
        <v>0</v>
      </c>
      <c r="J44" t="n">
        <v>0</v>
      </c>
      <c r="K44" t="n">
        <v>0</v>
      </c>
      <c r="L44" t="n">
        <v>0</v>
      </c>
      <c r="M44" t="n">
        <v>0</v>
      </c>
      <c r="N44" t="n">
        <v>0</v>
      </c>
      <c r="O44" t="n">
        <v>0</v>
      </c>
      <c r="P44" t="n">
        <v>0</v>
      </c>
      <c r="Q44" t="n">
        <v>1</v>
      </c>
      <c r="R44" s="2" t="inlineStr">
        <is>
          <t>Revlummer</t>
        </is>
      </c>
      <c r="S44">
        <f>HYPERLINK("https://klasma.github.io/Logging_1863/artfynd/A 22246-2026 artfynd.xlsx", "A 22246-2026")</f>
        <v/>
      </c>
      <c r="T44">
        <f>HYPERLINK("https://klasma.github.io/Logging_1863/kartor/A 22246-2026 karta.png", "A 22246-2026")</f>
        <v/>
      </c>
      <c r="V44">
        <f>HYPERLINK("https://klasma.github.io/Logging_1863/klagomål/A 22246-2026 FSC-klagomål.docx", "A 22246-2026")</f>
        <v/>
      </c>
      <c r="W44">
        <f>HYPERLINK("https://klasma.github.io/Logging_1863/klagomålsmail/A 22246-2026 FSC-klagomål mail.docx", "A 22246-2026")</f>
        <v/>
      </c>
      <c r="X44">
        <f>HYPERLINK("https://klasma.github.io/Logging_1863/tillsyn/A 22246-2026 tillsynsbegäran.docx", "A 22246-2026")</f>
        <v/>
      </c>
      <c r="Y44">
        <f>HYPERLINK("https://klasma.github.io/Logging_1863/tillsynsmail/A 22246-2026 tillsynsbegäran mail.docx", "A 22246-2026")</f>
        <v/>
      </c>
    </row>
    <row r="45" ht="15" customHeight="1">
      <c r="A45" t="inlineStr">
        <is>
          <t>A 22249-2026</t>
        </is>
      </c>
      <c r="B45" s="1" t="n">
        <v>46154</v>
      </c>
      <c r="C45" s="1" t="n">
        <v>46204</v>
      </c>
      <c r="D45" t="inlineStr">
        <is>
          <t>ÖREBRO LÄN</t>
        </is>
      </c>
      <c r="E45" t="inlineStr">
        <is>
          <t>HÄLLEFORS</t>
        </is>
      </c>
      <c r="F45" t="inlineStr">
        <is>
          <t>Sveaskog</t>
        </is>
      </c>
      <c r="G45" t="n">
        <v>7.2</v>
      </c>
      <c r="H45" t="n">
        <v>0</v>
      </c>
      <c r="I45" t="n">
        <v>0</v>
      </c>
      <c r="J45" t="n">
        <v>0</v>
      </c>
      <c r="K45" t="n">
        <v>1</v>
      </c>
      <c r="L45" t="n">
        <v>0</v>
      </c>
      <c r="M45" t="n">
        <v>0</v>
      </c>
      <c r="N45" t="n">
        <v>0</v>
      </c>
      <c r="O45" t="n">
        <v>1</v>
      </c>
      <c r="P45" t="n">
        <v>1</v>
      </c>
      <c r="Q45" t="n">
        <v>1</v>
      </c>
      <c r="R45" s="2" t="inlineStr">
        <is>
          <t>Garnlav</t>
        </is>
      </c>
      <c r="S45">
        <f>HYPERLINK("https://klasma.github.io/Logging_1863/artfynd/A 22249-2026 artfynd.xlsx", "A 22249-2026")</f>
        <v/>
      </c>
      <c r="T45">
        <f>HYPERLINK("https://klasma.github.io/Logging_1863/kartor/A 22249-2026 karta.png", "A 22249-2026")</f>
        <v/>
      </c>
      <c r="V45">
        <f>HYPERLINK("https://klasma.github.io/Logging_1863/klagomål/A 22249-2026 FSC-klagomål.docx", "A 22249-2026")</f>
        <v/>
      </c>
      <c r="W45">
        <f>HYPERLINK("https://klasma.github.io/Logging_1863/klagomålsmail/A 22249-2026 FSC-klagomål mail.docx", "A 22249-2026")</f>
        <v/>
      </c>
      <c r="X45">
        <f>HYPERLINK("https://klasma.github.io/Logging_1863/tillsyn/A 22249-2026 tillsynsbegäran.docx", "A 22249-2026")</f>
        <v/>
      </c>
      <c r="Y45">
        <f>HYPERLINK("https://klasma.github.io/Logging_1863/tillsynsmail/A 22249-2026 tillsynsbegäran mail.docx", "A 22249-2026")</f>
        <v/>
      </c>
    </row>
    <row r="46" ht="15" customHeight="1">
      <c r="A46" t="inlineStr">
        <is>
          <t>A 41834-2023</t>
        </is>
      </c>
      <c r="B46" s="1" t="n">
        <v>45176</v>
      </c>
      <c r="C46" s="1" t="n">
        <v>46204</v>
      </c>
      <c r="D46" t="inlineStr">
        <is>
          <t>ÖREBRO LÄN</t>
        </is>
      </c>
      <c r="E46" t="inlineStr">
        <is>
          <t>HÄLLEFORS</t>
        </is>
      </c>
      <c r="F46" t="inlineStr">
        <is>
          <t>Bergvik skog väst AB</t>
        </is>
      </c>
      <c r="G46" t="n">
        <v>3.4</v>
      </c>
      <c r="H46" t="n">
        <v>1</v>
      </c>
      <c r="I46" t="n">
        <v>1</v>
      </c>
      <c r="J46" t="n">
        <v>0</v>
      </c>
      <c r="K46" t="n">
        <v>0</v>
      </c>
      <c r="L46" t="n">
        <v>0</v>
      </c>
      <c r="M46" t="n">
        <v>0</v>
      </c>
      <c r="N46" t="n">
        <v>0</v>
      </c>
      <c r="O46" t="n">
        <v>0</v>
      </c>
      <c r="P46" t="n">
        <v>0</v>
      </c>
      <c r="Q46" t="n">
        <v>1</v>
      </c>
      <c r="R46" s="2" t="inlineStr">
        <is>
          <t>Plattlummer</t>
        </is>
      </c>
      <c r="S46">
        <f>HYPERLINK("https://klasma.github.io/Logging_1863/artfynd/A 41834-2023 artfynd.xlsx", "A 41834-2023")</f>
        <v/>
      </c>
      <c r="T46">
        <f>HYPERLINK("https://klasma.github.io/Logging_1863/kartor/A 41834-2023 karta.png", "A 41834-2023")</f>
        <v/>
      </c>
      <c r="V46">
        <f>HYPERLINK("https://klasma.github.io/Logging_1863/klagomål/A 41834-2023 FSC-klagomål.docx", "A 41834-2023")</f>
        <v/>
      </c>
      <c r="W46">
        <f>HYPERLINK("https://klasma.github.io/Logging_1863/klagomålsmail/A 41834-2023 FSC-klagomål mail.docx", "A 41834-2023")</f>
        <v/>
      </c>
      <c r="X46">
        <f>HYPERLINK("https://klasma.github.io/Logging_1863/tillsyn/A 41834-2023 tillsynsbegäran.docx", "A 41834-2023")</f>
        <v/>
      </c>
      <c r="Y46">
        <f>HYPERLINK("https://klasma.github.io/Logging_1863/tillsynsmail/A 41834-2023 tillsynsbegäran mail.docx", "A 41834-2023")</f>
        <v/>
      </c>
    </row>
    <row r="47" ht="15" customHeight="1">
      <c r="A47" t="inlineStr">
        <is>
          <t>A 53892-2023</t>
        </is>
      </c>
      <c r="B47" s="1" t="n">
        <v>45231</v>
      </c>
      <c r="C47" s="1" t="n">
        <v>46204</v>
      </c>
      <c r="D47" t="inlineStr">
        <is>
          <t>ÖREBRO LÄN</t>
        </is>
      </c>
      <c r="E47" t="inlineStr">
        <is>
          <t>HÄLLEFORS</t>
        </is>
      </c>
      <c r="G47" t="n">
        <v>2.3</v>
      </c>
      <c r="H47" t="n">
        <v>1</v>
      </c>
      <c r="I47" t="n">
        <v>0</v>
      </c>
      <c r="J47" t="n">
        <v>0</v>
      </c>
      <c r="K47" t="n">
        <v>0</v>
      </c>
      <c r="L47" t="n">
        <v>0</v>
      </c>
      <c r="M47" t="n">
        <v>0</v>
      </c>
      <c r="N47" t="n">
        <v>0</v>
      </c>
      <c r="O47" t="n">
        <v>0</v>
      </c>
      <c r="P47" t="n">
        <v>0</v>
      </c>
      <c r="Q47" t="n">
        <v>1</v>
      </c>
      <c r="R47" s="2" t="inlineStr">
        <is>
          <t>Fläcknycklar</t>
        </is>
      </c>
      <c r="S47">
        <f>HYPERLINK("https://klasma.github.io/Logging_1863/artfynd/A 53892-2023 artfynd.xlsx", "A 53892-2023")</f>
        <v/>
      </c>
      <c r="T47">
        <f>HYPERLINK("https://klasma.github.io/Logging_1863/kartor/A 53892-2023 karta.png", "A 53892-2023")</f>
        <v/>
      </c>
      <c r="V47">
        <f>HYPERLINK("https://klasma.github.io/Logging_1863/klagomål/A 53892-2023 FSC-klagomål.docx", "A 53892-2023")</f>
        <v/>
      </c>
      <c r="W47">
        <f>HYPERLINK("https://klasma.github.io/Logging_1863/klagomålsmail/A 53892-2023 FSC-klagomål mail.docx", "A 53892-2023")</f>
        <v/>
      </c>
      <c r="X47">
        <f>HYPERLINK("https://klasma.github.io/Logging_1863/tillsyn/A 53892-2023 tillsynsbegäran.docx", "A 53892-2023")</f>
        <v/>
      </c>
      <c r="Y47">
        <f>HYPERLINK("https://klasma.github.io/Logging_1863/tillsynsmail/A 53892-2023 tillsynsbegäran mail.docx", "A 53892-2023")</f>
        <v/>
      </c>
    </row>
    <row r="48" ht="15" customHeight="1">
      <c r="A48" t="inlineStr">
        <is>
          <t>A 45694-2023</t>
        </is>
      </c>
      <c r="B48" s="1" t="n">
        <v>45195</v>
      </c>
      <c r="C48" s="1" t="n">
        <v>46204</v>
      </c>
      <c r="D48" t="inlineStr">
        <is>
          <t>ÖREBRO LÄN</t>
        </is>
      </c>
      <c r="E48" t="inlineStr">
        <is>
          <t>HÄLLEFORS</t>
        </is>
      </c>
      <c r="G48" t="n">
        <v>10.8</v>
      </c>
      <c r="H48" t="n">
        <v>1</v>
      </c>
      <c r="I48" t="n">
        <v>0</v>
      </c>
      <c r="J48" t="n">
        <v>0</v>
      </c>
      <c r="K48" t="n">
        <v>0</v>
      </c>
      <c r="L48" t="n">
        <v>0</v>
      </c>
      <c r="M48" t="n">
        <v>0</v>
      </c>
      <c r="N48" t="n">
        <v>0</v>
      </c>
      <c r="O48" t="n">
        <v>0</v>
      </c>
      <c r="P48" t="n">
        <v>0</v>
      </c>
      <c r="Q48" t="n">
        <v>1</v>
      </c>
      <c r="R48" s="2" t="inlineStr">
        <is>
          <t>Kopparödla</t>
        </is>
      </c>
      <c r="S48">
        <f>HYPERLINK("https://klasma.github.io/Logging_1863/artfynd/A 45694-2023 artfynd.xlsx", "A 45694-2023")</f>
        <v/>
      </c>
      <c r="T48">
        <f>HYPERLINK("https://klasma.github.io/Logging_1863/kartor/A 45694-2023 karta.png", "A 45694-2023")</f>
        <v/>
      </c>
      <c r="V48">
        <f>HYPERLINK("https://klasma.github.io/Logging_1863/klagomål/A 45694-2023 FSC-klagomål.docx", "A 45694-2023")</f>
        <v/>
      </c>
      <c r="W48">
        <f>HYPERLINK("https://klasma.github.io/Logging_1863/klagomålsmail/A 45694-2023 FSC-klagomål mail.docx", "A 45694-2023")</f>
        <v/>
      </c>
      <c r="X48">
        <f>HYPERLINK("https://klasma.github.io/Logging_1863/tillsyn/A 45694-2023 tillsynsbegäran.docx", "A 45694-2023")</f>
        <v/>
      </c>
      <c r="Y48">
        <f>HYPERLINK("https://klasma.github.io/Logging_1863/tillsynsmail/A 45694-2023 tillsynsbegäran mail.docx", "A 45694-2023")</f>
        <v/>
      </c>
    </row>
    <row r="49" ht="15" customHeight="1">
      <c r="A49" t="inlineStr">
        <is>
          <t>A 39178-2022</t>
        </is>
      </c>
      <c r="B49" s="1" t="n">
        <v>44817</v>
      </c>
      <c r="C49" s="1" t="n">
        <v>46204</v>
      </c>
      <c r="D49" t="inlineStr">
        <is>
          <t>ÖREBRO LÄN</t>
        </is>
      </c>
      <c r="E49" t="inlineStr">
        <is>
          <t>HÄLLEFORS</t>
        </is>
      </c>
      <c r="G49" t="n">
        <v>1.1</v>
      </c>
      <c r="H49" t="n">
        <v>1</v>
      </c>
      <c r="I49" t="n">
        <v>0</v>
      </c>
      <c r="J49" t="n">
        <v>0</v>
      </c>
      <c r="K49" t="n">
        <v>0</v>
      </c>
      <c r="L49" t="n">
        <v>0</v>
      </c>
      <c r="M49" t="n">
        <v>0</v>
      </c>
      <c r="N49" t="n">
        <v>0</v>
      </c>
      <c r="O49" t="n">
        <v>0</v>
      </c>
      <c r="P49" t="n">
        <v>0</v>
      </c>
      <c r="Q49" t="n">
        <v>1</v>
      </c>
      <c r="R49" s="2" t="inlineStr">
        <is>
          <t>Mattlummer</t>
        </is>
      </c>
      <c r="S49">
        <f>HYPERLINK("https://klasma.github.io/Logging_1863/artfynd/A 39178-2022 artfynd.xlsx", "A 39178-2022")</f>
        <v/>
      </c>
      <c r="T49">
        <f>HYPERLINK("https://klasma.github.io/Logging_1863/kartor/A 39178-2022 karta.png", "A 39178-2022")</f>
        <v/>
      </c>
      <c r="V49">
        <f>HYPERLINK("https://klasma.github.io/Logging_1863/klagomål/A 39178-2022 FSC-klagomål.docx", "A 39178-2022")</f>
        <v/>
      </c>
      <c r="W49">
        <f>HYPERLINK("https://klasma.github.io/Logging_1863/klagomålsmail/A 39178-2022 FSC-klagomål mail.docx", "A 39178-2022")</f>
        <v/>
      </c>
      <c r="X49">
        <f>HYPERLINK("https://klasma.github.io/Logging_1863/tillsyn/A 39178-2022 tillsynsbegäran.docx", "A 39178-2022")</f>
        <v/>
      </c>
      <c r="Y49">
        <f>HYPERLINK("https://klasma.github.io/Logging_1863/tillsynsmail/A 39178-2022 tillsynsbegäran mail.docx", "A 39178-2022")</f>
        <v/>
      </c>
    </row>
    <row r="50" ht="15" customHeight="1">
      <c r="A50" t="inlineStr">
        <is>
          <t>A 421-2025</t>
        </is>
      </c>
      <c r="B50" s="1" t="n">
        <v>45663</v>
      </c>
      <c r="C50" s="1" t="n">
        <v>46204</v>
      </c>
      <c r="D50" t="inlineStr">
        <is>
          <t>ÖREBRO LÄN</t>
        </is>
      </c>
      <c r="E50" t="inlineStr">
        <is>
          <t>HÄLLEFORS</t>
        </is>
      </c>
      <c r="F50" t="inlineStr">
        <is>
          <t>Bergvik skog väst AB</t>
        </is>
      </c>
      <c r="G50" t="n">
        <v>13.3</v>
      </c>
      <c r="H50" t="n">
        <v>0</v>
      </c>
      <c r="I50" t="n">
        <v>1</v>
      </c>
      <c r="J50" t="n">
        <v>0</v>
      </c>
      <c r="K50" t="n">
        <v>0</v>
      </c>
      <c r="L50" t="n">
        <v>0</v>
      </c>
      <c r="M50" t="n">
        <v>0</v>
      </c>
      <c r="N50" t="n">
        <v>0</v>
      </c>
      <c r="O50" t="n">
        <v>0</v>
      </c>
      <c r="P50" t="n">
        <v>0</v>
      </c>
      <c r="Q50" t="n">
        <v>1</v>
      </c>
      <c r="R50" s="2" t="inlineStr">
        <is>
          <t>Blek stjärnmossa</t>
        </is>
      </c>
      <c r="S50">
        <f>HYPERLINK("https://klasma.github.io/Logging_1863/artfynd/A 421-2025 artfynd.xlsx", "A 421-2025")</f>
        <v/>
      </c>
      <c r="T50">
        <f>HYPERLINK("https://klasma.github.io/Logging_1863/kartor/A 421-2025 karta.png", "A 421-2025")</f>
        <v/>
      </c>
      <c r="V50">
        <f>HYPERLINK("https://klasma.github.io/Logging_1863/klagomål/A 421-2025 FSC-klagomål.docx", "A 421-2025")</f>
        <v/>
      </c>
      <c r="W50">
        <f>HYPERLINK("https://klasma.github.io/Logging_1863/klagomålsmail/A 421-2025 FSC-klagomål mail.docx", "A 421-2025")</f>
        <v/>
      </c>
      <c r="X50">
        <f>HYPERLINK("https://klasma.github.io/Logging_1863/tillsyn/A 421-2025 tillsynsbegäran.docx", "A 421-2025")</f>
        <v/>
      </c>
      <c r="Y50">
        <f>HYPERLINK("https://klasma.github.io/Logging_1863/tillsynsmail/A 421-2025 tillsynsbegäran mail.docx", "A 421-2025")</f>
        <v/>
      </c>
    </row>
    <row r="51" ht="15" customHeight="1">
      <c r="A51" t="inlineStr">
        <is>
          <t>A 55749-2024</t>
        </is>
      </c>
      <c r="B51" s="1" t="n">
        <v>45623</v>
      </c>
      <c r="C51" s="1" t="n">
        <v>46204</v>
      </c>
      <c r="D51" t="inlineStr">
        <is>
          <t>ÖREBRO LÄN</t>
        </is>
      </c>
      <c r="E51" t="inlineStr">
        <is>
          <t>HÄLLEFORS</t>
        </is>
      </c>
      <c r="F51" t="inlineStr">
        <is>
          <t>Bergvik skog väst AB</t>
        </is>
      </c>
      <c r="G51" t="n">
        <v>2.9</v>
      </c>
      <c r="H51" t="n">
        <v>0</v>
      </c>
      <c r="I51" t="n">
        <v>0</v>
      </c>
      <c r="J51" t="n">
        <v>0</v>
      </c>
      <c r="K51" t="n">
        <v>1</v>
      </c>
      <c r="L51" t="n">
        <v>0</v>
      </c>
      <c r="M51" t="n">
        <v>0</v>
      </c>
      <c r="N51" t="n">
        <v>0</v>
      </c>
      <c r="O51" t="n">
        <v>1</v>
      </c>
      <c r="P51" t="n">
        <v>1</v>
      </c>
      <c r="Q51" t="n">
        <v>1</v>
      </c>
      <c r="R51" s="2" t="inlineStr">
        <is>
          <t>Garnlav</t>
        </is>
      </c>
      <c r="S51">
        <f>HYPERLINK("https://klasma.github.io/Logging_1863/artfynd/A 55749-2024 artfynd.xlsx", "A 55749-2024")</f>
        <v/>
      </c>
      <c r="T51">
        <f>HYPERLINK("https://klasma.github.io/Logging_1863/kartor/A 55749-2024 karta.png", "A 55749-2024")</f>
        <v/>
      </c>
      <c r="V51">
        <f>HYPERLINK("https://klasma.github.io/Logging_1863/klagomål/A 55749-2024 FSC-klagomål.docx", "A 55749-2024")</f>
        <v/>
      </c>
      <c r="W51">
        <f>HYPERLINK("https://klasma.github.io/Logging_1863/klagomålsmail/A 55749-2024 FSC-klagomål mail.docx", "A 55749-2024")</f>
        <v/>
      </c>
      <c r="X51">
        <f>HYPERLINK("https://klasma.github.io/Logging_1863/tillsyn/A 55749-2024 tillsynsbegäran.docx", "A 55749-2024")</f>
        <v/>
      </c>
      <c r="Y51">
        <f>HYPERLINK("https://klasma.github.io/Logging_1863/tillsynsmail/A 55749-2024 tillsynsbegäran mail.docx", "A 55749-2024")</f>
        <v/>
      </c>
    </row>
    <row r="52" ht="15" customHeight="1">
      <c r="A52" t="inlineStr">
        <is>
          <t>A 20354-2022</t>
        </is>
      </c>
      <c r="B52" s="1" t="n">
        <v>44699</v>
      </c>
      <c r="C52" s="1" t="n">
        <v>46204</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34653-2022</t>
        </is>
      </c>
      <c r="B53" s="1" t="n">
        <v>44795</v>
      </c>
      <c r="C53" s="1" t="n">
        <v>46204</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49787-2022</t>
        </is>
      </c>
      <c r="B54" s="1" t="n">
        <v>44862</v>
      </c>
      <c r="C54" s="1" t="n">
        <v>46204</v>
      </c>
      <c r="D54" t="inlineStr">
        <is>
          <t>ÖREBRO LÄN</t>
        </is>
      </c>
      <c r="E54" t="inlineStr">
        <is>
          <t>HÄLLEFORS</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39876-2022</t>
        </is>
      </c>
      <c r="B55" s="1" t="n">
        <v>44819</v>
      </c>
      <c r="C55" s="1" t="n">
        <v>46204</v>
      </c>
      <c r="D55" t="inlineStr">
        <is>
          <t>ÖREBRO LÄN</t>
        </is>
      </c>
      <c r="E55" t="inlineStr">
        <is>
          <t>HÄLLEFORS</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28558-2022</t>
        </is>
      </c>
      <c r="B56" s="1" t="n">
        <v>44748</v>
      </c>
      <c r="C56" s="1" t="n">
        <v>46204</v>
      </c>
      <c r="D56" t="inlineStr">
        <is>
          <t>ÖREBRO LÄN</t>
        </is>
      </c>
      <c r="E56" t="inlineStr">
        <is>
          <t>HÄLLEFORS</t>
        </is>
      </c>
      <c r="G56" t="n">
        <v>0.2</v>
      </c>
      <c r="H56" t="n">
        <v>0</v>
      </c>
      <c r="I56" t="n">
        <v>0</v>
      </c>
      <c r="J56" t="n">
        <v>0</v>
      </c>
      <c r="K56" t="n">
        <v>0</v>
      </c>
      <c r="L56" t="n">
        <v>0</v>
      </c>
      <c r="M56" t="n">
        <v>0</v>
      </c>
      <c r="N56" t="n">
        <v>0</v>
      </c>
      <c r="O56" t="n">
        <v>0</v>
      </c>
      <c r="P56" t="n">
        <v>0</v>
      </c>
      <c r="Q56" t="n">
        <v>0</v>
      </c>
      <c r="R56" s="2" t="inlineStr"/>
    </row>
    <row r="57" ht="15" customHeight="1">
      <c r="A57" t="inlineStr">
        <is>
          <t>A 23022-2022</t>
        </is>
      </c>
      <c r="B57" s="1" t="n">
        <v>44719</v>
      </c>
      <c r="C57" s="1" t="n">
        <v>46204</v>
      </c>
      <c r="D57" t="inlineStr">
        <is>
          <t>ÖREBRO LÄN</t>
        </is>
      </c>
      <c r="E57" t="inlineStr">
        <is>
          <t>HÄLLEFORS</t>
        </is>
      </c>
      <c r="G57" t="n">
        <v>0.4</v>
      </c>
      <c r="H57" t="n">
        <v>0</v>
      </c>
      <c r="I57" t="n">
        <v>0</v>
      </c>
      <c r="J57" t="n">
        <v>0</v>
      </c>
      <c r="K57" t="n">
        <v>0</v>
      </c>
      <c r="L57" t="n">
        <v>0</v>
      </c>
      <c r="M57" t="n">
        <v>0</v>
      </c>
      <c r="N57" t="n">
        <v>0</v>
      </c>
      <c r="O57" t="n">
        <v>0</v>
      </c>
      <c r="P57" t="n">
        <v>0</v>
      </c>
      <c r="Q57" t="n">
        <v>0</v>
      </c>
      <c r="R57" s="2" t="inlineStr"/>
    </row>
    <row r="58" ht="15" customHeight="1">
      <c r="A58" t="inlineStr">
        <is>
          <t>A 34480-2022</t>
        </is>
      </c>
      <c r="B58" s="1" t="n">
        <v>44792</v>
      </c>
      <c r="C58" s="1" t="n">
        <v>46204</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34355-2022</t>
        </is>
      </c>
      <c r="B59" s="1" t="n">
        <v>44792</v>
      </c>
      <c r="C59" s="1" t="n">
        <v>46204</v>
      </c>
      <c r="D59" t="inlineStr">
        <is>
          <t>ÖREBRO LÄN</t>
        </is>
      </c>
      <c r="E59" t="inlineStr">
        <is>
          <t>HÄLLEFORS</t>
        </is>
      </c>
      <c r="G59" t="n">
        <v>0.6</v>
      </c>
      <c r="H59" t="n">
        <v>0</v>
      </c>
      <c r="I59" t="n">
        <v>0</v>
      </c>
      <c r="J59" t="n">
        <v>0</v>
      </c>
      <c r="K59" t="n">
        <v>0</v>
      </c>
      <c r="L59" t="n">
        <v>0</v>
      </c>
      <c r="M59" t="n">
        <v>0</v>
      </c>
      <c r="N59" t="n">
        <v>0</v>
      </c>
      <c r="O59" t="n">
        <v>0</v>
      </c>
      <c r="P59" t="n">
        <v>0</v>
      </c>
      <c r="Q59" t="n">
        <v>0</v>
      </c>
      <c r="R59" s="2" t="inlineStr"/>
    </row>
    <row r="60" ht="15" customHeight="1">
      <c r="A60" t="inlineStr">
        <is>
          <t>A 49154-2021</t>
        </is>
      </c>
      <c r="B60" s="1" t="n">
        <v>44453</v>
      </c>
      <c r="C60" s="1" t="n">
        <v>46204</v>
      </c>
      <c r="D60" t="inlineStr">
        <is>
          <t>ÖREBRO LÄN</t>
        </is>
      </c>
      <c r="E60" t="inlineStr">
        <is>
          <t>HÄLLEFORS</t>
        </is>
      </c>
      <c r="G60" t="n">
        <v>0.7</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46204</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v>
      </c>
      <c r="C62" s="1" t="n">
        <v>46204</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46204</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v>
      </c>
      <c r="C64" s="1" t="n">
        <v>46204</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v>
      </c>
      <c r="C65" s="1" t="n">
        <v>46204</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46204</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46204</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46204</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38245-2022</t>
        </is>
      </c>
      <c r="B69" s="1" t="n">
        <v>44812</v>
      </c>
      <c r="C69" s="1" t="n">
        <v>46204</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46204</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46204</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37783-2022</t>
        </is>
      </c>
      <c r="B72" s="1" t="n">
        <v>44810</v>
      </c>
      <c r="C72" s="1" t="n">
        <v>46204</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46204</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67967-2021</t>
        </is>
      </c>
      <c r="B74" s="1" t="n">
        <v>44525</v>
      </c>
      <c r="C74" s="1" t="n">
        <v>46204</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46204</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46204</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46204</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v>
      </c>
      <c r="C78" s="1" t="n">
        <v>46204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v>
      </c>
      <c r="C79" s="1" t="n">
        <v>46204</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46204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v>
      </c>
      <c r="C81" s="1" t="n">
        <v>46204</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46204</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46204</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46204</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v>
      </c>
      <c r="C85" s="1" t="n">
        <v>46204</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44052-2024</t>
        </is>
      </c>
      <c r="B86" s="1" t="n">
        <v>45572</v>
      </c>
      <c r="C86" s="1" t="n">
        <v>46204</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13758-2023</t>
        </is>
      </c>
      <c r="B87" s="1" t="n">
        <v>45007</v>
      </c>
      <c r="C87" s="1" t="n">
        <v>46204</v>
      </c>
      <c r="D87" t="inlineStr">
        <is>
          <t>ÖREBRO LÄN</t>
        </is>
      </c>
      <c r="E87" t="inlineStr">
        <is>
          <t>HÄLLEFORS</t>
        </is>
      </c>
      <c r="F87" t="inlineStr">
        <is>
          <t>Bergvik skog väst AB</t>
        </is>
      </c>
      <c r="G87" t="n">
        <v>3.6</v>
      </c>
      <c r="H87" t="n">
        <v>0</v>
      </c>
      <c r="I87" t="n">
        <v>0</v>
      </c>
      <c r="J87" t="n">
        <v>0</v>
      </c>
      <c r="K87" t="n">
        <v>0</v>
      </c>
      <c r="L87" t="n">
        <v>0</v>
      </c>
      <c r="M87" t="n">
        <v>0</v>
      </c>
      <c r="N87" t="n">
        <v>0</v>
      </c>
      <c r="O87" t="n">
        <v>0</v>
      </c>
      <c r="P87" t="n">
        <v>0</v>
      </c>
      <c r="Q87" t="n">
        <v>0</v>
      </c>
      <c r="R87" s="2" t="inlineStr"/>
    </row>
    <row r="88" ht="15" customHeight="1">
      <c r="A88" t="inlineStr">
        <is>
          <t>A 74464-2021</t>
        </is>
      </c>
      <c r="B88" s="1" t="n">
        <v>44560</v>
      </c>
      <c r="C88" s="1" t="n">
        <v>46204</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5762-2024</t>
        </is>
      </c>
      <c r="B89" s="1" t="n">
        <v>45335</v>
      </c>
      <c r="C89" s="1" t="n">
        <v>46204</v>
      </c>
      <c r="D89" t="inlineStr">
        <is>
          <t>ÖREBRO LÄN</t>
        </is>
      </c>
      <c r="E89" t="inlineStr">
        <is>
          <t>HÄLLEFORS</t>
        </is>
      </c>
      <c r="G89" t="n">
        <v>12.1</v>
      </c>
      <c r="H89" t="n">
        <v>0</v>
      </c>
      <c r="I89" t="n">
        <v>0</v>
      </c>
      <c r="J89" t="n">
        <v>0</v>
      </c>
      <c r="K89" t="n">
        <v>0</v>
      </c>
      <c r="L89" t="n">
        <v>0</v>
      </c>
      <c r="M89" t="n">
        <v>0</v>
      </c>
      <c r="N89" t="n">
        <v>0</v>
      </c>
      <c r="O89" t="n">
        <v>0</v>
      </c>
      <c r="P89" t="n">
        <v>0</v>
      </c>
      <c r="Q89" t="n">
        <v>0</v>
      </c>
      <c r="R89" s="2" t="inlineStr"/>
    </row>
    <row r="90" ht="15" customHeight="1">
      <c r="A90" t="inlineStr">
        <is>
          <t>A 46912-2023</t>
        </is>
      </c>
      <c r="B90" s="1" t="n">
        <v>45201</v>
      </c>
      <c r="C90" s="1" t="n">
        <v>46204</v>
      </c>
      <c r="D90" t="inlineStr">
        <is>
          <t>ÖREBRO LÄN</t>
        </is>
      </c>
      <c r="E90" t="inlineStr">
        <is>
          <t>HÄLLEFORS</t>
        </is>
      </c>
      <c r="G90" t="n">
        <v>1</v>
      </c>
      <c r="H90" t="n">
        <v>0</v>
      </c>
      <c r="I90" t="n">
        <v>0</v>
      </c>
      <c r="J90" t="n">
        <v>0</v>
      </c>
      <c r="K90" t="n">
        <v>0</v>
      </c>
      <c r="L90" t="n">
        <v>0</v>
      </c>
      <c r="M90" t="n">
        <v>0</v>
      </c>
      <c r="N90" t="n">
        <v>0</v>
      </c>
      <c r="O90" t="n">
        <v>0</v>
      </c>
      <c r="P90" t="n">
        <v>0</v>
      </c>
      <c r="Q90" t="n">
        <v>0</v>
      </c>
      <c r="R90" s="2" t="inlineStr"/>
    </row>
    <row r="91" ht="15" customHeight="1">
      <c r="A91" t="inlineStr">
        <is>
          <t>A 55453-2023</t>
        </is>
      </c>
      <c r="B91" s="1" t="n">
        <v>45238</v>
      </c>
      <c r="C91" s="1" t="n">
        <v>46204</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16053-2023</t>
        </is>
      </c>
      <c r="B92" s="1" t="n">
        <v>45027</v>
      </c>
      <c r="C92" s="1" t="n">
        <v>46204</v>
      </c>
      <c r="D92" t="inlineStr">
        <is>
          <t>ÖREBRO LÄN</t>
        </is>
      </c>
      <c r="E92" t="inlineStr">
        <is>
          <t>HÄLLEFORS</t>
        </is>
      </c>
      <c r="F92" t="inlineStr">
        <is>
          <t>Bergvik skog väst AB</t>
        </is>
      </c>
      <c r="G92" t="n">
        <v>14.7</v>
      </c>
      <c r="H92" t="n">
        <v>0</v>
      </c>
      <c r="I92" t="n">
        <v>0</v>
      </c>
      <c r="J92" t="n">
        <v>0</v>
      </c>
      <c r="K92" t="n">
        <v>0</v>
      </c>
      <c r="L92" t="n">
        <v>0</v>
      </c>
      <c r="M92" t="n">
        <v>0</v>
      </c>
      <c r="N92" t="n">
        <v>0</v>
      </c>
      <c r="O92" t="n">
        <v>0</v>
      </c>
      <c r="P92" t="n">
        <v>0</v>
      </c>
      <c r="Q92" t="n">
        <v>0</v>
      </c>
      <c r="R92" s="2" t="inlineStr"/>
    </row>
    <row r="93" ht="15" customHeight="1">
      <c r="A93" t="inlineStr">
        <is>
          <t>A 71766-2021</t>
        </is>
      </c>
      <c r="B93" s="1" t="n">
        <v>44543</v>
      </c>
      <c r="C93" s="1" t="n">
        <v>46204</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29340-2024</t>
        </is>
      </c>
      <c r="B94" s="1" t="n">
        <v>45483</v>
      </c>
      <c r="C94" s="1" t="n">
        <v>46204</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37027-2022</t>
        </is>
      </c>
      <c r="B95" s="1" t="n">
        <v>44806</v>
      </c>
      <c r="C95" s="1" t="n">
        <v>46204</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35191-2023</t>
        </is>
      </c>
      <c r="B96" s="1" t="n">
        <v>45145</v>
      </c>
      <c r="C96" s="1" t="n">
        <v>46204</v>
      </c>
      <c r="D96" t="inlineStr">
        <is>
          <t>ÖREBRO LÄN</t>
        </is>
      </c>
      <c r="E96" t="inlineStr">
        <is>
          <t>HÄLLEFORS</t>
        </is>
      </c>
      <c r="F96" t="inlineStr">
        <is>
          <t>Bergvik skog väst AB</t>
        </is>
      </c>
      <c r="G96" t="n">
        <v>3.8</v>
      </c>
      <c r="H96" t="n">
        <v>0</v>
      </c>
      <c r="I96" t="n">
        <v>0</v>
      </c>
      <c r="J96" t="n">
        <v>0</v>
      </c>
      <c r="K96" t="n">
        <v>0</v>
      </c>
      <c r="L96" t="n">
        <v>0</v>
      </c>
      <c r="M96" t="n">
        <v>0</v>
      </c>
      <c r="N96" t="n">
        <v>0</v>
      </c>
      <c r="O96" t="n">
        <v>0</v>
      </c>
      <c r="P96" t="n">
        <v>0</v>
      </c>
      <c r="Q96" t="n">
        <v>0</v>
      </c>
      <c r="R96" s="2" t="inlineStr"/>
    </row>
    <row r="97" ht="15" customHeight="1">
      <c r="A97" t="inlineStr">
        <is>
          <t>A 38010-2024</t>
        </is>
      </c>
      <c r="B97" s="1" t="n">
        <v>45544</v>
      </c>
      <c r="C97" s="1" t="n">
        <v>46204</v>
      </c>
      <c r="D97" t="inlineStr">
        <is>
          <t>ÖREBRO LÄN</t>
        </is>
      </c>
      <c r="E97" t="inlineStr">
        <is>
          <t>HÄLLEFORS</t>
        </is>
      </c>
      <c r="G97" t="n">
        <v>22.7</v>
      </c>
      <c r="H97" t="n">
        <v>0</v>
      </c>
      <c r="I97" t="n">
        <v>0</v>
      </c>
      <c r="J97" t="n">
        <v>0</v>
      </c>
      <c r="K97" t="n">
        <v>0</v>
      </c>
      <c r="L97" t="n">
        <v>0</v>
      </c>
      <c r="M97" t="n">
        <v>0</v>
      </c>
      <c r="N97" t="n">
        <v>0</v>
      </c>
      <c r="O97" t="n">
        <v>0</v>
      </c>
      <c r="P97" t="n">
        <v>0</v>
      </c>
      <c r="Q97" t="n">
        <v>0</v>
      </c>
      <c r="R97" s="2" t="inlineStr"/>
    </row>
    <row r="98" ht="15" customHeight="1">
      <c r="A98" t="inlineStr">
        <is>
          <t>A 23037-2024</t>
        </is>
      </c>
      <c r="B98" s="1" t="n">
        <v>45450</v>
      </c>
      <c r="C98" s="1" t="n">
        <v>46204</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44088-2024</t>
        </is>
      </c>
      <c r="B99" s="1" t="n">
        <v>45572</v>
      </c>
      <c r="C99" s="1" t="n">
        <v>46204</v>
      </c>
      <c r="D99" t="inlineStr">
        <is>
          <t>ÖREBRO LÄN</t>
        </is>
      </c>
      <c r="E99" t="inlineStr">
        <is>
          <t>HÄLLEFORS</t>
        </is>
      </c>
      <c r="G99" t="n">
        <v>4</v>
      </c>
      <c r="H99" t="n">
        <v>0</v>
      </c>
      <c r="I99" t="n">
        <v>0</v>
      </c>
      <c r="J99" t="n">
        <v>0</v>
      </c>
      <c r="K99" t="n">
        <v>0</v>
      </c>
      <c r="L99" t="n">
        <v>0</v>
      </c>
      <c r="M99" t="n">
        <v>0</v>
      </c>
      <c r="N99" t="n">
        <v>0</v>
      </c>
      <c r="O99" t="n">
        <v>0</v>
      </c>
      <c r="P99" t="n">
        <v>0</v>
      </c>
      <c r="Q99" t="n">
        <v>0</v>
      </c>
      <c r="R99" s="2" t="inlineStr"/>
    </row>
    <row r="100" ht="15" customHeight="1">
      <c r="A100" t="inlineStr">
        <is>
          <t>A 41089-2022</t>
        </is>
      </c>
      <c r="B100" s="1" t="n">
        <v>44825</v>
      </c>
      <c r="C100" s="1" t="n">
        <v>46204</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29662-2022</t>
        </is>
      </c>
      <c r="B101" s="1" t="n">
        <v>44754</v>
      </c>
      <c r="C101" s="1" t="n">
        <v>46204</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20170-2023</t>
        </is>
      </c>
      <c r="B102" s="1" t="n">
        <v>45055</v>
      </c>
      <c r="C102" s="1" t="n">
        <v>46204</v>
      </c>
      <c r="D102" t="inlineStr">
        <is>
          <t>ÖREBRO LÄN</t>
        </is>
      </c>
      <c r="E102" t="inlineStr">
        <is>
          <t>HÄLLEFORS</t>
        </is>
      </c>
      <c r="G102" t="n">
        <v>1.1</v>
      </c>
      <c r="H102" t="n">
        <v>0</v>
      </c>
      <c r="I102" t="n">
        <v>0</v>
      </c>
      <c r="J102" t="n">
        <v>0</v>
      </c>
      <c r="K102" t="n">
        <v>0</v>
      </c>
      <c r="L102" t="n">
        <v>0</v>
      </c>
      <c r="M102" t="n">
        <v>0</v>
      </c>
      <c r="N102" t="n">
        <v>0</v>
      </c>
      <c r="O102" t="n">
        <v>0</v>
      </c>
      <c r="P102" t="n">
        <v>0</v>
      </c>
      <c r="Q102" t="n">
        <v>0</v>
      </c>
      <c r="R102" s="2" t="inlineStr"/>
    </row>
    <row r="103" ht="15" customHeight="1">
      <c r="A103" t="inlineStr">
        <is>
          <t>A 62501-2022</t>
        </is>
      </c>
      <c r="B103" s="1" t="n">
        <v>44924</v>
      </c>
      <c r="C103" s="1" t="n">
        <v>46204</v>
      </c>
      <c r="D103" t="inlineStr">
        <is>
          <t>ÖREBRO LÄN</t>
        </is>
      </c>
      <c r="E103" t="inlineStr">
        <is>
          <t>HÄLLEFORS</t>
        </is>
      </c>
      <c r="G103" t="n">
        <v>3</v>
      </c>
      <c r="H103" t="n">
        <v>0</v>
      </c>
      <c r="I103" t="n">
        <v>0</v>
      </c>
      <c r="J103" t="n">
        <v>0</v>
      </c>
      <c r="K103" t="n">
        <v>0</v>
      </c>
      <c r="L103" t="n">
        <v>0</v>
      </c>
      <c r="M103" t="n">
        <v>0</v>
      </c>
      <c r="N103" t="n">
        <v>0</v>
      </c>
      <c r="O103" t="n">
        <v>0</v>
      </c>
      <c r="P103" t="n">
        <v>0</v>
      </c>
      <c r="Q103" t="n">
        <v>0</v>
      </c>
      <c r="R103" s="2" t="inlineStr"/>
    </row>
    <row r="104" ht="15" customHeight="1">
      <c r="A104" t="inlineStr">
        <is>
          <t>A 3643-2025</t>
        </is>
      </c>
      <c r="B104" s="1" t="n">
        <v>45681</v>
      </c>
      <c r="C104" s="1" t="n">
        <v>46204</v>
      </c>
      <c r="D104" t="inlineStr">
        <is>
          <t>ÖREBRO LÄN</t>
        </is>
      </c>
      <c r="E104" t="inlineStr">
        <is>
          <t>HÄLLEFORS</t>
        </is>
      </c>
      <c r="G104" t="n">
        <v>20.8</v>
      </c>
      <c r="H104" t="n">
        <v>0</v>
      </c>
      <c r="I104" t="n">
        <v>0</v>
      </c>
      <c r="J104" t="n">
        <v>0</v>
      </c>
      <c r="K104" t="n">
        <v>0</v>
      </c>
      <c r="L104" t="n">
        <v>0</v>
      </c>
      <c r="M104" t="n">
        <v>0</v>
      </c>
      <c r="N104" t="n">
        <v>0</v>
      </c>
      <c r="O104" t="n">
        <v>0</v>
      </c>
      <c r="P104" t="n">
        <v>0</v>
      </c>
      <c r="Q104" t="n">
        <v>0</v>
      </c>
      <c r="R104" s="2" t="inlineStr"/>
    </row>
    <row r="105" ht="15" customHeight="1">
      <c r="A105" t="inlineStr">
        <is>
          <t>A 67843-2021</t>
        </is>
      </c>
      <c r="B105" s="1" t="n">
        <v>44525</v>
      </c>
      <c r="C105" s="1" t="n">
        <v>46204</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12511-2025</t>
        </is>
      </c>
      <c r="B106" s="1" t="n">
        <v>45730</v>
      </c>
      <c r="C106" s="1" t="n">
        <v>46204</v>
      </c>
      <c r="D106" t="inlineStr">
        <is>
          <t>ÖREBRO LÄN</t>
        </is>
      </c>
      <c r="E106" t="inlineStr">
        <is>
          <t>HÄLLEFORS</t>
        </is>
      </c>
      <c r="G106" t="n">
        <v>0.7</v>
      </c>
      <c r="H106" t="n">
        <v>0</v>
      </c>
      <c r="I106" t="n">
        <v>0</v>
      </c>
      <c r="J106" t="n">
        <v>0</v>
      </c>
      <c r="K106" t="n">
        <v>0</v>
      </c>
      <c r="L106" t="n">
        <v>0</v>
      </c>
      <c r="M106" t="n">
        <v>0</v>
      </c>
      <c r="N106" t="n">
        <v>0</v>
      </c>
      <c r="O106" t="n">
        <v>0</v>
      </c>
      <c r="P106" t="n">
        <v>0</v>
      </c>
      <c r="Q106" t="n">
        <v>0</v>
      </c>
      <c r="R106" s="2" t="inlineStr"/>
    </row>
    <row r="107" ht="15" customHeight="1">
      <c r="A107" t="inlineStr">
        <is>
          <t>A 15073-2022</t>
        </is>
      </c>
      <c r="B107" s="1" t="n">
        <v>44657</v>
      </c>
      <c r="C107" s="1" t="n">
        <v>46204</v>
      </c>
      <c r="D107" t="inlineStr">
        <is>
          <t>ÖREBRO LÄN</t>
        </is>
      </c>
      <c r="E107" t="inlineStr">
        <is>
          <t>HÄLLEFORS</t>
        </is>
      </c>
      <c r="G107" t="n">
        <v>2.3</v>
      </c>
      <c r="H107" t="n">
        <v>0</v>
      </c>
      <c r="I107" t="n">
        <v>0</v>
      </c>
      <c r="J107" t="n">
        <v>0</v>
      </c>
      <c r="K107" t="n">
        <v>0</v>
      </c>
      <c r="L107" t="n">
        <v>0</v>
      </c>
      <c r="M107" t="n">
        <v>0</v>
      </c>
      <c r="N107" t="n">
        <v>0</v>
      </c>
      <c r="O107" t="n">
        <v>0</v>
      </c>
      <c r="P107" t="n">
        <v>0</v>
      </c>
      <c r="Q107" t="n">
        <v>0</v>
      </c>
      <c r="R107" s="2" t="inlineStr"/>
    </row>
    <row r="108" ht="15" customHeight="1">
      <c r="A108" t="inlineStr">
        <is>
          <t>A 17764-2023</t>
        </is>
      </c>
      <c r="B108" s="1" t="n">
        <v>45037</v>
      </c>
      <c r="C108" s="1" t="n">
        <v>46204</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43941-2023</t>
        </is>
      </c>
      <c r="B109" s="1" t="n">
        <v>45187</v>
      </c>
      <c r="C109" s="1" t="n">
        <v>46204</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65054-2021</t>
        </is>
      </c>
      <c r="B110" s="1" t="n">
        <v>44515</v>
      </c>
      <c r="C110" s="1" t="n">
        <v>46204</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50754-2023</t>
        </is>
      </c>
      <c r="B111" s="1" t="n">
        <v>45217</v>
      </c>
      <c r="C111" s="1" t="n">
        <v>46204</v>
      </c>
      <c r="D111" t="inlineStr">
        <is>
          <t>ÖREBRO LÄN</t>
        </is>
      </c>
      <c r="E111" t="inlineStr">
        <is>
          <t>HÄLLEFORS</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38429-2023</t>
        </is>
      </c>
      <c r="B112" s="1" t="n">
        <v>45162</v>
      </c>
      <c r="C112" s="1" t="n">
        <v>46204</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30747-2025</t>
        </is>
      </c>
      <c r="B113" s="1" t="n">
        <v>45831</v>
      </c>
      <c r="C113" s="1" t="n">
        <v>46204</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50714-2022</t>
        </is>
      </c>
      <c r="B114" s="1" t="n">
        <v>44867</v>
      </c>
      <c r="C114" s="1" t="n">
        <v>46204</v>
      </c>
      <c r="D114" t="inlineStr">
        <is>
          <t>ÖREBRO LÄN</t>
        </is>
      </c>
      <c r="E114" t="inlineStr">
        <is>
          <t>HÄLLEFORS</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42863-2022</t>
        </is>
      </c>
      <c r="B115" s="1" t="n">
        <v>44832</v>
      </c>
      <c r="C115" s="1" t="n">
        <v>46204</v>
      </c>
      <c r="D115" t="inlineStr">
        <is>
          <t>ÖREBRO LÄN</t>
        </is>
      </c>
      <c r="E115" t="inlineStr">
        <is>
          <t>HÄLLEFORS</t>
        </is>
      </c>
      <c r="G115" t="n">
        <v>7.2</v>
      </c>
      <c r="H115" t="n">
        <v>0</v>
      </c>
      <c r="I115" t="n">
        <v>0</v>
      </c>
      <c r="J115" t="n">
        <v>0</v>
      </c>
      <c r="K115" t="n">
        <v>0</v>
      </c>
      <c r="L115" t="n">
        <v>0</v>
      </c>
      <c r="M115" t="n">
        <v>0</v>
      </c>
      <c r="N115" t="n">
        <v>0</v>
      </c>
      <c r="O115" t="n">
        <v>0</v>
      </c>
      <c r="P115" t="n">
        <v>0</v>
      </c>
      <c r="Q115" t="n">
        <v>0</v>
      </c>
      <c r="R115" s="2" t="inlineStr"/>
    </row>
    <row r="116" ht="15" customHeight="1">
      <c r="A116" t="inlineStr">
        <is>
          <t>A 4353-2023</t>
        </is>
      </c>
      <c r="B116" s="1" t="n">
        <v>44954</v>
      </c>
      <c r="C116" s="1" t="n">
        <v>46204</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8095-2026</t>
        </is>
      </c>
      <c r="B117" s="1" t="n">
        <v>46063</v>
      </c>
      <c r="C117" s="1" t="n">
        <v>46204</v>
      </c>
      <c r="D117" t="inlineStr">
        <is>
          <t>ÖREBRO LÄN</t>
        </is>
      </c>
      <c r="E117" t="inlineStr">
        <is>
          <t>HÄLLEFORS</t>
        </is>
      </c>
      <c r="G117" t="n">
        <v>2.7</v>
      </c>
      <c r="H117" t="n">
        <v>0</v>
      </c>
      <c r="I117" t="n">
        <v>0</v>
      </c>
      <c r="J117" t="n">
        <v>0</v>
      </c>
      <c r="K117" t="n">
        <v>0</v>
      </c>
      <c r="L117" t="n">
        <v>0</v>
      </c>
      <c r="M117" t="n">
        <v>0</v>
      </c>
      <c r="N117" t="n">
        <v>0</v>
      </c>
      <c r="O117" t="n">
        <v>0</v>
      </c>
      <c r="P117" t="n">
        <v>0</v>
      </c>
      <c r="Q117" t="n">
        <v>0</v>
      </c>
      <c r="R117" s="2" t="inlineStr"/>
    </row>
    <row r="118" ht="15" customHeight="1">
      <c r="A118" t="inlineStr">
        <is>
          <t>A 8099-2026</t>
        </is>
      </c>
      <c r="B118" s="1" t="n">
        <v>46063</v>
      </c>
      <c r="C118" s="1" t="n">
        <v>46204</v>
      </c>
      <c r="D118" t="inlineStr">
        <is>
          <t>ÖREBRO LÄN</t>
        </is>
      </c>
      <c r="E118" t="inlineStr">
        <is>
          <t>HÄLLEFORS</t>
        </is>
      </c>
      <c r="G118" t="n">
        <v>1.6</v>
      </c>
      <c r="H118" t="n">
        <v>0</v>
      </c>
      <c r="I118" t="n">
        <v>0</v>
      </c>
      <c r="J118" t="n">
        <v>0</v>
      </c>
      <c r="K118" t="n">
        <v>0</v>
      </c>
      <c r="L118" t="n">
        <v>0</v>
      </c>
      <c r="M118" t="n">
        <v>0</v>
      </c>
      <c r="N118" t="n">
        <v>0</v>
      </c>
      <c r="O118" t="n">
        <v>0</v>
      </c>
      <c r="P118" t="n">
        <v>0</v>
      </c>
      <c r="Q118" t="n">
        <v>0</v>
      </c>
      <c r="R118" s="2" t="inlineStr"/>
    </row>
    <row r="119" ht="15" customHeight="1">
      <c r="A119" t="inlineStr">
        <is>
          <t>A 8064-2026</t>
        </is>
      </c>
      <c r="B119" s="1" t="n">
        <v>46063</v>
      </c>
      <c r="C119" s="1" t="n">
        <v>46204</v>
      </c>
      <c r="D119" t="inlineStr">
        <is>
          <t>ÖREBRO LÄN</t>
        </is>
      </c>
      <c r="E119" t="inlineStr">
        <is>
          <t>HÄLLEFORS</t>
        </is>
      </c>
      <c r="G119" t="n">
        <v>6</v>
      </c>
      <c r="H119" t="n">
        <v>0</v>
      </c>
      <c r="I119" t="n">
        <v>0</v>
      </c>
      <c r="J119" t="n">
        <v>0</v>
      </c>
      <c r="K119" t="n">
        <v>0</v>
      </c>
      <c r="L119" t="n">
        <v>0</v>
      </c>
      <c r="M119" t="n">
        <v>0</v>
      </c>
      <c r="N119" t="n">
        <v>0</v>
      </c>
      <c r="O119" t="n">
        <v>0</v>
      </c>
      <c r="P119" t="n">
        <v>0</v>
      </c>
      <c r="Q119" t="n">
        <v>0</v>
      </c>
      <c r="R119" s="2" t="inlineStr"/>
    </row>
    <row r="120" ht="15" customHeight="1">
      <c r="A120" t="inlineStr">
        <is>
          <t>A 16999-2024</t>
        </is>
      </c>
      <c r="B120" s="1" t="n">
        <v>45412</v>
      </c>
      <c r="C120" s="1" t="n">
        <v>46204</v>
      </c>
      <c r="D120" t="inlineStr">
        <is>
          <t>ÖREBRO LÄN</t>
        </is>
      </c>
      <c r="E120" t="inlineStr">
        <is>
          <t>HÄLLEFORS</t>
        </is>
      </c>
      <c r="G120" t="n">
        <v>3.5</v>
      </c>
      <c r="H120" t="n">
        <v>0</v>
      </c>
      <c r="I120" t="n">
        <v>0</v>
      </c>
      <c r="J120" t="n">
        <v>0</v>
      </c>
      <c r="K120" t="n">
        <v>0</v>
      </c>
      <c r="L120" t="n">
        <v>0</v>
      </c>
      <c r="M120" t="n">
        <v>0</v>
      </c>
      <c r="N120" t="n">
        <v>0</v>
      </c>
      <c r="O120" t="n">
        <v>0</v>
      </c>
      <c r="P120" t="n">
        <v>0</v>
      </c>
      <c r="Q120" t="n">
        <v>0</v>
      </c>
      <c r="R120" s="2" t="inlineStr"/>
    </row>
    <row r="121" ht="15" customHeight="1">
      <c r="A121" t="inlineStr">
        <is>
          <t>A 59955-2024</t>
        </is>
      </c>
      <c r="B121" s="1" t="n">
        <v>45642</v>
      </c>
      <c r="C121" s="1" t="n">
        <v>46204</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39327-2022</t>
        </is>
      </c>
      <c r="B122" s="1" t="n">
        <v>44817</v>
      </c>
      <c r="C122" s="1" t="n">
        <v>46204</v>
      </c>
      <c r="D122" t="inlineStr">
        <is>
          <t>ÖREBRO LÄN</t>
        </is>
      </c>
      <c r="E122" t="inlineStr">
        <is>
          <t>HÄLLEFORS</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5045-2025</t>
        </is>
      </c>
      <c r="B123" s="1" t="n">
        <v>45691</v>
      </c>
      <c r="C123" s="1" t="n">
        <v>46204</v>
      </c>
      <c r="D123" t="inlineStr">
        <is>
          <t>ÖREBRO LÄN</t>
        </is>
      </c>
      <c r="E123" t="inlineStr">
        <is>
          <t>HÄLLEFORS</t>
        </is>
      </c>
      <c r="F123" t="inlineStr">
        <is>
          <t>Bergvik skog väst AB</t>
        </is>
      </c>
      <c r="G123" t="n">
        <v>6.4</v>
      </c>
      <c r="H123" t="n">
        <v>0</v>
      </c>
      <c r="I123" t="n">
        <v>0</v>
      </c>
      <c r="J123" t="n">
        <v>0</v>
      </c>
      <c r="K123" t="n">
        <v>0</v>
      </c>
      <c r="L123" t="n">
        <v>0</v>
      </c>
      <c r="M123" t="n">
        <v>0</v>
      </c>
      <c r="N123" t="n">
        <v>0</v>
      </c>
      <c r="O123" t="n">
        <v>0</v>
      </c>
      <c r="P123" t="n">
        <v>0</v>
      </c>
      <c r="Q123" t="n">
        <v>0</v>
      </c>
      <c r="R123" s="2" t="inlineStr"/>
    </row>
    <row r="124" ht="15" customHeight="1">
      <c r="A124" t="inlineStr">
        <is>
          <t>A 34020-2025</t>
        </is>
      </c>
      <c r="B124" s="1" t="n">
        <v>45845</v>
      </c>
      <c r="C124" s="1" t="n">
        <v>46204</v>
      </c>
      <c r="D124" t="inlineStr">
        <is>
          <t>ÖREBRO LÄN</t>
        </is>
      </c>
      <c r="E124" t="inlineStr">
        <is>
          <t>HÄLLEFORS</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34052-2025</t>
        </is>
      </c>
      <c r="B125" s="1" t="n">
        <v>45845</v>
      </c>
      <c r="C125" s="1" t="n">
        <v>46204</v>
      </c>
      <c r="D125" t="inlineStr">
        <is>
          <t>ÖREBRO LÄN</t>
        </is>
      </c>
      <c r="E125" t="inlineStr">
        <is>
          <t>HÄLLEFORS</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34059-2025</t>
        </is>
      </c>
      <c r="B126" s="1" t="n">
        <v>45845</v>
      </c>
      <c r="C126" s="1" t="n">
        <v>46204</v>
      </c>
      <c r="D126" t="inlineStr">
        <is>
          <t>ÖREBRO LÄN</t>
        </is>
      </c>
      <c r="E126" t="inlineStr">
        <is>
          <t>HÄLLEFORS</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34057-2025</t>
        </is>
      </c>
      <c r="B127" s="1" t="n">
        <v>45845</v>
      </c>
      <c r="C127" s="1" t="n">
        <v>46204</v>
      </c>
      <c r="D127" t="inlineStr">
        <is>
          <t>ÖREBRO LÄN</t>
        </is>
      </c>
      <c r="E127" t="inlineStr">
        <is>
          <t>HÄLLEFORS</t>
        </is>
      </c>
      <c r="G127" t="n">
        <v>2.1</v>
      </c>
      <c r="H127" t="n">
        <v>0</v>
      </c>
      <c r="I127" t="n">
        <v>0</v>
      </c>
      <c r="J127" t="n">
        <v>0</v>
      </c>
      <c r="K127" t="n">
        <v>0</v>
      </c>
      <c r="L127" t="n">
        <v>0</v>
      </c>
      <c r="M127" t="n">
        <v>0</v>
      </c>
      <c r="N127" t="n">
        <v>0</v>
      </c>
      <c r="O127" t="n">
        <v>0</v>
      </c>
      <c r="P127" t="n">
        <v>0</v>
      </c>
      <c r="Q127" t="n">
        <v>0</v>
      </c>
      <c r="R127" s="2" t="inlineStr"/>
    </row>
    <row r="128" ht="15" customHeight="1">
      <c r="A128" t="inlineStr">
        <is>
          <t>A 34022-2025</t>
        </is>
      </c>
      <c r="B128" s="1" t="n">
        <v>45845</v>
      </c>
      <c r="C128" s="1" t="n">
        <v>46204</v>
      </c>
      <c r="D128" t="inlineStr">
        <is>
          <t>ÖREBRO LÄN</t>
        </is>
      </c>
      <c r="E128" t="inlineStr">
        <is>
          <t>HÄLLEFORS</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34093-2025</t>
        </is>
      </c>
      <c r="B129" s="1" t="n">
        <v>45845</v>
      </c>
      <c r="C129" s="1" t="n">
        <v>46204</v>
      </c>
      <c r="D129" t="inlineStr">
        <is>
          <t>ÖREBRO LÄN</t>
        </is>
      </c>
      <c r="E129" t="inlineStr">
        <is>
          <t>HÄLLEFORS</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34062-2025</t>
        </is>
      </c>
      <c r="B130" s="1" t="n">
        <v>45845</v>
      </c>
      <c r="C130" s="1" t="n">
        <v>46204</v>
      </c>
      <c r="D130" t="inlineStr">
        <is>
          <t>ÖREBRO LÄN</t>
        </is>
      </c>
      <c r="E130" t="inlineStr">
        <is>
          <t>HÄLLEFORS</t>
        </is>
      </c>
      <c r="G130" t="n">
        <v>1.3</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v>
      </c>
      <c r="C131" s="1" t="n">
        <v>46204</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9537-2025</t>
        </is>
      </c>
      <c r="B132" s="1" t="n">
        <v>45715</v>
      </c>
      <c r="C132" s="1" t="n">
        <v>46204</v>
      </c>
      <c r="D132" t="inlineStr">
        <is>
          <t>ÖREBRO LÄN</t>
        </is>
      </c>
      <c r="E132" t="inlineStr">
        <is>
          <t>HÄLLEFORS</t>
        </is>
      </c>
      <c r="G132" t="n">
        <v>2.7</v>
      </c>
      <c r="H132" t="n">
        <v>0</v>
      </c>
      <c r="I132" t="n">
        <v>0</v>
      </c>
      <c r="J132" t="n">
        <v>0</v>
      </c>
      <c r="K132" t="n">
        <v>0</v>
      </c>
      <c r="L132" t="n">
        <v>0</v>
      </c>
      <c r="M132" t="n">
        <v>0</v>
      </c>
      <c r="N132" t="n">
        <v>0</v>
      </c>
      <c r="O132" t="n">
        <v>0</v>
      </c>
      <c r="P132" t="n">
        <v>0</v>
      </c>
      <c r="Q132" t="n">
        <v>0</v>
      </c>
      <c r="R132" s="2" t="inlineStr"/>
    </row>
    <row r="133" ht="15" customHeight="1">
      <c r="A133" t="inlineStr">
        <is>
          <t>A 17075-2025</t>
        </is>
      </c>
      <c r="B133" s="1" t="n">
        <v>45755</v>
      </c>
      <c r="C133" s="1" t="n">
        <v>46204</v>
      </c>
      <c r="D133" t="inlineStr">
        <is>
          <t>ÖREBRO LÄN</t>
        </is>
      </c>
      <c r="E133" t="inlineStr">
        <is>
          <t>HÄLLEFORS</t>
        </is>
      </c>
      <c r="F133" t="inlineStr">
        <is>
          <t>Bergvik skog väst AB</t>
        </is>
      </c>
      <c r="G133" t="n">
        <v>3.2</v>
      </c>
      <c r="H133" t="n">
        <v>0</v>
      </c>
      <c r="I133" t="n">
        <v>0</v>
      </c>
      <c r="J133" t="n">
        <v>0</v>
      </c>
      <c r="K133" t="n">
        <v>0</v>
      </c>
      <c r="L133" t="n">
        <v>0</v>
      </c>
      <c r="M133" t="n">
        <v>0</v>
      </c>
      <c r="N133" t="n">
        <v>0</v>
      </c>
      <c r="O133" t="n">
        <v>0</v>
      </c>
      <c r="P133" t="n">
        <v>0</v>
      </c>
      <c r="Q133" t="n">
        <v>0</v>
      </c>
      <c r="R133" s="2" t="inlineStr"/>
    </row>
    <row r="134" ht="15" customHeight="1">
      <c r="A134" t="inlineStr">
        <is>
          <t>A 20128-2024</t>
        </is>
      </c>
      <c r="B134" s="1" t="n">
        <v>45434</v>
      </c>
      <c r="C134" s="1" t="n">
        <v>46204</v>
      </c>
      <c r="D134" t="inlineStr">
        <is>
          <t>ÖREBRO LÄN</t>
        </is>
      </c>
      <c r="E134" t="inlineStr">
        <is>
          <t>HÄLLEFORS</t>
        </is>
      </c>
      <c r="G134" t="n">
        <v>2.4</v>
      </c>
      <c r="H134" t="n">
        <v>0</v>
      </c>
      <c r="I134" t="n">
        <v>0</v>
      </c>
      <c r="J134" t="n">
        <v>0</v>
      </c>
      <c r="K134" t="n">
        <v>0</v>
      </c>
      <c r="L134" t="n">
        <v>0</v>
      </c>
      <c r="M134" t="n">
        <v>0</v>
      </c>
      <c r="N134" t="n">
        <v>0</v>
      </c>
      <c r="O134" t="n">
        <v>0</v>
      </c>
      <c r="P134" t="n">
        <v>0</v>
      </c>
      <c r="Q134" t="n">
        <v>0</v>
      </c>
      <c r="R134" s="2" t="inlineStr"/>
    </row>
    <row r="135" ht="15" customHeight="1">
      <c r="A135" t="inlineStr">
        <is>
          <t>A 9411-2022</t>
        </is>
      </c>
      <c r="B135" s="1" t="n">
        <v>44616</v>
      </c>
      <c r="C135" s="1" t="n">
        <v>46204</v>
      </c>
      <c r="D135" t="inlineStr">
        <is>
          <t>ÖREBRO LÄN</t>
        </is>
      </c>
      <c r="E135" t="inlineStr">
        <is>
          <t>HÄLLEFORS</t>
        </is>
      </c>
      <c r="G135" t="n">
        <v>2.4</v>
      </c>
      <c r="H135" t="n">
        <v>0</v>
      </c>
      <c r="I135" t="n">
        <v>0</v>
      </c>
      <c r="J135" t="n">
        <v>0</v>
      </c>
      <c r="K135" t="n">
        <v>0</v>
      </c>
      <c r="L135" t="n">
        <v>0</v>
      </c>
      <c r="M135" t="n">
        <v>0</v>
      </c>
      <c r="N135" t="n">
        <v>0</v>
      </c>
      <c r="O135" t="n">
        <v>0</v>
      </c>
      <c r="P135" t="n">
        <v>0</v>
      </c>
      <c r="Q135" t="n">
        <v>0</v>
      </c>
      <c r="R135" s="2" t="inlineStr"/>
    </row>
    <row r="136" ht="15" customHeight="1">
      <c r="A136" t="inlineStr">
        <is>
          <t>A 15771-2022</t>
        </is>
      </c>
      <c r="B136" s="1" t="n">
        <v>44663</v>
      </c>
      <c r="C136" s="1" t="n">
        <v>46204</v>
      </c>
      <c r="D136" t="inlineStr">
        <is>
          <t>ÖREBRO LÄN</t>
        </is>
      </c>
      <c r="E136" t="inlineStr">
        <is>
          <t>HÄLLEFORS</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58768-2024</t>
        </is>
      </c>
      <c r="B137" s="1" t="n">
        <v>45635</v>
      </c>
      <c r="C137" s="1" t="n">
        <v>46204</v>
      </c>
      <c r="D137" t="inlineStr">
        <is>
          <t>ÖREBRO LÄN</t>
        </is>
      </c>
      <c r="E137" t="inlineStr">
        <is>
          <t>HÄLLEFORS</t>
        </is>
      </c>
      <c r="G137" t="n">
        <v>0.9</v>
      </c>
      <c r="H137" t="n">
        <v>0</v>
      </c>
      <c r="I137" t="n">
        <v>0</v>
      </c>
      <c r="J137" t="n">
        <v>0</v>
      </c>
      <c r="K137" t="n">
        <v>0</v>
      </c>
      <c r="L137" t="n">
        <v>0</v>
      </c>
      <c r="M137" t="n">
        <v>0</v>
      </c>
      <c r="N137" t="n">
        <v>0</v>
      </c>
      <c r="O137" t="n">
        <v>0</v>
      </c>
      <c r="P137" t="n">
        <v>0</v>
      </c>
      <c r="Q137" t="n">
        <v>0</v>
      </c>
      <c r="R137" s="2" t="inlineStr"/>
    </row>
    <row r="138" ht="15" customHeight="1">
      <c r="A138" t="inlineStr">
        <is>
          <t>A 33944-2024</t>
        </is>
      </c>
      <c r="B138" s="1" t="n">
        <v>45523</v>
      </c>
      <c r="C138" s="1" t="n">
        <v>46204</v>
      </c>
      <c r="D138" t="inlineStr">
        <is>
          <t>ÖREBRO LÄN</t>
        </is>
      </c>
      <c r="E138" t="inlineStr">
        <is>
          <t>HÄLLEFORS</t>
        </is>
      </c>
      <c r="G138" t="n">
        <v>5.9</v>
      </c>
      <c r="H138" t="n">
        <v>0</v>
      </c>
      <c r="I138" t="n">
        <v>0</v>
      </c>
      <c r="J138" t="n">
        <v>0</v>
      </c>
      <c r="K138" t="n">
        <v>0</v>
      </c>
      <c r="L138" t="n">
        <v>0</v>
      </c>
      <c r="M138" t="n">
        <v>0</v>
      </c>
      <c r="N138" t="n">
        <v>0</v>
      </c>
      <c r="O138" t="n">
        <v>0</v>
      </c>
      <c r="P138" t="n">
        <v>0</v>
      </c>
      <c r="Q138" t="n">
        <v>0</v>
      </c>
      <c r="R138" s="2" t="inlineStr"/>
    </row>
    <row r="139" ht="15" customHeight="1">
      <c r="A139" t="inlineStr">
        <is>
          <t>A 51159-2023</t>
        </is>
      </c>
      <c r="B139" s="1" t="n">
        <v>45219</v>
      </c>
      <c r="C139" s="1" t="n">
        <v>46204</v>
      </c>
      <c r="D139" t="inlineStr">
        <is>
          <t>ÖREBRO LÄN</t>
        </is>
      </c>
      <c r="E139" t="inlineStr">
        <is>
          <t>HÄLLEFORS</t>
        </is>
      </c>
      <c r="G139" t="n">
        <v>0.4</v>
      </c>
      <c r="H139" t="n">
        <v>0</v>
      </c>
      <c r="I139" t="n">
        <v>0</v>
      </c>
      <c r="J139" t="n">
        <v>0</v>
      </c>
      <c r="K139" t="n">
        <v>0</v>
      </c>
      <c r="L139" t="n">
        <v>0</v>
      </c>
      <c r="M139" t="n">
        <v>0</v>
      </c>
      <c r="N139" t="n">
        <v>0</v>
      </c>
      <c r="O139" t="n">
        <v>0</v>
      </c>
      <c r="P139" t="n">
        <v>0</v>
      </c>
      <c r="Q139" t="n">
        <v>0</v>
      </c>
      <c r="R139" s="2" t="inlineStr"/>
    </row>
    <row r="140" ht="15" customHeight="1">
      <c r="A140" t="inlineStr">
        <is>
          <t>A 39513-2024</t>
        </is>
      </c>
      <c r="B140" s="1" t="n">
        <v>45551</v>
      </c>
      <c r="C140" s="1" t="n">
        <v>46204</v>
      </c>
      <c r="D140" t="inlineStr">
        <is>
          <t>ÖREBRO LÄN</t>
        </is>
      </c>
      <c r="E140" t="inlineStr">
        <is>
          <t>HÄLLEFORS</t>
        </is>
      </c>
      <c r="G140" t="n">
        <v>0.7</v>
      </c>
      <c r="H140" t="n">
        <v>0</v>
      </c>
      <c r="I140" t="n">
        <v>0</v>
      </c>
      <c r="J140" t="n">
        <v>0</v>
      </c>
      <c r="K140" t="n">
        <v>0</v>
      </c>
      <c r="L140" t="n">
        <v>0</v>
      </c>
      <c r="M140" t="n">
        <v>0</v>
      </c>
      <c r="N140" t="n">
        <v>0</v>
      </c>
      <c r="O140" t="n">
        <v>0</v>
      </c>
      <c r="P140" t="n">
        <v>0</v>
      </c>
      <c r="Q140" t="n">
        <v>0</v>
      </c>
      <c r="R140" s="2" t="inlineStr"/>
    </row>
    <row r="141" ht="15" customHeight="1">
      <c r="A141" t="inlineStr">
        <is>
          <t>A 62265-2022</t>
        </is>
      </c>
      <c r="B141" s="1" t="n">
        <v>44923</v>
      </c>
      <c r="C141" s="1" t="n">
        <v>46204</v>
      </c>
      <c r="D141" t="inlineStr">
        <is>
          <t>ÖREBRO LÄN</t>
        </is>
      </c>
      <c r="E141" t="inlineStr">
        <is>
          <t>HÄLLEFORS</t>
        </is>
      </c>
      <c r="G141" t="n">
        <v>0.6</v>
      </c>
      <c r="H141" t="n">
        <v>0</v>
      </c>
      <c r="I141" t="n">
        <v>0</v>
      </c>
      <c r="J141" t="n">
        <v>0</v>
      </c>
      <c r="K141" t="n">
        <v>0</v>
      </c>
      <c r="L141" t="n">
        <v>0</v>
      </c>
      <c r="M141" t="n">
        <v>0</v>
      </c>
      <c r="N141" t="n">
        <v>0</v>
      </c>
      <c r="O141" t="n">
        <v>0</v>
      </c>
      <c r="P141" t="n">
        <v>0</v>
      </c>
      <c r="Q141" t="n">
        <v>0</v>
      </c>
      <c r="R141" s="2" t="inlineStr"/>
    </row>
    <row r="142" ht="15" customHeight="1">
      <c r="A142" t="inlineStr">
        <is>
          <t>A 35183-2023</t>
        </is>
      </c>
      <c r="B142" s="1" t="n">
        <v>45145</v>
      </c>
      <c r="C142" s="1" t="n">
        <v>46204</v>
      </c>
      <c r="D142" t="inlineStr">
        <is>
          <t>ÖREBRO LÄN</t>
        </is>
      </c>
      <c r="E142" t="inlineStr">
        <is>
          <t>HÄLLEFORS</t>
        </is>
      </c>
      <c r="F142" t="inlineStr">
        <is>
          <t>Bergvik skog väst AB</t>
        </is>
      </c>
      <c r="G142" t="n">
        <v>6.6</v>
      </c>
      <c r="H142" t="n">
        <v>0</v>
      </c>
      <c r="I142" t="n">
        <v>0</v>
      </c>
      <c r="J142" t="n">
        <v>0</v>
      </c>
      <c r="K142" t="n">
        <v>0</v>
      </c>
      <c r="L142" t="n">
        <v>0</v>
      </c>
      <c r="M142" t="n">
        <v>0</v>
      </c>
      <c r="N142" t="n">
        <v>0</v>
      </c>
      <c r="O142" t="n">
        <v>0</v>
      </c>
      <c r="P142" t="n">
        <v>0</v>
      </c>
      <c r="Q142" t="n">
        <v>0</v>
      </c>
      <c r="R142" s="2" t="inlineStr"/>
    </row>
    <row r="143" ht="15" customHeight="1">
      <c r="A143" t="inlineStr">
        <is>
          <t>A 12558-2025</t>
        </is>
      </c>
      <c r="B143" s="1" t="n">
        <v>45731</v>
      </c>
      <c r="C143" s="1" t="n">
        <v>46204</v>
      </c>
      <c r="D143" t="inlineStr">
        <is>
          <t>ÖREBRO LÄN</t>
        </is>
      </c>
      <c r="E143" t="inlineStr">
        <is>
          <t>HÄLLEFORS</t>
        </is>
      </c>
      <c r="G143" t="n">
        <v>2.2</v>
      </c>
      <c r="H143" t="n">
        <v>0</v>
      </c>
      <c r="I143" t="n">
        <v>0</v>
      </c>
      <c r="J143" t="n">
        <v>0</v>
      </c>
      <c r="K143" t="n">
        <v>0</v>
      </c>
      <c r="L143" t="n">
        <v>0</v>
      </c>
      <c r="M143" t="n">
        <v>0</v>
      </c>
      <c r="N143" t="n">
        <v>0</v>
      </c>
      <c r="O143" t="n">
        <v>0</v>
      </c>
      <c r="P143" t="n">
        <v>0</v>
      </c>
      <c r="Q143" t="n">
        <v>0</v>
      </c>
      <c r="R143" s="2" t="inlineStr"/>
    </row>
    <row r="144" ht="15" customHeight="1">
      <c r="A144" t="inlineStr">
        <is>
          <t>A 5245-2025</t>
        </is>
      </c>
      <c r="B144" s="1" t="n">
        <v>45692</v>
      </c>
      <c r="C144" s="1" t="n">
        <v>46204</v>
      </c>
      <c r="D144" t="inlineStr">
        <is>
          <t>ÖREBRO LÄN</t>
        </is>
      </c>
      <c r="E144" t="inlineStr">
        <is>
          <t>HÄLLEFORS</t>
        </is>
      </c>
      <c r="F144" t="inlineStr">
        <is>
          <t>Bergvik skog väst AB</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60518-2021</t>
        </is>
      </c>
      <c r="B145" s="1" t="n">
        <v>44496</v>
      </c>
      <c r="C145" s="1" t="n">
        <v>46204</v>
      </c>
      <c r="D145" t="inlineStr">
        <is>
          <t>ÖREBRO LÄN</t>
        </is>
      </c>
      <c r="E145" t="inlineStr">
        <is>
          <t>HÄLLEFORS</t>
        </is>
      </c>
      <c r="G145" t="n">
        <v>1.9</v>
      </c>
      <c r="H145" t="n">
        <v>0</v>
      </c>
      <c r="I145" t="n">
        <v>0</v>
      </c>
      <c r="J145" t="n">
        <v>0</v>
      </c>
      <c r="K145" t="n">
        <v>0</v>
      </c>
      <c r="L145" t="n">
        <v>0</v>
      </c>
      <c r="M145" t="n">
        <v>0</v>
      </c>
      <c r="N145" t="n">
        <v>0</v>
      </c>
      <c r="O145" t="n">
        <v>0</v>
      </c>
      <c r="P145" t="n">
        <v>0</v>
      </c>
      <c r="Q145" t="n">
        <v>0</v>
      </c>
      <c r="R145" s="2" t="inlineStr"/>
    </row>
    <row r="146" ht="15" customHeight="1">
      <c r="A146" t="inlineStr">
        <is>
          <t>A 21901-2023</t>
        </is>
      </c>
      <c r="B146" s="1" t="n">
        <v>45068</v>
      </c>
      <c r="C146" s="1" t="n">
        <v>46204</v>
      </c>
      <c r="D146" t="inlineStr">
        <is>
          <t>ÖREBRO LÄN</t>
        </is>
      </c>
      <c r="E146" t="inlineStr">
        <is>
          <t>HÄLLEFORS</t>
        </is>
      </c>
      <c r="G146" t="n">
        <v>1.3</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v>
      </c>
      <c r="C147" s="1" t="n">
        <v>46204</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29027-2024</t>
        </is>
      </c>
      <c r="B148" s="1" t="n">
        <v>45481</v>
      </c>
      <c r="C148" s="1" t="n">
        <v>46204</v>
      </c>
      <c r="D148" t="inlineStr">
        <is>
          <t>ÖREBRO LÄN</t>
        </is>
      </c>
      <c r="E148" t="inlineStr">
        <is>
          <t>HÄLLEFORS</t>
        </is>
      </c>
      <c r="G148" t="n">
        <v>1.5</v>
      </c>
      <c r="H148" t="n">
        <v>0</v>
      </c>
      <c r="I148" t="n">
        <v>0</v>
      </c>
      <c r="J148" t="n">
        <v>0</v>
      </c>
      <c r="K148" t="n">
        <v>0</v>
      </c>
      <c r="L148" t="n">
        <v>0</v>
      </c>
      <c r="M148" t="n">
        <v>0</v>
      </c>
      <c r="N148" t="n">
        <v>0</v>
      </c>
      <c r="O148" t="n">
        <v>0</v>
      </c>
      <c r="P148" t="n">
        <v>0</v>
      </c>
      <c r="Q148" t="n">
        <v>0</v>
      </c>
      <c r="R148" s="2" t="inlineStr"/>
    </row>
    <row r="149" ht="15" customHeight="1">
      <c r="A149" t="inlineStr">
        <is>
          <t>A 9539-2025</t>
        </is>
      </c>
      <c r="B149" s="1" t="n">
        <v>45715</v>
      </c>
      <c r="C149" s="1" t="n">
        <v>46204</v>
      </c>
      <c r="D149" t="inlineStr">
        <is>
          <t>ÖREBRO LÄN</t>
        </is>
      </c>
      <c r="E149" t="inlineStr">
        <is>
          <t>HÄLLEFORS</t>
        </is>
      </c>
      <c r="G149" t="n">
        <v>1.4</v>
      </c>
      <c r="H149" t="n">
        <v>0</v>
      </c>
      <c r="I149" t="n">
        <v>0</v>
      </c>
      <c r="J149" t="n">
        <v>0</v>
      </c>
      <c r="K149" t="n">
        <v>0</v>
      </c>
      <c r="L149" t="n">
        <v>0</v>
      </c>
      <c r="M149" t="n">
        <v>0</v>
      </c>
      <c r="N149" t="n">
        <v>0</v>
      </c>
      <c r="O149" t="n">
        <v>0</v>
      </c>
      <c r="P149" t="n">
        <v>0</v>
      </c>
      <c r="Q149" t="n">
        <v>0</v>
      </c>
      <c r="R149" s="2" t="inlineStr"/>
    </row>
    <row r="150" ht="15" customHeight="1">
      <c r="A150" t="inlineStr">
        <is>
          <t>A 29884-2022</t>
        </is>
      </c>
      <c r="B150" s="1" t="n">
        <v>44756</v>
      </c>
      <c r="C150" s="1" t="n">
        <v>46204</v>
      </c>
      <c r="D150" t="inlineStr">
        <is>
          <t>ÖREBRO LÄN</t>
        </is>
      </c>
      <c r="E150" t="inlineStr">
        <is>
          <t>HÄLLEFORS</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2079-2024</t>
        </is>
      </c>
      <c r="B151" s="1" t="n">
        <v>45309</v>
      </c>
      <c r="C151" s="1" t="n">
        <v>46204</v>
      </c>
      <c r="D151" t="inlineStr">
        <is>
          <t>ÖREBRO LÄN</t>
        </is>
      </c>
      <c r="E151" t="inlineStr">
        <is>
          <t>HÄLLEFORS</t>
        </is>
      </c>
      <c r="G151" t="n">
        <v>0.4</v>
      </c>
      <c r="H151" t="n">
        <v>0</v>
      </c>
      <c r="I151" t="n">
        <v>0</v>
      </c>
      <c r="J151" t="n">
        <v>0</v>
      </c>
      <c r="K151" t="n">
        <v>0</v>
      </c>
      <c r="L151" t="n">
        <v>0</v>
      </c>
      <c r="M151" t="n">
        <v>0</v>
      </c>
      <c r="N151" t="n">
        <v>0</v>
      </c>
      <c r="O151" t="n">
        <v>0</v>
      </c>
      <c r="P151" t="n">
        <v>0</v>
      </c>
      <c r="Q151" t="n">
        <v>0</v>
      </c>
      <c r="R151" s="2" t="inlineStr"/>
    </row>
    <row r="152" ht="15" customHeight="1">
      <c r="A152" t="inlineStr">
        <is>
          <t>A 6761-2025</t>
        </is>
      </c>
      <c r="B152" s="1" t="n">
        <v>45700</v>
      </c>
      <c r="C152" s="1" t="n">
        <v>46204</v>
      </c>
      <c r="D152" t="inlineStr">
        <is>
          <t>ÖREBRO LÄN</t>
        </is>
      </c>
      <c r="E152" t="inlineStr">
        <is>
          <t>HÄLLEFORS</t>
        </is>
      </c>
      <c r="G152" t="n">
        <v>2.4</v>
      </c>
      <c r="H152" t="n">
        <v>0</v>
      </c>
      <c r="I152" t="n">
        <v>0</v>
      </c>
      <c r="J152" t="n">
        <v>0</v>
      </c>
      <c r="K152" t="n">
        <v>0</v>
      </c>
      <c r="L152" t="n">
        <v>0</v>
      </c>
      <c r="M152" t="n">
        <v>0</v>
      </c>
      <c r="N152" t="n">
        <v>0</v>
      </c>
      <c r="O152" t="n">
        <v>0</v>
      </c>
      <c r="P152" t="n">
        <v>0</v>
      </c>
      <c r="Q152" t="n">
        <v>0</v>
      </c>
      <c r="R152" s="2" t="inlineStr"/>
    </row>
    <row r="153" ht="15" customHeight="1">
      <c r="A153" t="inlineStr">
        <is>
          <t>A 23561-2023</t>
        </is>
      </c>
      <c r="B153" s="1" t="n">
        <v>45077</v>
      </c>
      <c r="C153" s="1" t="n">
        <v>46204</v>
      </c>
      <c r="D153" t="inlineStr">
        <is>
          <t>ÖREBRO LÄN</t>
        </is>
      </c>
      <c r="E153" t="inlineStr">
        <is>
          <t>HÄLLEFORS</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51088-2022</t>
        </is>
      </c>
      <c r="B154" s="1" t="n">
        <v>44868</v>
      </c>
      <c r="C154" s="1" t="n">
        <v>46204</v>
      </c>
      <c r="D154" t="inlineStr">
        <is>
          <t>ÖREBRO LÄN</t>
        </is>
      </c>
      <c r="E154" t="inlineStr">
        <is>
          <t>HÄLLEFORS</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46980-2023</t>
        </is>
      </c>
      <c r="B155" s="1" t="n">
        <v>45201</v>
      </c>
      <c r="C155" s="1" t="n">
        <v>46204</v>
      </c>
      <c r="D155" t="inlineStr">
        <is>
          <t>ÖREBRO LÄN</t>
        </is>
      </c>
      <c r="E155" t="inlineStr">
        <is>
          <t>HÄLLEFORS</t>
        </is>
      </c>
      <c r="F155" t="inlineStr">
        <is>
          <t>Bergvik skog väst AB</t>
        </is>
      </c>
      <c r="G155" t="n">
        <v>7.5</v>
      </c>
      <c r="H155" t="n">
        <v>0</v>
      </c>
      <c r="I155" t="n">
        <v>0</v>
      </c>
      <c r="J155" t="n">
        <v>0</v>
      </c>
      <c r="K155" t="n">
        <v>0</v>
      </c>
      <c r="L155" t="n">
        <v>0</v>
      </c>
      <c r="M155" t="n">
        <v>0</v>
      </c>
      <c r="N155" t="n">
        <v>0</v>
      </c>
      <c r="O155" t="n">
        <v>0</v>
      </c>
      <c r="P155" t="n">
        <v>0</v>
      </c>
      <c r="Q155" t="n">
        <v>0</v>
      </c>
      <c r="R155" s="2" t="inlineStr"/>
    </row>
    <row r="156" ht="15" customHeight="1">
      <c r="A156" t="inlineStr">
        <is>
          <t>A 48961-2025</t>
        </is>
      </c>
      <c r="B156" s="1" t="n">
        <v>45936</v>
      </c>
      <c r="C156" s="1" t="n">
        <v>46204</v>
      </c>
      <c r="D156" t="inlineStr">
        <is>
          <t>ÖREBRO LÄN</t>
        </is>
      </c>
      <c r="E156" t="inlineStr">
        <is>
          <t>HÄLLEFORS</t>
        </is>
      </c>
      <c r="G156" t="n">
        <v>3.7</v>
      </c>
      <c r="H156" t="n">
        <v>0</v>
      </c>
      <c r="I156" t="n">
        <v>0</v>
      </c>
      <c r="J156" t="n">
        <v>0</v>
      </c>
      <c r="K156" t="n">
        <v>0</v>
      </c>
      <c r="L156" t="n">
        <v>0</v>
      </c>
      <c r="M156" t="n">
        <v>0</v>
      </c>
      <c r="N156" t="n">
        <v>0</v>
      </c>
      <c r="O156" t="n">
        <v>0</v>
      </c>
      <c r="P156" t="n">
        <v>0</v>
      </c>
      <c r="Q156" t="n">
        <v>0</v>
      </c>
      <c r="R156" s="2" t="inlineStr"/>
    </row>
    <row r="157" ht="15" customHeight="1">
      <c r="A157" t="inlineStr">
        <is>
          <t>A 18582-2025</t>
        </is>
      </c>
      <c r="B157" s="1" t="n">
        <v>45763</v>
      </c>
      <c r="C157" s="1" t="n">
        <v>46204</v>
      </c>
      <c r="D157" t="inlineStr">
        <is>
          <t>ÖREBRO LÄN</t>
        </is>
      </c>
      <c r="E157" t="inlineStr">
        <is>
          <t>HÄLLEFORS</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48765-2025</t>
        </is>
      </c>
      <c r="B158" s="1" t="n">
        <v>45936</v>
      </c>
      <c r="C158" s="1" t="n">
        <v>46204</v>
      </c>
      <c r="D158" t="inlineStr">
        <is>
          <t>ÖREBRO LÄN</t>
        </is>
      </c>
      <c r="E158" t="inlineStr">
        <is>
          <t>HÄLLEFORS</t>
        </is>
      </c>
      <c r="F158" t="inlineStr">
        <is>
          <t>Bergvik skog väst AB</t>
        </is>
      </c>
      <c r="G158" t="n">
        <v>17.6</v>
      </c>
      <c r="H158" t="n">
        <v>0</v>
      </c>
      <c r="I158" t="n">
        <v>0</v>
      </c>
      <c r="J158" t="n">
        <v>0</v>
      </c>
      <c r="K158" t="n">
        <v>0</v>
      </c>
      <c r="L158" t="n">
        <v>0</v>
      </c>
      <c r="M158" t="n">
        <v>0</v>
      </c>
      <c r="N158" t="n">
        <v>0</v>
      </c>
      <c r="O158" t="n">
        <v>0</v>
      </c>
      <c r="P158" t="n">
        <v>0</v>
      </c>
      <c r="Q158" t="n">
        <v>0</v>
      </c>
      <c r="R158" s="2" t="inlineStr"/>
    </row>
    <row r="159" ht="15" customHeight="1">
      <c r="A159" t="inlineStr">
        <is>
          <t>A 8615-2025</t>
        </is>
      </c>
      <c r="B159" s="1" t="n">
        <v>45710</v>
      </c>
      <c r="C159" s="1" t="n">
        <v>46204</v>
      </c>
      <c r="D159" t="inlineStr">
        <is>
          <t>ÖREBRO LÄN</t>
        </is>
      </c>
      <c r="E159" t="inlineStr">
        <is>
          <t>HÄLLEFORS</t>
        </is>
      </c>
      <c r="G159" t="n">
        <v>6.2</v>
      </c>
      <c r="H159" t="n">
        <v>0</v>
      </c>
      <c r="I159" t="n">
        <v>0</v>
      </c>
      <c r="J159" t="n">
        <v>0</v>
      </c>
      <c r="K159" t="n">
        <v>0</v>
      </c>
      <c r="L159" t="n">
        <v>0</v>
      </c>
      <c r="M159" t="n">
        <v>0</v>
      </c>
      <c r="N159" t="n">
        <v>0</v>
      </c>
      <c r="O159" t="n">
        <v>0</v>
      </c>
      <c r="P159" t="n">
        <v>0</v>
      </c>
      <c r="Q159" t="n">
        <v>0</v>
      </c>
      <c r="R159" s="2" t="inlineStr"/>
    </row>
    <row r="160" ht="15" customHeight="1">
      <c r="A160" t="inlineStr">
        <is>
          <t>A 50881-2025</t>
        </is>
      </c>
      <c r="B160" s="1" t="n">
        <v>45946</v>
      </c>
      <c r="C160" s="1" t="n">
        <v>46204</v>
      </c>
      <c r="D160" t="inlineStr">
        <is>
          <t>ÖREBRO LÄN</t>
        </is>
      </c>
      <c r="E160" t="inlineStr">
        <is>
          <t>HÄLLEFORS</t>
        </is>
      </c>
      <c r="F160" t="inlineStr">
        <is>
          <t>Bergvik skog väst AB</t>
        </is>
      </c>
      <c r="G160" t="n">
        <v>2.6</v>
      </c>
      <c r="H160" t="n">
        <v>0</v>
      </c>
      <c r="I160" t="n">
        <v>0</v>
      </c>
      <c r="J160" t="n">
        <v>0</v>
      </c>
      <c r="K160" t="n">
        <v>0</v>
      </c>
      <c r="L160" t="n">
        <v>0</v>
      </c>
      <c r="M160" t="n">
        <v>0</v>
      </c>
      <c r="N160" t="n">
        <v>0</v>
      </c>
      <c r="O160" t="n">
        <v>0</v>
      </c>
      <c r="P160" t="n">
        <v>0</v>
      </c>
      <c r="Q160" t="n">
        <v>0</v>
      </c>
      <c r="R160" s="2" t="inlineStr"/>
    </row>
    <row r="161" ht="15" customHeight="1">
      <c r="A161" t="inlineStr">
        <is>
          <t>A 50794-2025</t>
        </is>
      </c>
      <c r="B161" s="1" t="n">
        <v>45946</v>
      </c>
      <c r="C161" s="1" t="n">
        <v>46204</v>
      </c>
      <c r="D161" t="inlineStr">
        <is>
          <t>ÖREBRO LÄN</t>
        </is>
      </c>
      <c r="E161" t="inlineStr">
        <is>
          <t>HÄLLEFORS</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50798-2025</t>
        </is>
      </c>
      <c r="B162" s="1" t="n">
        <v>45946</v>
      </c>
      <c r="C162" s="1" t="n">
        <v>46204</v>
      </c>
      <c r="D162" t="inlineStr">
        <is>
          <t>ÖREBRO LÄN</t>
        </is>
      </c>
      <c r="E162" t="inlineStr">
        <is>
          <t>HÄLLEFORS</t>
        </is>
      </c>
      <c r="F162" t="inlineStr">
        <is>
          <t>Bergvik skog väst AB</t>
        </is>
      </c>
      <c r="G162" t="n">
        <v>2.4</v>
      </c>
      <c r="H162" t="n">
        <v>0</v>
      </c>
      <c r="I162" t="n">
        <v>0</v>
      </c>
      <c r="J162" t="n">
        <v>0</v>
      </c>
      <c r="K162" t="n">
        <v>0</v>
      </c>
      <c r="L162" t="n">
        <v>0</v>
      </c>
      <c r="M162" t="n">
        <v>0</v>
      </c>
      <c r="N162" t="n">
        <v>0</v>
      </c>
      <c r="O162" t="n">
        <v>0</v>
      </c>
      <c r="P162" t="n">
        <v>0</v>
      </c>
      <c r="Q162" t="n">
        <v>0</v>
      </c>
      <c r="R162" s="2" t="inlineStr"/>
    </row>
    <row r="163" ht="15" customHeight="1">
      <c r="A163" t="inlineStr">
        <is>
          <t>A 36635-2022</t>
        </is>
      </c>
      <c r="B163" s="1" t="n">
        <v>44804</v>
      </c>
      <c r="C163" s="1" t="n">
        <v>46204</v>
      </c>
      <c r="D163" t="inlineStr">
        <is>
          <t>ÖREBRO LÄN</t>
        </is>
      </c>
      <c r="E163" t="inlineStr">
        <is>
          <t>HÄLLEFORS</t>
        </is>
      </c>
      <c r="G163" t="n">
        <v>2.5</v>
      </c>
      <c r="H163" t="n">
        <v>0</v>
      </c>
      <c r="I163" t="n">
        <v>0</v>
      </c>
      <c r="J163" t="n">
        <v>0</v>
      </c>
      <c r="K163" t="n">
        <v>0</v>
      </c>
      <c r="L163" t="n">
        <v>0</v>
      </c>
      <c r="M163" t="n">
        <v>0</v>
      </c>
      <c r="N163" t="n">
        <v>0</v>
      </c>
      <c r="O163" t="n">
        <v>0</v>
      </c>
      <c r="P163" t="n">
        <v>0</v>
      </c>
      <c r="Q163" t="n">
        <v>0</v>
      </c>
      <c r="R163" s="2" t="inlineStr"/>
    </row>
    <row r="164" ht="15" customHeight="1">
      <c r="A164" t="inlineStr">
        <is>
          <t>A 9009-2023</t>
        </is>
      </c>
      <c r="B164" s="1" t="n">
        <v>44979</v>
      </c>
      <c r="C164" s="1" t="n">
        <v>46204</v>
      </c>
      <c r="D164" t="inlineStr">
        <is>
          <t>ÖREBRO LÄN</t>
        </is>
      </c>
      <c r="E164" t="inlineStr">
        <is>
          <t>HÄLLEFORS</t>
        </is>
      </c>
      <c r="G164" t="n">
        <v>0.6</v>
      </c>
      <c r="H164" t="n">
        <v>0</v>
      </c>
      <c r="I164" t="n">
        <v>0</v>
      </c>
      <c r="J164" t="n">
        <v>0</v>
      </c>
      <c r="K164" t="n">
        <v>0</v>
      </c>
      <c r="L164" t="n">
        <v>0</v>
      </c>
      <c r="M164" t="n">
        <v>0</v>
      </c>
      <c r="N164" t="n">
        <v>0</v>
      </c>
      <c r="O164" t="n">
        <v>0</v>
      </c>
      <c r="P164" t="n">
        <v>0</v>
      </c>
      <c r="Q164" t="n">
        <v>0</v>
      </c>
      <c r="R164" s="2" t="inlineStr"/>
    </row>
    <row r="165" ht="15" customHeight="1">
      <c r="A165" t="inlineStr">
        <is>
          <t>A 5657-2024</t>
        </is>
      </c>
      <c r="B165" s="1" t="n">
        <v>45334</v>
      </c>
      <c r="C165" s="1" t="n">
        <v>46204</v>
      </c>
      <c r="D165" t="inlineStr">
        <is>
          <t>ÖREBRO LÄN</t>
        </is>
      </c>
      <c r="E165" t="inlineStr">
        <is>
          <t>HÄLLEFORS</t>
        </is>
      </c>
      <c r="G165" t="n">
        <v>0.3</v>
      </c>
      <c r="H165" t="n">
        <v>0</v>
      </c>
      <c r="I165" t="n">
        <v>0</v>
      </c>
      <c r="J165" t="n">
        <v>0</v>
      </c>
      <c r="K165" t="n">
        <v>0</v>
      </c>
      <c r="L165" t="n">
        <v>0</v>
      </c>
      <c r="M165" t="n">
        <v>0</v>
      </c>
      <c r="N165" t="n">
        <v>0</v>
      </c>
      <c r="O165" t="n">
        <v>0</v>
      </c>
      <c r="P165" t="n">
        <v>0</v>
      </c>
      <c r="Q165" t="n">
        <v>0</v>
      </c>
      <c r="R165" s="2" t="inlineStr"/>
    </row>
    <row r="166" ht="15" customHeight="1">
      <c r="A166" t="inlineStr">
        <is>
          <t>A 52449-2025</t>
        </is>
      </c>
      <c r="B166" s="1" t="n">
        <v>45954</v>
      </c>
      <c r="C166" s="1" t="n">
        <v>46204</v>
      </c>
      <c r="D166" t="inlineStr">
        <is>
          <t>ÖREBRO LÄN</t>
        </is>
      </c>
      <c r="E166" t="inlineStr">
        <is>
          <t>HÄLLEFORS</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52453-2025</t>
        </is>
      </c>
      <c r="B167" s="1" t="n">
        <v>45954</v>
      </c>
      <c r="C167" s="1" t="n">
        <v>46204</v>
      </c>
      <c r="D167" t="inlineStr">
        <is>
          <t>ÖREBRO LÄN</t>
        </is>
      </c>
      <c r="E167" t="inlineStr">
        <is>
          <t>HÄLLEFORS</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53335-2025</t>
        </is>
      </c>
      <c r="B168" s="1" t="n">
        <v>45959</v>
      </c>
      <c r="C168" s="1" t="n">
        <v>46204</v>
      </c>
      <c r="D168" t="inlineStr">
        <is>
          <t>ÖREBRO LÄN</t>
        </is>
      </c>
      <c r="E168" t="inlineStr">
        <is>
          <t>HÄLLEFORS</t>
        </is>
      </c>
      <c r="G168" t="n">
        <v>2</v>
      </c>
      <c r="H168" t="n">
        <v>0</v>
      </c>
      <c r="I168" t="n">
        <v>0</v>
      </c>
      <c r="J168" t="n">
        <v>0</v>
      </c>
      <c r="K168" t="n">
        <v>0</v>
      </c>
      <c r="L168" t="n">
        <v>0</v>
      </c>
      <c r="M168" t="n">
        <v>0</v>
      </c>
      <c r="N168" t="n">
        <v>0</v>
      </c>
      <c r="O168" t="n">
        <v>0</v>
      </c>
      <c r="P168" t="n">
        <v>0</v>
      </c>
      <c r="Q168" t="n">
        <v>0</v>
      </c>
      <c r="R168" s="2" t="inlineStr"/>
    </row>
    <row r="169" ht="15" customHeight="1">
      <c r="A169" t="inlineStr">
        <is>
          <t>A 53337-2025</t>
        </is>
      </c>
      <c r="B169" s="1" t="n">
        <v>45959</v>
      </c>
      <c r="C169" s="1" t="n">
        <v>46204</v>
      </c>
      <c r="D169" t="inlineStr">
        <is>
          <t>ÖREBRO LÄN</t>
        </is>
      </c>
      <c r="E169" t="inlineStr">
        <is>
          <t>HÄLLEFORS</t>
        </is>
      </c>
      <c r="G169" t="n">
        <v>4.8</v>
      </c>
      <c r="H169" t="n">
        <v>0</v>
      </c>
      <c r="I169" t="n">
        <v>0</v>
      </c>
      <c r="J169" t="n">
        <v>0</v>
      </c>
      <c r="K169" t="n">
        <v>0</v>
      </c>
      <c r="L169" t="n">
        <v>0</v>
      </c>
      <c r="M169" t="n">
        <v>0</v>
      </c>
      <c r="N169" t="n">
        <v>0</v>
      </c>
      <c r="O169" t="n">
        <v>0</v>
      </c>
      <c r="P169" t="n">
        <v>0</v>
      </c>
      <c r="Q169" t="n">
        <v>0</v>
      </c>
      <c r="R169" s="2" t="inlineStr"/>
    </row>
    <row r="170" ht="15" customHeight="1">
      <c r="A170" t="inlineStr">
        <is>
          <t>A 47190-2022</t>
        </is>
      </c>
      <c r="B170" s="1" t="n">
        <v>44852</v>
      </c>
      <c r="C170" s="1" t="n">
        <v>46204</v>
      </c>
      <c r="D170" t="inlineStr">
        <is>
          <t>ÖREBRO LÄN</t>
        </is>
      </c>
      <c r="E170" t="inlineStr">
        <is>
          <t>HÄLLEFORS</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34478-2022</t>
        </is>
      </c>
      <c r="B171" s="1" t="n">
        <v>44792</v>
      </c>
      <c r="C171" s="1" t="n">
        <v>46204</v>
      </c>
      <c r="D171" t="inlineStr">
        <is>
          <t>ÖREBRO LÄN</t>
        </is>
      </c>
      <c r="E171" t="inlineStr">
        <is>
          <t>HÄLLEFORS</t>
        </is>
      </c>
      <c r="G171" t="n">
        <v>0.9</v>
      </c>
      <c r="H171" t="n">
        <v>0</v>
      </c>
      <c r="I171" t="n">
        <v>0</v>
      </c>
      <c r="J171" t="n">
        <v>0</v>
      </c>
      <c r="K171" t="n">
        <v>0</v>
      </c>
      <c r="L171" t="n">
        <v>0</v>
      </c>
      <c r="M171" t="n">
        <v>0</v>
      </c>
      <c r="N171" t="n">
        <v>0</v>
      </c>
      <c r="O171" t="n">
        <v>0</v>
      </c>
      <c r="P171" t="n">
        <v>0</v>
      </c>
      <c r="Q171" t="n">
        <v>0</v>
      </c>
      <c r="R171" s="2" t="inlineStr"/>
    </row>
    <row r="172" ht="15" customHeight="1">
      <c r="A172" t="inlineStr">
        <is>
          <t>A 53952-2025</t>
        </is>
      </c>
      <c r="B172" s="1" t="n">
        <v>45961</v>
      </c>
      <c r="C172" s="1" t="n">
        <v>46204</v>
      </c>
      <c r="D172" t="inlineStr">
        <is>
          <t>ÖREBRO LÄN</t>
        </is>
      </c>
      <c r="E172" t="inlineStr">
        <is>
          <t>HÄLLEFORS</t>
        </is>
      </c>
      <c r="G172" t="n">
        <v>1.1</v>
      </c>
      <c r="H172" t="n">
        <v>0</v>
      </c>
      <c r="I172" t="n">
        <v>0</v>
      </c>
      <c r="J172" t="n">
        <v>0</v>
      </c>
      <c r="K172" t="n">
        <v>0</v>
      </c>
      <c r="L172" t="n">
        <v>0</v>
      </c>
      <c r="M172" t="n">
        <v>0</v>
      </c>
      <c r="N172" t="n">
        <v>0</v>
      </c>
      <c r="O172" t="n">
        <v>0</v>
      </c>
      <c r="P172" t="n">
        <v>0</v>
      </c>
      <c r="Q172" t="n">
        <v>0</v>
      </c>
      <c r="R172" s="2" t="inlineStr"/>
    </row>
    <row r="173" ht="15" customHeight="1">
      <c r="A173" t="inlineStr">
        <is>
          <t>A 53331-2025</t>
        </is>
      </c>
      <c r="B173" s="1" t="n">
        <v>45959</v>
      </c>
      <c r="C173" s="1" t="n">
        <v>46204</v>
      </c>
      <c r="D173" t="inlineStr">
        <is>
          <t>ÖREBRO LÄN</t>
        </is>
      </c>
      <c r="E173" t="inlineStr">
        <is>
          <t>HÄLLEFORS</t>
        </is>
      </c>
      <c r="G173" t="n">
        <v>3.2</v>
      </c>
      <c r="H173" t="n">
        <v>0</v>
      </c>
      <c r="I173" t="n">
        <v>0</v>
      </c>
      <c r="J173" t="n">
        <v>0</v>
      </c>
      <c r="K173" t="n">
        <v>0</v>
      </c>
      <c r="L173" t="n">
        <v>0</v>
      </c>
      <c r="M173" t="n">
        <v>0</v>
      </c>
      <c r="N173" t="n">
        <v>0</v>
      </c>
      <c r="O173" t="n">
        <v>0</v>
      </c>
      <c r="P173" t="n">
        <v>0</v>
      </c>
      <c r="Q173" t="n">
        <v>0</v>
      </c>
      <c r="R173" s="2" t="inlineStr"/>
    </row>
    <row r="174" ht="15" customHeight="1">
      <c r="A174" t="inlineStr">
        <is>
          <t>A 15013-2024</t>
        </is>
      </c>
      <c r="B174" s="1" t="n">
        <v>45399</v>
      </c>
      <c r="C174" s="1" t="n">
        <v>46204</v>
      </c>
      <c r="D174" t="inlineStr">
        <is>
          <t>ÖREBRO LÄN</t>
        </is>
      </c>
      <c r="E174" t="inlineStr">
        <is>
          <t>HÄLLEFORS</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46980-2023</t>
        </is>
      </c>
      <c r="B175" s="1" t="n">
        <v>45201</v>
      </c>
      <c r="C175" s="1" t="n">
        <v>46204</v>
      </c>
      <c r="D175" t="inlineStr">
        <is>
          <t>ÖREBRO LÄN</t>
        </is>
      </c>
      <c r="E175" t="inlineStr">
        <is>
          <t>HÄLLEFORS</t>
        </is>
      </c>
      <c r="F175" t="inlineStr">
        <is>
          <t>Bergvik skog väst AB</t>
        </is>
      </c>
      <c r="G175" t="n">
        <v>7.5</v>
      </c>
      <c r="H175" t="n">
        <v>0</v>
      </c>
      <c r="I175" t="n">
        <v>0</v>
      </c>
      <c r="J175" t="n">
        <v>0</v>
      </c>
      <c r="K175" t="n">
        <v>0</v>
      </c>
      <c r="L175" t="n">
        <v>0</v>
      </c>
      <c r="M175" t="n">
        <v>0</v>
      </c>
      <c r="N175" t="n">
        <v>0</v>
      </c>
      <c r="O175" t="n">
        <v>0</v>
      </c>
      <c r="P175" t="n">
        <v>0</v>
      </c>
      <c r="Q175" t="n">
        <v>0</v>
      </c>
      <c r="R175" s="2" t="inlineStr"/>
    </row>
    <row r="176" ht="15" customHeight="1">
      <c r="A176" t="inlineStr">
        <is>
          <t>A 1019-2025</t>
        </is>
      </c>
      <c r="B176" s="1" t="n">
        <v>45666</v>
      </c>
      <c r="C176" s="1" t="n">
        <v>46204</v>
      </c>
      <c r="D176" t="inlineStr">
        <is>
          <t>ÖREBRO LÄN</t>
        </is>
      </c>
      <c r="E176" t="inlineStr">
        <is>
          <t>HÄLLEFORS</t>
        </is>
      </c>
      <c r="G176" t="n">
        <v>0.4</v>
      </c>
      <c r="H176" t="n">
        <v>0</v>
      </c>
      <c r="I176" t="n">
        <v>0</v>
      </c>
      <c r="J176" t="n">
        <v>0</v>
      </c>
      <c r="K176" t="n">
        <v>0</v>
      </c>
      <c r="L176" t="n">
        <v>0</v>
      </c>
      <c r="M176" t="n">
        <v>0</v>
      </c>
      <c r="N176" t="n">
        <v>0</v>
      </c>
      <c r="O176" t="n">
        <v>0</v>
      </c>
      <c r="P176" t="n">
        <v>0</v>
      </c>
      <c r="Q176" t="n">
        <v>0</v>
      </c>
      <c r="R176" s="2" t="inlineStr"/>
    </row>
    <row r="177" ht="15" customHeight="1">
      <c r="A177" t="inlineStr">
        <is>
          <t>A 55747-2024</t>
        </is>
      </c>
      <c r="B177" s="1" t="n">
        <v>45623</v>
      </c>
      <c r="C177" s="1" t="n">
        <v>46204</v>
      </c>
      <c r="D177" t="inlineStr">
        <is>
          <t>ÖREBRO LÄN</t>
        </is>
      </c>
      <c r="E177" t="inlineStr">
        <is>
          <t>HÄLLEFORS</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39171-2024</t>
        </is>
      </c>
      <c r="B178" s="1" t="n">
        <v>45548</v>
      </c>
      <c r="C178" s="1" t="n">
        <v>46204</v>
      </c>
      <c r="D178" t="inlineStr">
        <is>
          <t>ÖREBRO LÄN</t>
        </is>
      </c>
      <c r="E178" t="inlineStr">
        <is>
          <t>HÄLLEFORS</t>
        </is>
      </c>
      <c r="G178" t="n">
        <v>3.8</v>
      </c>
      <c r="H178" t="n">
        <v>0</v>
      </c>
      <c r="I178" t="n">
        <v>0</v>
      </c>
      <c r="J178" t="n">
        <v>0</v>
      </c>
      <c r="K178" t="n">
        <v>0</v>
      </c>
      <c r="L178" t="n">
        <v>0</v>
      </c>
      <c r="M178" t="n">
        <v>0</v>
      </c>
      <c r="N178" t="n">
        <v>0</v>
      </c>
      <c r="O178" t="n">
        <v>0</v>
      </c>
      <c r="P178" t="n">
        <v>0</v>
      </c>
      <c r="Q178" t="n">
        <v>0</v>
      </c>
      <c r="R178" s="2" t="inlineStr"/>
    </row>
    <row r="179" ht="15" customHeight="1">
      <c r="A179" t="inlineStr">
        <is>
          <t>A 55397-2023</t>
        </is>
      </c>
      <c r="B179" s="1" t="n">
        <v>45238</v>
      </c>
      <c r="C179" s="1" t="n">
        <v>46204</v>
      </c>
      <c r="D179" t="inlineStr">
        <is>
          <t>ÖREBRO LÄN</t>
        </is>
      </c>
      <c r="E179" t="inlineStr">
        <is>
          <t>HÄLLEFORS</t>
        </is>
      </c>
      <c r="G179" t="n">
        <v>1.3</v>
      </c>
      <c r="H179" t="n">
        <v>0</v>
      </c>
      <c r="I179" t="n">
        <v>0</v>
      </c>
      <c r="J179" t="n">
        <v>0</v>
      </c>
      <c r="K179" t="n">
        <v>0</v>
      </c>
      <c r="L179" t="n">
        <v>0</v>
      </c>
      <c r="M179" t="n">
        <v>0</v>
      </c>
      <c r="N179" t="n">
        <v>0</v>
      </c>
      <c r="O179" t="n">
        <v>0</v>
      </c>
      <c r="P179" t="n">
        <v>0</v>
      </c>
      <c r="Q179" t="n">
        <v>0</v>
      </c>
      <c r="R179" s="2" t="inlineStr"/>
    </row>
    <row r="180" ht="15" customHeight="1">
      <c r="A180" t="inlineStr">
        <is>
          <t>A 57494-2025</t>
        </is>
      </c>
      <c r="B180" s="1" t="n">
        <v>45980</v>
      </c>
      <c r="C180" s="1" t="n">
        <v>46204</v>
      </c>
      <c r="D180" t="inlineStr">
        <is>
          <t>ÖREBRO LÄN</t>
        </is>
      </c>
      <c r="E180" t="inlineStr">
        <is>
          <t>HÄLLEFORS</t>
        </is>
      </c>
      <c r="G180" t="n">
        <v>2.3</v>
      </c>
      <c r="H180" t="n">
        <v>0</v>
      </c>
      <c r="I180" t="n">
        <v>0</v>
      </c>
      <c r="J180" t="n">
        <v>0</v>
      </c>
      <c r="K180" t="n">
        <v>0</v>
      </c>
      <c r="L180" t="n">
        <v>0</v>
      </c>
      <c r="M180" t="n">
        <v>0</v>
      </c>
      <c r="N180" t="n">
        <v>0</v>
      </c>
      <c r="O180" t="n">
        <v>0</v>
      </c>
      <c r="P180" t="n">
        <v>0</v>
      </c>
      <c r="Q180" t="n">
        <v>0</v>
      </c>
      <c r="R180" s="2" t="inlineStr"/>
    </row>
    <row r="181" ht="15" customHeight="1">
      <c r="A181" t="inlineStr">
        <is>
          <t>A 58942-2025</t>
        </is>
      </c>
      <c r="B181" s="1" t="n">
        <v>45987</v>
      </c>
      <c r="C181" s="1" t="n">
        <v>46204</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58947-2025</t>
        </is>
      </c>
      <c r="B182" s="1" t="n">
        <v>45987</v>
      </c>
      <c r="C182" s="1" t="n">
        <v>46204</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623-2023</t>
        </is>
      </c>
      <c r="B183" s="1" t="n">
        <v>44930</v>
      </c>
      <c r="C183" s="1" t="n">
        <v>46204</v>
      </c>
      <c r="D183" t="inlineStr">
        <is>
          <t>ÖREBRO LÄN</t>
        </is>
      </c>
      <c r="E183" t="inlineStr">
        <is>
          <t>HÄLLEFORS</t>
        </is>
      </c>
      <c r="G183" t="n">
        <v>1.4</v>
      </c>
      <c r="H183" t="n">
        <v>0</v>
      </c>
      <c r="I183" t="n">
        <v>0</v>
      </c>
      <c r="J183" t="n">
        <v>0</v>
      </c>
      <c r="K183" t="n">
        <v>0</v>
      </c>
      <c r="L183" t="n">
        <v>0</v>
      </c>
      <c r="M183" t="n">
        <v>0</v>
      </c>
      <c r="N183" t="n">
        <v>0</v>
      </c>
      <c r="O183" t="n">
        <v>0</v>
      </c>
      <c r="P183" t="n">
        <v>0</v>
      </c>
      <c r="Q183" t="n">
        <v>0</v>
      </c>
      <c r="R183" s="2" t="inlineStr"/>
    </row>
    <row r="184" ht="15" customHeight="1">
      <c r="A184" t="inlineStr">
        <is>
          <t>A 60303-2024</t>
        </is>
      </c>
      <c r="B184" s="1" t="n">
        <v>45643</v>
      </c>
      <c r="C184" s="1" t="n">
        <v>46204</v>
      </c>
      <c r="D184" t="inlineStr">
        <is>
          <t>ÖREBRO LÄN</t>
        </is>
      </c>
      <c r="E184" t="inlineStr">
        <is>
          <t>HÄLLEFORS</t>
        </is>
      </c>
      <c r="F184" t="inlineStr">
        <is>
          <t>Bergvik skog väst AB</t>
        </is>
      </c>
      <c r="G184" t="n">
        <v>0.3</v>
      </c>
      <c r="H184" t="n">
        <v>0</v>
      </c>
      <c r="I184" t="n">
        <v>0</v>
      </c>
      <c r="J184" t="n">
        <v>0</v>
      </c>
      <c r="K184" t="n">
        <v>0</v>
      </c>
      <c r="L184" t="n">
        <v>0</v>
      </c>
      <c r="M184" t="n">
        <v>0</v>
      </c>
      <c r="N184" t="n">
        <v>0</v>
      </c>
      <c r="O184" t="n">
        <v>0</v>
      </c>
      <c r="P184" t="n">
        <v>0</v>
      </c>
      <c r="Q184" t="n">
        <v>0</v>
      </c>
      <c r="R184" s="2" t="inlineStr"/>
    </row>
    <row r="185" ht="15" customHeight="1">
      <c r="A185" t="inlineStr">
        <is>
          <t>A 8503-2022</t>
        </is>
      </c>
      <c r="B185" s="1" t="n">
        <v>44613</v>
      </c>
      <c r="C185" s="1" t="n">
        <v>46204</v>
      </c>
      <c r="D185" t="inlineStr">
        <is>
          <t>ÖREBRO LÄN</t>
        </is>
      </c>
      <c r="E185" t="inlineStr">
        <is>
          <t>HÄLLEFORS</t>
        </is>
      </c>
      <c r="F185" t="inlineStr">
        <is>
          <t>Bergvik skog väst AB</t>
        </is>
      </c>
      <c r="G185" t="n">
        <v>3.4</v>
      </c>
      <c r="H185" t="n">
        <v>0</v>
      </c>
      <c r="I185" t="n">
        <v>0</v>
      </c>
      <c r="J185" t="n">
        <v>0</v>
      </c>
      <c r="K185" t="n">
        <v>0</v>
      </c>
      <c r="L185" t="n">
        <v>0</v>
      </c>
      <c r="M185" t="n">
        <v>0</v>
      </c>
      <c r="N185" t="n">
        <v>0</v>
      </c>
      <c r="O185" t="n">
        <v>0</v>
      </c>
      <c r="P185" t="n">
        <v>0</v>
      </c>
      <c r="Q185" t="n">
        <v>0</v>
      </c>
      <c r="R185" s="2" t="inlineStr"/>
    </row>
    <row r="186" ht="15" customHeight="1">
      <c r="A186" t="inlineStr">
        <is>
          <t>A 42920-2024</t>
        </is>
      </c>
      <c r="B186" s="1" t="n">
        <v>45567</v>
      </c>
      <c r="C186" s="1" t="n">
        <v>46204</v>
      </c>
      <c r="D186" t="inlineStr">
        <is>
          <t>ÖREBRO LÄN</t>
        </is>
      </c>
      <c r="E186" t="inlineStr">
        <is>
          <t>HÄLLEFORS</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17041-2025</t>
        </is>
      </c>
      <c r="B187" s="1" t="n">
        <v>45755</v>
      </c>
      <c r="C187" s="1" t="n">
        <v>46204</v>
      </c>
      <c r="D187" t="inlineStr">
        <is>
          <t>ÖREBRO LÄN</t>
        </is>
      </c>
      <c r="E187" t="inlineStr">
        <is>
          <t>HÄLLEFORS</t>
        </is>
      </c>
      <c r="F187" t="inlineStr">
        <is>
          <t>Bergvik skog väst AB</t>
        </is>
      </c>
      <c r="G187" t="n">
        <v>3.7</v>
      </c>
      <c r="H187" t="n">
        <v>0</v>
      </c>
      <c r="I187" t="n">
        <v>0</v>
      </c>
      <c r="J187" t="n">
        <v>0</v>
      </c>
      <c r="K187" t="n">
        <v>0</v>
      </c>
      <c r="L187" t="n">
        <v>0</v>
      </c>
      <c r="M187" t="n">
        <v>0</v>
      </c>
      <c r="N187" t="n">
        <v>0</v>
      </c>
      <c r="O187" t="n">
        <v>0</v>
      </c>
      <c r="P187" t="n">
        <v>0</v>
      </c>
      <c r="Q187" t="n">
        <v>0</v>
      </c>
      <c r="R187" s="2" t="inlineStr"/>
    </row>
    <row r="188" ht="15" customHeight="1">
      <c r="A188" t="inlineStr">
        <is>
          <t>A 60852-2025</t>
        </is>
      </c>
      <c r="B188" s="1" t="n">
        <v>45999</v>
      </c>
      <c r="C188" s="1" t="n">
        <v>46204</v>
      </c>
      <c r="D188" t="inlineStr">
        <is>
          <t>ÖREBRO LÄN</t>
        </is>
      </c>
      <c r="E188" t="inlineStr">
        <is>
          <t>HÄLLEFORS</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61084-2025</t>
        </is>
      </c>
      <c r="B189" s="1" t="n">
        <v>46000</v>
      </c>
      <c r="C189" s="1" t="n">
        <v>46204</v>
      </c>
      <c r="D189" t="inlineStr">
        <is>
          <t>ÖREBRO LÄN</t>
        </is>
      </c>
      <c r="E189" t="inlineStr">
        <is>
          <t>HÄLLEFORS</t>
        </is>
      </c>
      <c r="F189" t="inlineStr">
        <is>
          <t>Bergvik skog väst AB</t>
        </is>
      </c>
      <c r="G189" t="n">
        <v>7.7</v>
      </c>
      <c r="H189" t="n">
        <v>0</v>
      </c>
      <c r="I189" t="n">
        <v>0</v>
      </c>
      <c r="J189" t="n">
        <v>0</v>
      </c>
      <c r="K189" t="n">
        <v>0</v>
      </c>
      <c r="L189" t="n">
        <v>0</v>
      </c>
      <c r="M189" t="n">
        <v>0</v>
      </c>
      <c r="N189" t="n">
        <v>0</v>
      </c>
      <c r="O189" t="n">
        <v>0</v>
      </c>
      <c r="P189" t="n">
        <v>0</v>
      </c>
      <c r="Q189" t="n">
        <v>0</v>
      </c>
      <c r="R189" s="2" t="inlineStr"/>
    </row>
    <row r="190" ht="15" customHeight="1">
      <c r="A190" t="inlineStr">
        <is>
          <t>A 8513-2022</t>
        </is>
      </c>
      <c r="B190" s="1" t="n">
        <v>44613</v>
      </c>
      <c r="C190" s="1" t="n">
        <v>46204</v>
      </c>
      <c r="D190" t="inlineStr">
        <is>
          <t>ÖREBRO LÄN</t>
        </is>
      </c>
      <c r="E190" t="inlineStr">
        <is>
          <t>HÄLLEFORS</t>
        </is>
      </c>
      <c r="F190" t="inlineStr">
        <is>
          <t>Bergvik skog väst AB</t>
        </is>
      </c>
      <c r="G190" t="n">
        <v>3.3</v>
      </c>
      <c r="H190" t="n">
        <v>0</v>
      </c>
      <c r="I190" t="n">
        <v>0</v>
      </c>
      <c r="J190" t="n">
        <v>0</v>
      </c>
      <c r="K190" t="n">
        <v>0</v>
      </c>
      <c r="L190" t="n">
        <v>0</v>
      </c>
      <c r="M190" t="n">
        <v>0</v>
      </c>
      <c r="N190" t="n">
        <v>0</v>
      </c>
      <c r="O190" t="n">
        <v>0</v>
      </c>
      <c r="P190" t="n">
        <v>0</v>
      </c>
      <c r="Q190" t="n">
        <v>0</v>
      </c>
      <c r="R190" s="2" t="inlineStr"/>
    </row>
    <row r="191" ht="15" customHeight="1">
      <c r="A191" t="inlineStr">
        <is>
          <t>A 61366-2025</t>
        </is>
      </c>
      <c r="B191" s="1" t="n">
        <v>46001</v>
      </c>
      <c r="C191" s="1" t="n">
        <v>46204</v>
      </c>
      <c r="D191" t="inlineStr">
        <is>
          <t>ÖREBRO LÄN</t>
        </is>
      </c>
      <c r="E191" t="inlineStr">
        <is>
          <t>HÄLLEFORS</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61164-2025</t>
        </is>
      </c>
      <c r="B192" s="1" t="n">
        <v>46000</v>
      </c>
      <c r="C192" s="1" t="n">
        <v>46204</v>
      </c>
      <c r="D192" t="inlineStr">
        <is>
          <t>ÖREBRO LÄN</t>
        </is>
      </c>
      <c r="E192" t="inlineStr">
        <is>
          <t>HÄLLEFORS</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23253-2026</t>
        </is>
      </c>
      <c r="B193" s="1" t="n">
        <v>46162</v>
      </c>
      <c r="C193" s="1" t="n">
        <v>46204</v>
      </c>
      <c r="D193" t="inlineStr">
        <is>
          <t>ÖREBRO LÄN</t>
        </is>
      </c>
      <c r="E193" t="inlineStr">
        <is>
          <t>HÄLLEFORS</t>
        </is>
      </c>
      <c r="G193" t="n">
        <v>2.1</v>
      </c>
      <c r="H193" t="n">
        <v>0</v>
      </c>
      <c r="I193" t="n">
        <v>0</v>
      </c>
      <c r="J193" t="n">
        <v>0</v>
      </c>
      <c r="K193" t="n">
        <v>0</v>
      </c>
      <c r="L193" t="n">
        <v>0</v>
      </c>
      <c r="M193" t="n">
        <v>0</v>
      </c>
      <c r="N193" t="n">
        <v>0</v>
      </c>
      <c r="O193" t="n">
        <v>0</v>
      </c>
      <c r="P193" t="n">
        <v>0</v>
      </c>
      <c r="Q193" t="n">
        <v>0</v>
      </c>
      <c r="R193" s="2" t="inlineStr"/>
    </row>
    <row r="194" ht="15" customHeight="1">
      <c r="A194" t="inlineStr">
        <is>
          <t>A 23263-2026</t>
        </is>
      </c>
      <c r="B194" s="1" t="n">
        <v>46162</v>
      </c>
      <c r="C194" s="1" t="n">
        <v>46204</v>
      </c>
      <c r="D194" t="inlineStr">
        <is>
          <t>ÖREBRO LÄN</t>
        </is>
      </c>
      <c r="E194" t="inlineStr">
        <is>
          <t>HÄLLEFORS</t>
        </is>
      </c>
      <c r="G194" t="n">
        <v>0.9</v>
      </c>
      <c r="H194" t="n">
        <v>0</v>
      </c>
      <c r="I194" t="n">
        <v>0</v>
      </c>
      <c r="J194" t="n">
        <v>0</v>
      </c>
      <c r="K194" t="n">
        <v>0</v>
      </c>
      <c r="L194" t="n">
        <v>0</v>
      </c>
      <c r="M194" t="n">
        <v>0</v>
      </c>
      <c r="N194" t="n">
        <v>0</v>
      </c>
      <c r="O194" t="n">
        <v>0</v>
      </c>
      <c r="P194" t="n">
        <v>0</v>
      </c>
      <c r="Q194" t="n">
        <v>0</v>
      </c>
      <c r="R194" s="2" t="inlineStr"/>
    </row>
    <row r="195" ht="15" customHeight="1">
      <c r="A195" t="inlineStr">
        <is>
          <t>A 11467-2024</t>
        </is>
      </c>
      <c r="B195" s="1" t="n">
        <v>45372</v>
      </c>
      <c r="C195" s="1" t="n">
        <v>46204</v>
      </c>
      <c r="D195" t="inlineStr">
        <is>
          <t>ÖREBRO LÄN</t>
        </is>
      </c>
      <c r="E195" t="inlineStr">
        <is>
          <t>HÄLLEFORS</t>
        </is>
      </c>
      <c r="G195" t="n">
        <v>1</v>
      </c>
      <c r="H195" t="n">
        <v>0</v>
      </c>
      <c r="I195" t="n">
        <v>0</v>
      </c>
      <c r="J195" t="n">
        <v>0</v>
      </c>
      <c r="K195" t="n">
        <v>0</v>
      </c>
      <c r="L195" t="n">
        <v>0</v>
      </c>
      <c r="M195" t="n">
        <v>0</v>
      </c>
      <c r="N195" t="n">
        <v>0</v>
      </c>
      <c r="O195" t="n">
        <v>0</v>
      </c>
      <c r="P195" t="n">
        <v>0</v>
      </c>
      <c r="Q195" t="n">
        <v>0</v>
      </c>
      <c r="R195" s="2" t="inlineStr"/>
    </row>
    <row r="196" ht="15" customHeight="1">
      <c r="A196" t="inlineStr">
        <is>
          <t>A 62262-2025</t>
        </is>
      </c>
      <c r="B196" s="1" t="n">
        <v>46006</v>
      </c>
      <c r="C196" s="1" t="n">
        <v>46204</v>
      </c>
      <c r="D196" t="inlineStr">
        <is>
          <t>ÖREBRO LÄN</t>
        </is>
      </c>
      <c r="E196" t="inlineStr">
        <is>
          <t>HÄLLEFORS</t>
        </is>
      </c>
      <c r="G196" t="n">
        <v>13.4</v>
      </c>
      <c r="H196" t="n">
        <v>0</v>
      </c>
      <c r="I196" t="n">
        <v>0</v>
      </c>
      <c r="J196" t="n">
        <v>0</v>
      </c>
      <c r="K196" t="n">
        <v>0</v>
      </c>
      <c r="L196" t="n">
        <v>0</v>
      </c>
      <c r="M196" t="n">
        <v>0</v>
      </c>
      <c r="N196" t="n">
        <v>0</v>
      </c>
      <c r="O196" t="n">
        <v>0</v>
      </c>
      <c r="P196" t="n">
        <v>0</v>
      </c>
      <c r="Q196" t="n">
        <v>0</v>
      </c>
      <c r="R196" s="2" t="inlineStr"/>
    </row>
    <row r="197" ht="15" customHeight="1">
      <c r="A197" t="inlineStr">
        <is>
          <t>A 23425-2026</t>
        </is>
      </c>
      <c r="B197" s="1" t="n">
        <v>46163</v>
      </c>
      <c r="C197" s="1" t="n">
        <v>46204</v>
      </c>
      <c r="D197" t="inlineStr">
        <is>
          <t>ÖREBRO LÄN</t>
        </is>
      </c>
      <c r="E197" t="inlineStr">
        <is>
          <t>HÄLLEFORS</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23427-2026</t>
        </is>
      </c>
      <c r="B198" s="1" t="n">
        <v>46163</v>
      </c>
      <c r="C198" s="1" t="n">
        <v>46204</v>
      </c>
      <c r="D198" t="inlineStr">
        <is>
          <t>ÖREBRO LÄN</t>
        </is>
      </c>
      <c r="E198" t="inlineStr">
        <is>
          <t>HÄLLEFORS</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23424-2026</t>
        </is>
      </c>
      <c r="B199" s="1" t="n">
        <v>46163</v>
      </c>
      <c r="C199" s="1" t="n">
        <v>46204</v>
      </c>
      <c r="D199" t="inlineStr">
        <is>
          <t>ÖREBRO LÄN</t>
        </is>
      </c>
      <c r="E199" t="inlineStr">
        <is>
          <t>HÄLLEFORS</t>
        </is>
      </c>
      <c r="F199" t="inlineStr">
        <is>
          <t>Sveaskog</t>
        </is>
      </c>
      <c r="G199" t="n">
        <v>2.5</v>
      </c>
      <c r="H199" t="n">
        <v>0</v>
      </c>
      <c r="I199" t="n">
        <v>0</v>
      </c>
      <c r="J199" t="n">
        <v>0</v>
      </c>
      <c r="K199" t="n">
        <v>0</v>
      </c>
      <c r="L199" t="n">
        <v>0</v>
      </c>
      <c r="M199" t="n">
        <v>0</v>
      </c>
      <c r="N199" t="n">
        <v>0</v>
      </c>
      <c r="O199" t="n">
        <v>0</v>
      </c>
      <c r="P199" t="n">
        <v>0</v>
      </c>
      <c r="Q199" t="n">
        <v>0</v>
      </c>
      <c r="R199" s="2" t="inlineStr"/>
    </row>
    <row r="200" ht="15" customHeight="1">
      <c r="A200" t="inlineStr">
        <is>
          <t>A 23428-2026</t>
        </is>
      </c>
      <c r="B200" s="1" t="n">
        <v>46163</v>
      </c>
      <c r="C200" s="1" t="n">
        <v>46204</v>
      </c>
      <c r="D200" t="inlineStr">
        <is>
          <t>ÖREBRO LÄN</t>
        </is>
      </c>
      <c r="E200" t="inlineStr">
        <is>
          <t>HÄLLEFORS</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62846-2025</t>
        </is>
      </c>
      <c r="B201" s="1" t="n">
        <v>46008</v>
      </c>
      <c r="C201" s="1" t="n">
        <v>46204</v>
      </c>
      <c r="D201" t="inlineStr">
        <is>
          <t>ÖREBRO LÄN</t>
        </is>
      </c>
      <c r="E201" t="inlineStr">
        <is>
          <t>HÄLLEFORS</t>
        </is>
      </c>
      <c r="G201" t="n">
        <v>0.2</v>
      </c>
      <c r="H201" t="n">
        <v>0</v>
      </c>
      <c r="I201" t="n">
        <v>0</v>
      </c>
      <c r="J201" t="n">
        <v>0</v>
      </c>
      <c r="K201" t="n">
        <v>0</v>
      </c>
      <c r="L201" t="n">
        <v>0</v>
      </c>
      <c r="M201" t="n">
        <v>0</v>
      </c>
      <c r="N201" t="n">
        <v>0</v>
      </c>
      <c r="O201" t="n">
        <v>0</v>
      </c>
      <c r="P201" t="n">
        <v>0</v>
      </c>
      <c r="Q201" t="n">
        <v>0</v>
      </c>
      <c r="R201" s="2" t="inlineStr"/>
    </row>
    <row r="202" ht="15" customHeight="1">
      <c r="A202" t="inlineStr">
        <is>
          <t>A 17721-2026</t>
        </is>
      </c>
      <c r="B202" s="1" t="n">
        <v>46121</v>
      </c>
      <c r="C202" s="1" t="n">
        <v>46204</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62848-2025</t>
        </is>
      </c>
      <c r="B203" s="1" t="n">
        <v>46008</v>
      </c>
      <c r="C203" s="1" t="n">
        <v>46204</v>
      </c>
      <c r="D203" t="inlineStr">
        <is>
          <t>ÖREBRO LÄN</t>
        </is>
      </c>
      <c r="E203" t="inlineStr">
        <is>
          <t>HÄLLEFORS</t>
        </is>
      </c>
      <c r="G203" t="n">
        <v>0.2</v>
      </c>
      <c r="H203" t="n">
        <v>0</v>
      </c>
      <c r="I203" t="n">
        <v>0</v>
      </c>
      <c r="J203" t="n">
        <v>0</v>
      </c>
      <c r="K203" t="n">
        <v>0</v>
      </c>
      <c r="L203" t="n">
        <v>0</v>
      </c>
      <c r="M203" t="n">
        <v>0</v>
      </c>
      <c r="N203" t="n">
        <v>0</v>
      </c>
      <c r="O203" t="n">
        <v>0</v>
      </c>
      <c r="P203" t="n">
        <v>0</v>
      </c>
      <c r="Q203" t="n">
        <v>0</v>
      </c>
      <c r="R203" s="2" t="inlineStr"/>
    </row>
    <row r="204" ht="15" customHeight="1">
      <c r="A204" t="inlineStr">
        <is>
          <t>A 30592-2024</t>
        </is>
      </c>
      <c r="B204" s="1" t="n">
        <v>45493</v>
      </c>
      <c r="C204" s="1" t="n">
        <v>46204</v>
      </c>
      <c r="D204" t="inlineStr">
        <is>
          <t>ÖREBRO LÄN</t>
        </is>
      </c>
      <c r="E204" t="inlineStr">
        <is>
          <t>HÄLLEFORS</t>
        </is>
      </c>
      <c r="G204" t="n">
        <v>7.1</v>
      </c>
      <c r="H204" t="n">
        <v>0</v>
      </c>
      <c r="I204" t="n">
        <v>0</v>
      </c>
      <c r="J204" t="n">
        <v>0</v>
      </c>
      <c r="K204" t="n">
        <v>0</v>
      </c>
      <c r="L204" t="n">
        <v>0</v>
      </c>
      <c r="M204" t="n">
        <v>0</v>
      </c>
      <c r="N204" t="n">
        <v>0</v>
      </c>
      <c r="O204" t="n">
        <v>0</v>
      </c>
      <c r="P204" t="n">
        <v>0</v>
      </c>
      <c r="Q204" t="n">
        <v>0</v>
      </c>
      <c r="R204" s="2" t="inlineStr"/>
    </row>
    <row r="205" ht="15" customHeight="1">
      <c r="A205" t="inlineStr">
        <is>
          <t>A 46987-2023</t>
        </is>
      </c>
      <c r="B205" s="1" t="n">
        <v>45201</v>
      </c>
      <c r="C205" s="1" t="n">
        <v>46204</v>
      </c>
      <c r="D205" t="inlineStr">
        <is>
          <t>ÖREBRO LÄN</t>
        </is>
      </c>
      <c r="E205" t="inlineStr">
        <is>
          <t>HÄLLEFORS</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35243-2022</t>
        </is>
      </c>
      <c r="B206" s="1" t="n">
        <v>44798</v>
      </c>
      <c r="C206" s="1" t="n">
        <v>46204</v>
      </c>
      <c r="D206" t="inlineStr">
        <is>
          <t>ÖREBRO LÄN</t>
        </is>
      </c>
      <c r="E206" t="inlineStr">
        <is>
          <t>HÄLLEFORS</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63614-2025</t>
        </is>
      </c>
      <c r="B207" s="1" t="n">
        <v>46014</v>
      </c>
      <c r="C207" s="1" t="n">
        <v>46204</v>
      </c>
      <c r="D207" t="inlineStr">
        <is>
          <t>ÖREBRO LÄN</t>
        </is>
      </c>
      <c r="E207" t="inlineStr">
        <is>
          <t>HÄLLEFORS</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3057-2024</t>
        </is>
      </c>
      <c r="B208" s="1" t="n">
        <v>45316</v>
      </c>
      <c r="C208" s="1" t="n">
        <v>46204</v>
      </c>
      <c r="D208" t="inlineStr">
        <is>
          <t>ÖREBRO LÄN</t>
        </is>
      </c>
      <c r="E208" t="inlineStr">
        <is>
          <t>HÄLLEFORS</t>
        </is>
      </c>
      <c r="F208" t="inlineStr">
        <is>
          <t>Bergvik skog väst AB</t>
        </is>
      </c>
      <c r="G208" t="n">
        <v>12.2</v>
      </c>
      <c r="H208" t="n">
        <v>0</v>
      </c>
      <c r="I208" t="n">
        <v>0</v>
      </c>
      <c r="J208" t="n">
        <v>0</v>
      </c>
      <c r="K208" t="n">
        <v>0</v>
      </c>
      <c r="L208" t="n">
        <v>0</v>
      </c>
      <c r="M208" t="n">
        <v>0</v>
      </c>
      <c r="N208" t="n">
        <v>0</v>
      </c>
      <c r="O208" t="n">
        <v>0</v>
      </c>
      <c r="P208" t="n">
        <v>0</v>
      </c>
      <c r="Q208" t="n">
        <v>0</v>
      </c>
      <c r="R208" s="2" t="inlineStr"/>
    </row>
    <row r="209" ht="15" customHeight="1">
      <c r="A209" t="inlineStr">
        <is>
          <t>A 55756-2023</t>
        </is>
      </c>
      <c r="B209" s="1" t="n">
        <v>45239</v>
      </c>
      <c r="C209" s="1" t="n">
        <v>46204</v>
      </c>
      <c r="D209" t="inlineStr">
        <is>
          <t>ÖREBRO LÄN</t>
        </is>
      </c>
      <c r="E209" t="inlineStr">
        <is>
          <t>HÄLLEFORS</t>
        </is>
      </c>
      <c r="G209" t="n">
        <v>1.6</v>
      </c>
      <c r="H209" t="n">
        <v>0</v>
      </c>
      <c r="I209" t="n">
        <v>0</v>
      </c>
      <c r="J209" t="n">
        <v>0</v>
      </c>
      <c r="K209" t="n">
        <v>0</v>
      </c>
      <c r="L209" t="n">
        <v>0</v>
      </c>
      <c r="M209" t="n">
        <v>0</v>
      </c>
      <c r="N209" t="n">
        <v>0</v>
      </c>
      <c r="O209" t="n">
        <v>0</v>
      </c>
      <c r="P209" t="n">
        <v>0</v>
      </c>
      <c r="Q209" t="n">
        <v>0</v>
      </c>
      <c r="R209" s="2" t="inlineStr"/>
    </row>
    <row r="210" ht="15" customHeight="1">
      <c r="A210" t="inlineStr">
        <is>
          <t>A 24246-2026</t>
        </is>
      </c>
      <c r="B210" s="1" t="n">
        <v>46168</v>
      </c>
      <c r="C210" s="1" t="n">
        <v>46204</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24247-2026</t>
        </is>
      </c>
      <c r="B211" s="1" t="n">
        <v>46168</v>
      </c>
      <c r="C211" s="1" t="n">
        <v>46204</v>
      </c>
      <c r="D211" t="inlineStr">
        <is>
          <t>ÖREBRO LÄN</t>
        </is>
      </c>
      <c r="E211" t="inlineStr">
        <is>
          <t>HÄLLEFORS</t>
        </is>
      </c>
      <c r="G211" t="n">
        <v>0.7</v>
      </c>
      <c r="H211" t="n">
        <v>0</v>
      </c>
      <c r="I211" t="n">
        <v>0</v>
      </c>
      <c r="J211" t="n">
        <v>0</v>
      </c>
      <c r="K211" t="n">
        <v>0</v>
      </c>
      <c r="L211" t="n">
        <v>0</v>
      </c>
      <c r="M211" t="n">
        <v>0</v>
      </c>
      <c r="N211" t="n">
        <v>0</v>
      </c>
      <c r="O211" t="n">
        <v>0</v>
      </c>
      <c r="P211" t="n">
        <v>0</v>
      </c>
      <c r="Q211" t="n">
        <v>0</v>
      </c>
      <c r="R211" s="2" t="inlineStr"/>
    </row>
    <row r="212" ht="15" customHeight="1">
      <c r="A212" t="inlineStr">
        <is>
          <t>A 19055-2024</t>
        </is>
      </c>
      <c r="B212" s="1" t="n">
        <v>45427</v>
      </c>
      <c r="C212" s="1" t="n">
        <v>46204</v>
      </c>
      <c r="D212" t="inlineStr">
        <is>
          <t>ÖREBRO LÄN</t>
        </is>
      </c>
      <c r="E212" t="inlineStr">
        <is>
          <t>HÄLLEFORS</t>
        </is>
      </c>
      <c r="G212" t="n">
        <v>0.6</v>
      </c>
      <c r="H212" t="n">
        <v>0</v>
      </c>
      <c r="I212" t="n">
        <v>0</v>
      </c>
      <c r="J212" t="n">
        <v>0</v>
      </c>
      <c r="K212" t="n">
        <v>0</v>
      </c>
      <c r="L212" t="n">
        <v>0</v>
      </c>
      <c r="M212" t="n">
        <v>0</v>
      </c>
      <c r="N212" t="n">
        <v>0</v>
      </c>
      <c r="O212" t="n">
        <v>0</v>
      </c>
      <c r="P212" t="n">
        <v>0</v>
      </c>
      <c r="Q212" t="n">
        <v>0</v>
      </c>
      <c r="R212" s="2" t="inlineStr"/>
    </row>
    <row r="213" ht="15" customHeight="1">
      <c r="A213" t="inlineStr">
        <is>
          <t>A 24635-2026</t>
        </is>
      </c>
      <c r="B213" s="1" t="n">
        <v>46171</v>
      </c>
      <c r="C213" s="1" t="n">
        <v>46204</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3837-2026</t>
        </is>
      </c>
      <c r="B214" s="1" t="n">
        <v>46043</v>
      </c>
      <c r="C214" s="1" t="n">
        <v>46204</v>
      </c>
      <c r="D214" t="inlineStr">
        <is>
          <t>ÖREBRO LÄN</t>
        </is>
      </c>
      <c r="E214" t="inlineStr">
        <is>
          <t>HÄLLEFORS</t>
        </is>
      </c>
      <c r="G214" t="n">
        <v>3.5</v>
      </c>
      <c r="H214" t="n">
        <v>0</v>
      </c>
      <c r="I214" t="n">
        <v>0</v>
      </c>
      <c r="J214" t="n">
        <v>0</v>
      </c>
      <c r="K214" t="n">
        <v>0</v>
      </c>
      <c r="L214" t="n">
        <v>0</v>
      </c>
      <c r="M214" t="n">
        <v>0</v>
      </c>
      <c r="N214" t="n">
        <v>0</v>
      </c>
      <c r="O214" t="n">
        <v>0</v>
      </c>
      <c r="P214" t="n">
        <v>0</v>
      </c>
      <c r="Q214" t="n">
        <v>0</v>
      </c>
      <c r="R214" s="2" t="inlineStr"/>
    </row>
    <row r="215" ht="15" customHeight="1">
      <c r="A215" t="inlineStr">
        <is>
          <t>A 3365-2026</t>
        </is>
      </c>
      <c r="B215" s="1" t="n">
        <v>46042</v>
      </c>
      <c r="C215" s="1" t="n">
        <v>46204</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4125-2026</t>
        </is>
      </c>
      <c r="B216" s="1" t="n">
        <v>46044</v>
      </c>
      <c r="C216" s="1" t="n">
        <v>46204</v>
      </c>
      <c r="D216" t="inlineStr">
        <is>
          <t>ÖREBRO LÄN</t>
        </is>
      </c>
      <c r="E216" t="inlineStr">
        <is>
          <t>HÄLLEFORS</t>
        </is>
      </c>
      <c r="G216" t="n">
        <v>3.5</v>
      </c>
      <c r="H216" t="n">
        <v>0</v>
      </c>
      <c r="I216" t="n">
        <v>0</v>
      </c>
      <c r="J216" t="n">
        <v>0</v>
      </c>
      <c r="K216" t="n">
        <v>0</v>
      </c>
      <c r="L216" t="n">
        <v>0</v>
      </c>
      <c r="M216" t="n">
        <v>0</v>
      </c>
      <c r="N216" t="n">
        <v>0</v>
      </c>
      <c r="O216" t="n">
        <v>0</v>
      </c>
      <c r="P216" t="n">
        <v>0</v>
      </c>
      <c r="Q216" t="n">
        <v>0</v>
      </c>
      <c r="R216" s="2" t="inlineStr"/>
    </row>
    <row r="217" ht="15" customHeight="1">
      <c r="A217" t="inlineStr">
        <is>
          <t>A 16928-2025</t>
        </is>
      </c>
      <c r="B217" s="1" t="n">
        <v>45755</v>
      </c>
      <c r="C217" s="1" t="n">
        <v>46204</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44107-2024</t>
        </is>
      </c>
      <c r="B218" s="1" t="n">
        <v>45572</v>
      </c>
      <c r="C218" s="1" t="n">
        <v>46204</v>
      </c>
      <c r="D218" t="inlineStr">
        <is>
          <t>ÖREBRO LÄN</t>
        </is>
      </c>
      <c r="E218" t="inlineStr">
        <is>
          <t>HÄLLEFORS</t>
        </is>
      </c>
      <c r="F218" t="inlineStr">
        <is>
          <t>Bergvik skog väst AB</t>
        </is>
      </c>
      <c r="G218" t="n">
        <v>4.9</v>
      </c>
      <c r="H218" t="n">
        <v>0</v>
      </c>
      <c r="I218" t="n">
        <v>0</v>
      </c>
      <c r="J218" t="n">
        <v>0</v>
      </c>
      <c r="K218" t="n">
        <v>0</v>
      </c>
      <c r="L218" t="n">
        <v>0</v>
      </c>
      <c r="M218" t="n">
        <v>0</v>
      </c>
      <c r="N218" t="n">
        <v>0</v>
      </c>
      <c r="O218" t="n">
        <v>0</v>
      </c>
      <c r="P218" t="n">
        <v>0</v>
      </c>
      <c r="Q218" t="n">
        <v>0</v>
      </c>
      <c r="R218" s="2" t="inlineStr"/>
    </row>
    <row r="219" ht="15" customHeight="1">
      <c r="A219" t="inlineStr">
        <is>
          <t>A 51212-2023</t>
        </is>
      </c>
      <c r="B219" s="1" t="n">
        <v>45219</v>
      </c>
      <c r="C219" s="1" t="n">
        <v>46204</v>
      </c>
      <c r="D219" t="inlineStr">
        <is>
          <t>ÖREBRO LÄN</t>
        </is>
      </c>
      <c r="E219" t="inlineStr">
        <is>
          <t>HÄLLEFORS</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45710-2023</t>
        </is>
      </c>
      <c r="B220" s="1" t="n">
        <v>45195</v>
      </c>
      <c r="C220" s="1" t="n">
        <v>46204</v>
      </c>
      <c r="D220" t="inlineStr">
        <is>
          <t>ÖREBRO LÄN</t>
        </is>
      </c>
      <c r="E220" t="inlineStr">
        <is>
          <t>HÄLLEFORS</t>
        </is>
      </c>
      <c r="G220" t="n">
        <v>5.4</v>
      </c>
      <c r="H220" t="n">
        <v>0</v>
      </c>
      <c r="I220" t="n">
        <v>0</v>
      </c>
      <c r="J220" t="n">
        <v>0</v>
      </c>
      <c r="K220" t="n">
        <v>0</v>
      </c>
      <c r="L220" t="n">
        <v>0</v>
      </c>
      <c r="M220" t="n">
        <v>0</v>
      </c>
      <c r="N220" t="n">
        <v>0</v>
      </c>
      <c r="O220" t="n">
        <v>0</v>
      </c>
      <c r="P220" t="n">
        <v>0</v>
      </c>
      <c r="Q220" t="n">
        <v>0</v>
      </c>
      <c r="R220" s="2" t="inlineStr"/>
    </row>
    <row r="221" ht="15" customHeight="1">
      <c r="A221" t="inlineStr">
        <is>
          <t>A 24633-2026</t>
        </is>
      </c>
      <c r="B221" s="1" t="n">
        <v>46171</v>
      </c>
      <c r="C221" s="1" t="n">
        <v>46204</v>
      </c>
      <c r="D221" t="inlineStr">
        <is>
          <t>ÖREBRO LÄN</t>
        </is>
      </c>
      <c r="E221" t="inlineStr">
        <is>
          <t>HÄLLEFORS</t>
        </is>
      </c>
      <c r="G221" t="n">
        <v>0.7</v>
      </c>
      <c r="H221" t="n">
        <v>0</v>
      </c>
      <c r="I221" t="n">
        <v>0</v>
      </c>
      <c r="J221" t="n">
        <v>0</v>
      </c>
      <c r="K221" t="n">
        <v>0</v>
      </c>
      <c r="L221" t="n">
        <v>0</v>
      </c>
      <c r="M221" t="n">
        <v>0</v>
      </c>
      <c r="N221" t="n">
        <v>0</v>
      </c>
      <c r="O221" t="n">
        <v>0</v>
      </c>
      <c r="P221" t="n">
        <v>0</v>
      </c>
      <c r="Q221" t="n">
        <v>0</v>
      </c>
      <c r="R221" s="2" t="inlineStr"/>
    </row>
    <row r="222" ht="15" customHeight="1">
      <c r="A222" t="inlineStr">
        <is>
          <t>A 6126-2026</t>
        </is>
      </c>
      <c r="B222" s="1" t="n">
        <v>46053</v>
      </c>
      <c r="C222" s="1" t="n">
        <v>46204</v>
      </c>
      <c r="D222" t="inlineStr">
        <is>
          <t>ÖREBRO LÄN</t>
        </is>
      </c>
      <c r="E222" t="inlineStr">
        <is>
          <t>HÄLLEFORS</t>
        </is>
      </c>
      <c r="G222" t="n">
        <v>2</v>
      </c>
      <c r="H222" t="n">
        <v>0</v>
      </c>
      <c r="I222" t="n">
        <v>0</v>
      </c>
      <c r="J222" t="n">
        <v>0</v>
      </c>
      <c r="K222" t="n">
        <v>0</v>
      </c>
      <c r="L222" t="n">
        <v>0</v>
      </c>
      <c r="M222" t="n">
        <v>0</v>
      </c>
      <c r="N222" t="n">
        <v>0</v>
      </c>
      <c r="O222" t="n">
        <v>0</v>
      </c>
      <c r="P222" t="n">
        <v>0</v>
      </c>
      <c r="Q222" t="n">
        <v>0</v>
      </c>
      <c r="R222" s="2" t="inlineStr"/>
    </row>
    <row r="223" ht="15" customHeight="1">
      <c r="A223" t="inlineStr">
        <is>
          <t>A 15941-2023</t>
        </is>
      </c>
      <c r="B223" s="1" t="n">
        <v>45022</v>
      </c>
      <c r="C223" s="1" t="n">
        <v>46204</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24631-2026</t>
        </is>
      </c>
      <c r="B224" s="1" t="n">
        <v>46171</v>
      </c>
      <c r="C224" s="1" t="n">
        <v>46204</v>
      </c>
      <c r="D224" t="inlineStr">
        <is>
          <t>ÖREBRO LÄN</t>
        </is>
      </c>
      <c r="E224" t="inlineStr">
        <is>
          <t>HÄLLEFORS</t>
        </is>
      </c>
      <c r="G224" t="n">
        <v>4.5</v>
      </c>
      <c r="H224" t="n">
        <v>0</v>
      </c>
      <c r="I224" t="n">
        <v>0</v>
      </c>
      <c r="J224" t="n">
        <v>0</v>
      </c>
      <c r="K224" t="n">
        <v>0</v>
      </c>
      <c r="L224" t="n">
        <v>0</v>
      </c>
      <c r="M224" t="n">
        <v>0</v>
      </c>
      <c r="N224" t="n">
        <v>0</v>
      </c>
      <c r="O224" t="n">
        <v>0</v>
      </c>
      <c r="P224" t="n">
        <v>0</v>
      </c>
      <c r="Q224" t="n">
        <v>0</v>
      </c>
      <c r="R224" s="2" t="inlineStr"/>
    </row>
    <row r="225" ht="15" customHeight="1">
      <c r="A225" t="inlineStr">
        <is>
          <t>A 55745-2024</t>
        </is>
      </c>
      <c r="B225" s="1" t="n">
        <v>45623</v>
      </c>
      <c r="C225" s="1" t="n">
        <v>46204</v>
      </c>
      <c r="D225" t="inlineStr">
        <is>
          <t>ÖREBRO LÄN</t>
        </is>
      </c>
      <c r="E225" t="inlineStr">
        <is>
          <t>HÄLLEFORS</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25095-2026</t>
        </is>
      </c>
      <c r="B226" s="1" t="n">
        <v>46175</v>
      </c>
      <c r="C226" s="1" t="n">
        <v>46204</v>
      </c>
      <c r="D226" t="inlineStr">
        <is>
          <t>ÖREBRO LÄN</t>
        </is>
      </c>
      <c r="E226" t="inlineStr">
        <is>
          <t>HÄLLEFORS</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25094-2026</t>
        </is>
      </c>
      <c r="B227" s="1" t="n">
        <v>46175</v>
      </c>
      <c r="C227" s="1" t="n">
        <v>46204</v>
      </c>
      <c r="D227" t="inlineStr">
        <is>
          <t>ÖREBRO LÄN</t>
        </is>
      </c>
      <c r="E227" t="inlineStr">
        <is>
          <t>HÄLLEFORS</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18945-2025</t>
        </is>
      </c>
      <c r="B228" s="1" t="n">
        <v>45764</v>
      </c>
      <c r="C228" s="1" t="n">
        <v>46204</v>
      </c>
      <c r="D228" t="inlineStr">
        <is>
          <t>ÖREBRO LÄN</t>
        </is>
      </c>
      <c r="E228" t="inlineStr">
        <is>
          <t>HÄLLEFORS</t>
        </is>
      </c>
      <c r="F228" t="inlineStr">
        <is>
          <t>Bergvik skog väst AB</t>
        </is>
      </c>
      <c r="G228" t="n">
        <v>5.1</v>
      </c>
      <c r="H228" t="n">
        <v>0</v>
      </c>
      <c r="I228" t="n">
        <v>0</v>
      </c>
      <c r="J228" t="n">
        <v>0</v>
      </c>
      <c r="K228" t="n">
        <v>0</v>
      </c>
      <c r="L228" t="n">
        <v>0</v>
      </c>
      <c r="M228" t="n">
        <v>0</v>
      </c>
      <c r="N228" t="n">
        <v>0</v>
      </c>
      <c r="O228" t="n">
        <v>0</v>
      </c>
      <c r="P228" t="n">
        <v>0</v>
      </c>
      <c r="Q228" t="n">
        <v>0</v>
      </c>
      <c r="R228" s="2" t="inlineStr"/>
    </row>
    <row r="229" ht="15" customHeight="1">
      <c r="A229" t="inlineStr">
        <is>
          <t>A 25172-2026</t>
        </is>
      </c>
      <c r="B229" s="1" t="n">
        <v>46175</v>
      </c>
      <c r="C229" s="1" t="n">
        <v>46204</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54105-2023</t>
        </is>
      </c>
      <c r="B230" s="1" t="n">
        <v>45232</v>
      </c>
      <c r="C230" s="1" t="n">
        <v>46204</v>
      </c>
      <c r="D230" t="inlineStr">
        <is>
          <t>ÖREBRO LÄN</t>
        </is>
      </c>
      <c r="E230" t="inlineStr">
        <is>
          <t>HÄLLEFORS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46204</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13757-2023</t>
        </is>
      </c>
      <c r="B232" s="1" t="n">
        <v>45007</v>
      </c>
      <c r="C232" s="1" t="n">
        <v>46204</v>
      </c>
      <c r="D232" t="inlineStr">
        <is>
          <t>ÖREBRO LÄN</t>
        </is>
      </c>
      <c r="E232" t="inlineStr">
        <is>
          <t>HÄLLEFORS</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30591-2024</t>
        </is>
      </c>
      <c r="B233" s="1" t="n">
        <v>45493</v>
      </c>
      <c r="C233" s="1" t="n">
        <v>46204</v>
      </c>
      <c r="D233" t="inlineStr">
        <is>
          <t>ÖREBRO LÄN</t>
        </is>
      </c>
      <c r="E233" t="inlineStr">
        <is>
          <t>HÄLLEFORS</t>
        </is>
      </c>
      <c r="G233" t="n">
        <v>12.5</v>
      </c>
      <c r="H233" t="n">
        <v>0</v>
      </c>
      <c r="I233" t="n">
        <v>0</v>
      </c>
      <c r="J233" t="n">
        <v>0</v>
      </c>
      <c r="K233" t="n">
        <v>0</v>
      </c>
      <c r="L233" t="n">
        <v>0</v>
      </c>
      <c r="M233" t="n">
        <v>0</v>
      </c>
      <c r="N233" t="n">
        <v>0</v>
      </c>
      <c r="O233" t="n">
        <v>0</v>
      </c>
      <c r="P233" t="n">
        <v>0</v>
      </c>
      <c r="Q233" t="n">
        <v>0</v>
      </c>
      <c r="R233" s="2" t="inlineStr"/>
    </row>
    <row r="234" ht="15" customHeight="1">
      <c r="A234" t="inlineStr">
        <is>
          <t>A 12545-2023</t>
        </is>
      </c>
      <c r="B234" s="1" t="n">
        <v>45000</v>
      </c>
      <c r="C234" s="1" t="n">
        <v>46204</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6281-2025</t>
        </is>
      </c>
      <c r="B235" s="1" t="n">
        <v>45698</v>
      </c>
      <c r="C235" s="1" t="n">
        <v>46204</v>
      </c>
      <c r="D235" t="inlineStr">
        <is>
          <t>ÖREBRO LÄN</t>
        </is>
      </c>
      <c r="E235" t="inlineStr">
        <is>
          <t>HÄLLEFORS</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25873-2026</t>
        </is>
      </c>
      <c r="B236" s="1" t="n">
        <v>46178</v>
      </c>
      <c r="C236" s="1" t="n">
        <v>46204</v>
      </c>
      <c r="D236" t="inlineStr">
        <is>
          <t>ÖREBRO LÄN</t>
        </is>
      </c>
      <c r="E236" t="inlineStr">
        <is>
          <t>HÄLLEFORS</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38908-2021</t>
        </is>
      </c>
      <c r="B237" s="1" t="n">
        <v>44411</v>
      </c>
      <c r="C237" s="1" t="n">
        <v>46204</v>
      </c>
      <c r="D237" t="inlineStr">
        <is>
          <t>ÖREBRO LÄN</t>
        </is>
      </c>
      <c r="E237" t="inlineStr">
        <is>
          <t>HÄLLEFORS</t>
        </is>
      </c>
      <c r="G237" t="n">
        <v>3.9</v>
      </c>
      <c r="H237" t="n">
        <v>0</v>
      </c>
      <c r="I237" t="n">
        <v>0</v>
      </c>
      <c r="J237" t="n">
        <v>0</v>
      </c>
      <c r="K237" t="n">
        <v>0</v>
      </c>
      <c r="L237" t="n">
        <v>0</v>
      </c>
      <c r="M237" t="n">
        <v>0</v>
      </c>
      <c r="N237" t="n">
        <v>0</v>
      </c>
      <c r="O237" t="n">
        <v>0</v>
      </c>
      <c r="P237" t="n">
        <v>0</v>
      </c>
      <c r="Q237" t="n">
        <v>0</v>
      </c>
      <c r="R237" s="2" t="inlineStr"/>
    </row>
    <row r="238" ht="15" customHeight="1">
      <c r="A238" t="inlineStr">
        <is>
          <t>A 34898-2021</t>
        </is>
      </c>
      <c r="B238" s="1" t="n">
        <v>44383</v>
      </c>
      <c r="C238" s="1" t="n">
        <v>46204</v>
      </c>
      <c r="D238" t="inlineStr">
        <is>
          <t>ÖREBRO LÄN</t>
        </is>
      </c>
      <c r="E238" t="inlineStr">
        <is>
          <t>HÄLLEFORS</t>
        </is>
      </c>
      <c r="G238" t="n">
        <v>0.9</v>
      </c>
      <c r="H238" t="n">
        <v>0</v>
      </c>
      <c r="I238" t="n">
        <v>0</v>
      </c>
      <c r="J238" t="n">
        <v>0</v>
      </c>
      <c r="K238" t="n">
        <v>0</v>
      </c>
      <c r="L238" t="n">
        <v>0</v>
      </c>
      <c r="M238" t="n">
        <v>0</v>
      </c>
      <c r="N238" t="n">
        <v>0</v>
      </c>
      <c r="O238" t="n">
        <v>0</v>
      </c>
      <c r="P238" t="n">
        <v>0</v>
      </c>
      <c r="Q238" t="n">
        <v>0</v>
      </c>
      <c r="R238" s="2" t="inlineStr"/>
    </row>
    <row r="239" ht="15" customHeight="1">
      <c r="A239" t="inlineStr">
        <is>
          <t>A 25872-2026</t>
        </is>
      </c>
      <c r="B239" s="1" t="n">
        <v>46178</v>
      </c>
      <c r="C239" s="1" t="n">
        <v>46204</v>
      </c>
      <c r="D239" t="inlineStr">
        <is>
          <t>ÖREBRO LÄN</t>
        </is>
      </c>
      <c r="E239" t="inlineStr">
        <is>
          <t>HÄLLEFORS</t>
        </is>
      </c>
      <c r="F239" t="inlineStr">
        <is>
          <t>Bergvik skog väst AB</t>
        </is>
      </c>
      <c r="G239" t="n">
        <v>4.7</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46204</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67953-2021</t>
        </is>
      </c>
      <c r="B241" s="1" t="n">
        <v>44525</v>
      </c>
      <c r="C241" s="1" t="n">
        <v>46204</v>
      </c>
      <c r="D241" t="inlineStr">
        <is>
          <t>ÖREBRO LÄN</t>
        </is>
      </c>
      <c r="E241" t="inlineStr">
        <is>
          <t>HÄLLEFORS</t>
        </is>
      </c>
      <c r="G241" t="n">
        <v>2</v>
      </c>
      <c r="H241" t="n">
        <v>0</v>
      </c>
      <c r="I241" t="n">
        <v>0</v>
      </c>
      <c r="J241" t="n">
        <v>0</v>
      </c>
      <c r="K241" t="n">
        <v>0</v>
      </c>
      <c r="L241" t="n">
        <v>0</v>
      </c>
      <c r="M241" t="n">
        <v>0</v>
      </c>
      <c r="N241" t="n">
        <v>0</v>
      </c>
      <c r="O241" t="n">
        <v>0</v>
      </c>
      <c r="P241" t="n">
        <v>0</v>
      </c>
      <c r="Q241" t="n">
        <v>0</v>
      </c>
      <c r="R241" s="2" t="inlineStr"/>
    </row>
    <row r="242" ht="15" customHeight="1">
      <c r="A242" t="inlineStr">
        <is>
          <t>A 41822-2023</t>
        </is>
      </c>
      <c r="B242" s="1" t="n">
        <v>45176</v>
      </c>
      <c r="C242" s="1" t="n">
        <v>46204</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47847-2025</t>
        </is>
      </c>
      <c r="B243" s="1" t="n">
        <v>45932</v>
      </c>
      <c r="C243" s="1" t="n">
        <v>46204</v>
      </c>
      <c r="D243" t="inlineStr">
        <is>
          <t>ÖREBRO LÄN</t>
        </is>
      </c>
      <c r="E243" t="inlineStr">
        <is>
          <t>HÄLLEFORS</t>
        </is>
      </c>
      <c r="F243" t="inlineStr">
        <is>
          <t>Bergvik skog väst AB</t>
        </is>
      </c>
      <c r="G243" t="n">
        <v>11.5</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v>
      </c>
      <c r="C244" s="1" t="n">
        <v>46204</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58949-2025</t>
        </is>
      </c>
      <c r="B245" s="1" t="n">
        <v>45987</v>
      </c>
      <c r="C245" s="1" t="n">
        <v>46204</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18927-2025</t>
        </is>
      </c>
      <c r="B246" s="1" t="n">
        <v>45764</v>
      </c>
      <c r="C246" s="1" t="n">
        <v>46204</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14120-2023</t>
        </is>
      </c>
      <c r="B247" s="1" t="n">
        <v>45009</v>
      </c>
      <c r="C247" s="1" t="n">
        <v>46204</v>
      </c>
      <c r="D247" t="inlineStr">
        <is>
          <t>ÖREBRO LÄN</t>
        </is>
      </c>
      <c r="E247" t="inlineStr">
        <is>
          <t>HÄLLEFORS</t>
        </is>
      </c>
      <c r="F247" t="inlineStr">
        <is>
          <t>Bergvik skog väst AB</t>
        </is>
      </c>
      <c r="G247" t="n">
        <v>4.2</v>
      </c>
      <c r="H247" t="n">
        <v>0</v>
      </c>
      <c r="I247" t="n">
        <v>0</v>
      </c>
      <c r="J247" t="n">
        <v>0</v>
      </c>
      <c r="K247" t="n">
        <v>0</v>
      </c>
      <c r="L247" t="n">
        <v>0</v>
      </c>
      <c r="M247" t="n">
        <v>0</v>
      </c>
      <c r="N247" t="n">
        <v>0</v>
      </c>
      <c r="O247" t="n">
        <v>0</v>
      </c>
      <c r="P247" t="n">
        <v>0</v>
      </c>
      <c r="Q247" t="n">
        <v>0</v>
      </c>
      <c r="R247" s="2" t="inlineStr"/>
    </row>
    <row r="248" ht="15" customHeight="1">
      <c r="A248" t="inlineStr">
        <is>
          <t>A 50571-2024</t>
        </is>
      </c>
      <c r="B248" s="1" t="n">
        <v>45601</v>
      </c>
      <c r="C248" s="1" t="n">
        <v>46204</v>
      </c>
      <c r="D248" t="inlineStr">
        <is>
          <t>ÖREBRO LÄN</t>
        </is>
      </c>
      <c r="E248" t="inlineStr">
        <is>
          <t>HÄLLEFORS</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25870-2026</t>
        </is>
      </c>
      <c r="B249" s="1" t="n">
        <v>46178</v>
      </c>
      <c r="C249" s="1" t="n">
        <v>46204</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34029-2025</t>
        </is>
      </c>
      <c r="B250" s="1" t="n">
        <v>45845</v>
      </c>
      <c r="C250" s="1" t="n">
        <v>46204</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32813-2025</t>
        </is>
      </c>
      <c r="B251" s="1" t="n">
        <v>45839</v>
      </c>
      <c r="C251" s="1" t="n">
        <v>46204</v>
      </c>
      <c r="D251" t="inlineStr">
        <is>
          <t>ÖREBRO LÄN</t>
        </is>
      </c>
      <c r="E251" t="inlineStr">
        <is>
          <t>HÄLLEFORS</t>
        </is>
      </c>
      <c r="G251" t="n">
        <v>3.5</v>
      </c>
      <c r="H251" t="n">
        <v>0</v>
      </c>
      <c r="I251" t="n">
        <v>0</v>
      </c>
      <c r="J251" t="n">
        <v>0</v>
      </c>
      <c r="K251" t="n">
        <v>0</v>
      </c>
      <c r="L251" t="n">
        <v>0</v>
      </c>
      <c r="M251" t="n">
        <v>0</v>
      </c>
      <c r="N251" t="n">
        <v>0</v>
      </c>
      <c r="O251" t="n">
        <v>0</v>
      </c>
      <c r="P251" t="n">
        <v>0</v>
      </c>
      <c r="Q251" t="n">
        <v>0</v>
      </c>
      <c r="R251" s="2" t="inlineStr"/>
    </row>
    <row r="252" ht="15" customHeight="1">
      <c r="A252" t="inlineStr">
        <is>
          <t>A 25871-2026</t>
        </is>
      </c>
      <c r="B252" s="1" t="n">
        <v>46178</v>
      </c>
      <c r="C252" s="1" t="n">
        <v>46204</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34042-2025</t>
        </is>
      </c>
      <c r="B253" s="1" t="n">
        <v>45845</v>
      </c>
      <c r="C253" s="1" t="n">
        <v>46204</v>
      </c>
      <c r="D253" t="inlineStr">
        <is>
          <t>ÖREBRO LÄN</t>
        </is>
      </c>
      <c r="E253" t="inlineStr">
        <is>
          <t>HÄLLEFORS</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19944-2026</t>
        </is>
      </c>
      <c r="B254" s="1" t="n">
        <v>46136</v>
      </c>
      <c r="C254" s="1" t="n">
        <v>46204</v>
      </c>
      <c r="D254" t="inlineStr">
        <is>
          <t>ÖREBRO LÄN</t>
        </is>
      </c>
      <c r="E254" t="inlineStr">
        <is>
          <t>HÄLLEFORS</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42918-2024</t>
        </is>
      </c>
      <c r="B255" s="1" t="n">
        <v>45567</v>
      </c>
      <c r="C255" s="1" t="n">
        <v>46204</v>
      </c>
      <c r="D255" t="inlineStr">
        <is>
          <t>ÖREBRO LÄN</t>
        </is>
      </c>
      <c r="E255" t="inlineStr">
        <is>
          <t>HÄLLEFORS</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18664-2025</t>
        </is>
      </c>
      <c r="B256" s="1" t="n">
        <v>45763</v>
      </c>
      <c r="C256" s="1" t="n">
        <v>46204</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48429-2024</t>
        </is>
      </c>
      <c r="B257" s="1" t="n">
        <v>45590</v>
      </c>
      <c r="C257" s="1" t="n">
        <v>46204</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4716-2022</t>
        </is>
      </c>
      <c r="B258" s="1" t="n">
        <v>44592</v>
      </c>
      <c r="C258" s="1" t="n">
        <v>46204</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19941-2026</t>
        </is>
      </c>
      <c r="B259" s="1" t="n">
        <v>46136</v>
      </c>
      <c r="C259" s="1" t="n">
        <v>46204</v>
      </c>
      <c r="D259" t="inlineStr">
        <is>
          <t>ÖREBRO LÄN</t>
        </is>
      </c>
      <c r="E259" t="inlineStr">
        <is>
          <t>HÄLLEFORS</t>
        </is>
      </c>
      <c r="F259" t="inlineStr">
        <is>
          <t>Bergvik skog väst AB</t>
        </is>
      </c>
      <c r="G259" t="n">
        <v>7.7</v>
      </c>
      <c r="H259" t="n">
        <v>0</v>
      </c>
      <c r="I259" t="n">
        <v>0</v>
      </c>
      <c r="J259" t="n">
        <v>0</v>
      </c>
      <c r="K259" t="n">
        <v>0</v>
      </c>
      <c r="L259" t="n">
        <v>0</v>
      </c>
      <c r="M259" t="n">
        <v>0</v>
      </c>
      <c r="N259" t="n">
        <v>0</v>
      </c>
      <c r="O259" t="n">
        <v>0</v>
      </c>
      <c r="P259" t="n">
        <v>0</v>
      </c>
      <c r="Q259" t="n">
        <v>0</v>
      </c>
      <c r="R259" s="2" t="inlineStr"/>
    </row>
    <row r="260" ht="15" customHeight="1">
      <c r="A260" t="inlineStr">
        <is>
          <t>A 47852-2025</t>
        </is>
      </c>
      <c r="B260" s="1" t="n">
        <v>45932</v>
      </c>
      <c r="C260" s="1" t="n">
        <v>46204</v>
      </c>
      <c r="D260" t="inlineStr">
        <is>
          <t>ÖREBRO LÄN</t>
        </is>
      </c>
      <c r="E260" t="inlineStr">
        <is>
          <t>HÄLLEFORS</t>
        </is>
      </c>
      <c r="F260" t="inlineStr">
        <is>
          <t>Bergvik skog väst AB</t>
        </is>
      </c>
      <c r="G260" t="n">
        <v>12.9</v>
      </c>
      <c r="H260" t="n">
        <v>0</v>
      </c>
      <c r="I260" t="n">
        <v>0</v>
      </c>
      <c r="J260" t="n">
        <v>0</v>
      </c>
      <c r="K260" t="n">
        <v>0</v>
      </c>
      <c r="L260" t="n">
        <v>0</v>
      </c>
      <c r="M260" t="n">
        <v>0</v>
      </c>
      <c r="N260" t="n">
        <v>0</v>
      </c>
      <c r="O260" t="n">
        <v>0</v>
      </c>
      <c r="P260" t="n">
        <v>0</v>
      </c>
      <c r="Q260" t="n">
        <v>0</v>
      </c>
      <c r="R260" s="2" t="inlineStr"/>
    </row>
    <row r="261" ht="15" customHeight="1">
      <c r="A261" t="inlineStr">
        <is>
          <t>A 9906-2024</t>
        </is>
      </c>
      <c r="B261" s="1" t="n">
        <v>45363</v>
      </c>
      <c r="C261" s="1" t="n">
        <v>46204</v>
      </c>
      <c r="D261" t="inlineStr">
        <is>
          <t>ÖREBRO LÄN</t>
        </is>
      </c>
      <c r="E261" t="inlineStr">
        <is>
          <t>HÄLLEFORS</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34045-2025</t>
        </is>
      </c>
      <c r="B262" s="1" t="n">
        <v>45845</v>
      </c>
      <c r="C262" s="1" t="n">
        <v>46204</v>
      </c>
      <c r="D262" t="inlineStr">
        <is>
          <t>ÖREBRO LÄN</t>
        </is>
      </c>
      <c r="E262" t="inlineStr">
        <is>
          <t>HÄLLEFORS</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25868-2026</t>
        </is>
      </c>
      <c r="B263" s="1" t="n">
        <v>46178</v>
      </c>
      <c r="C263" s="1" t="n">
        <v>46204</v>
      </c>
      <c r="D263" t="inlineStr">
        <is>
          <t>ÖREBRO LÄN</t>
        </is>
      </c>
      <c r="E263" t="inlineStr">
        <is>
          <t>HÄLLEFORS</t>
        </is>
      </c>
      <c r="F263" t="inlineStr">
        <is>
          <t>Bergvik skog väst AB</t>
        </is>
      </c>
      <c r="G263" t="n">
        <v>6.2</v>
      </c>
      <c r="H263" t="n">
        <v>0</v>
      </c>
      <c r="I263" t="n">
        <v>0</v>
      </c>
      <c r="J263" t="n">
        <v>0</v>
      </c>
      <c r="K263" t="n">
        <v>0</v>
      </c>
      <c r="L263" t="n">
        <v>0</v>
      </c>
      <c r="M263" t="n">
        <v>0</v>
      </c>
      <c r="N263" t="n">
        <v>0</v>
      </c>
      <c r="O263" t="n">
        <v>0</v>
      </c>
      <c r="P263" t="n">
        <v>0</v>
      </c>
      <c r="Q263" t="n">
        <v>0</v>
      </c>
      <c r="R263" s="2" t="inlineStr"/>
    </row>
    <row r="264" ht="15" customHeight="1">
      <c r="A264" t="inlineStr">
        <is>
          <t>A 52367-2022</t>
        </is>
      </c>
      <c r="B264" s="1" t="n">
        <v>44874</v>
      </c>
      <c r="C264" s="1" t="n">
        <v>46204</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26560-2026</t>
        </is>
      </c>
      <c r="B265" s="1" t="n">
        <v>46183</v>
      </c>
      <c r="C265" s="1" t="n">
        <v>46204</v>
      </c>
      <c r="D265" t="inlineStr">
        <is>
          <t>ÖREBRO LÄN</t>
        </is>
      </c>
      <c r="E265" t="inlineStr">
        <is>
          <t>HÄLLEFORS</t>
        </is>
      </c>
      <c r="G265" t="n">
        <v>3</v>
      </c>
      <c r="H265" t="n">
        <v>0</v>
      </c>
      <c r="I265" t="n">
        <v>0</v>
      </c>
      <c r="J265" t="n">
        <v>0</v>
      </c>
      <c r="K265" t="n">
        <v>0</v>
      </c>
      <c r="L265" t="n">
        <v>0</v>
      </c>
      <c r="M265" t="n">
        <v>0</v>
      </c>
      <c r="N265" t="n">
        <v>0</v>
      </c>
      <c r="O265" t="n">
        <v>0</v>
      </c>
      <c r="P265" t="n">
        <v>0</v>
      </c>
      <c r="Q265" t="n">
        <v>0</v>
      </c>
      <c r="R265" s="2" t="inlineStr"/>
    </row>
    <row r="266" ht="15" customHeight="1">
      <c r="A266" t="inlineStr">
        <is>
          <t>A 19245-2025</t>
        </is>
      </c>
      <c r="B266" s="1" t="n">
        <v>45769</v>
      </c>
      <c r="C266" s="1" t="n">
        <v>46204</v>
      </c>
      <c r="D266" t="inlineStr">
        <is>
          <t>ÖREBRO LÄN</t>
        </is>
      </c>
      <c r="E266" t="inlineStr">
        <is>
          <t>HÄLLEFORS</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36276-2024</t>
        </is>
      </c>
      <c r="B267" s="1" t="n">
        <v>45534</v>
      </c>
      <c r="C267" s="1" t="n">
        <v>46204</v>
      </c>
      <c r="D267" t="inlineStr">
        <is>
          <t>ÖREBRO LÄN</t>
        </is>
      </c>
      <c r="E267" t="inlineStr">
        <is>
          <t>HÄLLEFORS</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26240-2026</t>
        </is>
      </c>
      <c r="B268" s="1" t="n">
        <v>46182</v>
      </c>
      <c r="C268" s="1" t="n">
        <v>46204</v>
      </c>
      <c r="D268" t="inlineStr">
        <is>
          <t>ÖREBRO LÄN</t>
        </is>
      </c>
      <c r="E268" t="inlineStr">
        <is>
          <t>HÄLLEFORS</t>
        </is>
      </c>
      <c r="F268" t="inlineStr">
        <is>
          <t>Kyrkan</t>
        </is>
      </c>
      <c r="G268" t="n">
        <v>0.6</v>
      </c>
      <c r="H268" t="n">
        <v>0</v>
      </c>
      <c r="I268" t="n">
        <v>0</v>
      </c>
      <c r="J268" t="n">
        <v>0</v>
      </c>
      <c r="K268" t="n">
        <v>0</v>
      </c>
      <c r="L268" t="n">
        <v>0</v>
      </c>
      <c r="M268" t="n">
        <v>0</v>
      </c>
      <c r="N268" t="n">
        <v>0</v>
      </c>
      <c r="O268" t="n">
        <v>0</v>
      </c>
      <c r="P268" t="n">
        <v>0</v>
      </c>
      <c r="Q268" t="n">
        <v>0</v>
      </c>
      <c r="R268" s="2" t="inlineStr"/>
    </row>
    <row r="269" ht="15" customHeight="1">
      <c r="A269" t="inlineStr">
        <is>
          <t>A 51488-2021</t>
        </is>
      </c>
      <c r="B269" s="1" t="n">
        <v>44460</v>
      </c>
      <c r="C269" s="1" t="n">
        <v>46204</v>
      </c>
      <c r="D269" t="inlineStr">
        <is>
          <t>ÖREBRO LÄN</t>
        </is>
      </c>
      <c r="E269" t="inlineStr">
        <is>
          <t>HÄLLEFORS</t>
        </is>
      </c>
      <c r="G269" t="n">
        <v>2.8</v>
      </c>
      <c r="H269" t="n">
        <v>0</v>
      </c>
      <c r="I269" t="n">
        <v>0</v>
      </c>
      <c r="J269" t="n">
        <v>0</v>
      </c>
      <c r="K269" t="n">
        <v>0</v>
      </c>
      <c r="L269" t="n">
        <v>0</v>
      </c>
      <c r="M269" t="n">
        <v>0</v>
      </c>
      <c r="N269" t="n">
        <v>0</v>
      </c>
      <c r="O269" t="n">
        <v>0</v>
      </c>
      <c r="P269" t="n">
        <v>0</v>
      </c>
      <c r="Q269" t="n">
        <v>0</v>
      </c>
      <c r="R269" s="2" t="inlineStr"/>
    </row>
    <row r="270" ht="15" customHeight="1">
      <c r="A270" t="inlineStr">
        <is>
          <t>A 28788-2022</t>
        </is>
      </c>
      <c r="B270" s="1" t="n">
        <v>44749</v>
      </c>
      <c r="C270" s="1" t="n">
        <v>46204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55477-2023</t>
        </is>
      </c>
      <c r="B271" s="1" t="n">
        <v>45238</v>
      </c>
      <c r="C271" s="1" t="n">
        <v>46204</v>
      </c>
      <c r="D271" t="inlineStr">
        <is>
          <t>ÖREBRO LÄN</t>
        </is>
      </c>
      <c r="E271" t="inlineStr">
        <is>
          <t>HÄLLEFORS</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34018-2025</t>
        </is>
      </c>
      <c r="B272" s="1" t="n">
        <v>45845</v>
      </c>
      <c r="C272" s="1" t="n">
        <v>46204</v>
      </c>
      <c r="D272" t="inlineStr">
        <is>
          <t>ÖREBRO LÄN</t>
        </is>
      </c>
      <c r="E272" t="inlineStr">
        <is>
          <t>HÄLLEFORS</t>
        </is>
      </c>
      <c r="G272" t="n">
        <v>6.4</v>
      </c>
      <c r="H272" t="n">
        <v>0</v>
      </c>
      <c r="I272" t="n">
        <v>0</v>
      </c>
      <c r="J272" t="n">
        <v>0</v>
      </c>
      <c r="K272" t="n">
        <v>0</v>
      </c>
      <c r="L272" t="n">
        <v>0</v>
      </c>
      <c r="M272" t="n">
        <v>0</v>
      </c>
      <c r="N272" t="n">
        <v>0</v>
      </c>
      <c r="O272" t="n">
        <v>0</v>
      </c>
      <c r="P272" t="n">
        <v>0</v>
      </c>
      <c r="Q272" t="n">
        <v>0</v>
      </c>
      <c r="R272" s="2" t="inlineStr"/>
    </row>
    <row r="273" ht="15" customHeight="1">
      <c r="A273" t="inlineStr">
        <is>
          <t>A 20699-2026</t>
        </is>
      </c>
      <c r="B273" s="1" t="n">
        <v>46141</v>
      </c>
      <c r="C273" s="1" t="n">
        <v>46204</v>
      </c>
      <c r="D273" t="inlineStr">
        <is>
          <t>ÖREBRO LÄN</t>
        </is>
      </c>
      <c r="E273" t="inlineStr">
        <is>
          <t>HÄLLEFORS</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43966-2024</t>
        </is>
      </c>
      <c r="B274" s="1" t="n">
        <v>45572</v>
      </c>
      <c r="C274" s="1" t="n">
        <v>46204</v>
      </c>
      <c r="D274" t="inlineStr">
        <is>
          <t>ÖREBRO LÄN</t>
        </is>
      </c>
      <c r="E274" t="inlineStr">
        <is>
          <t>HÄLLEFORS</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26793-2026</t>
        </is>
      </c>
      <c r="B275" s="1" t="n">
        <v>46185</v>
      </c>
      <c r="C275" s="1" t="n">
        <v>46204</v>
      </c>
      <c r="D275" t="inlineStr">
        <is>
          <t>ÖREBRO LÄN</t>
        </is>
      </c>
      <c r="E275" t="inlineStr">
        <is>
          <t>HÄLLEFORS</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26911-2026</t>
        </is>
      </c>
      <c r="B276" s="1" t="n">
        <v>46185</v>
      </c>
      <c r="C276" s="1" t="n">
        <v>46204</v>
      </c>
      <c r="D276" t="inlineStr">
        <is>
          <t>ÖREBRO LÄN</t>
        </is>
      </c>
      <c r="E276" t="inlineStr">
        <is>
          <t>HÄLLEFORS</t>
        </is>
      </c>
      <c r="G276" t="n">
        <v>1.2</v>
      </c>
      <c r="H276" t="n">
        <v>0</v>
      </c>
      <c r="I276" t="n">
        <v>0</v>
      </c>
      <c r="J276" t="n">
        <v>0</v>
      </c>
      <c r="K276" t="n">
        <v>0</v>
      </c>
      <c r="L276" t="n">
        <v>0</v>
      </c>
      <c r="M276" t="n">
        <v>0</v>
      </c>
      <c r="N276" t="n">
        <v>0</v>
      </c>
      <c r="O276" t="n">
        <v>0</v>
      </c>
      <c r="P276" t="n">
        <v>0</v>
      </c>
      <c r="Q276" t="n">
        <v>0</v>
      </c>
      <c r="R276" s="2" t="inlineStr"/>
    </row>
    <row r="277" ht="15" customHeight="1">
      <c r="A277" t="inlineStr">
        <is>
          <t>A 20995-2026</t>
        </is>
      </c>
      <c r="B277" s="1" t="n">
        <v>46142</v>
      </c>
      <c r="C277" s="1" t="n">
        <v>46204</v>
      </c>
      <c r="D277" t="inlineStr">
        <is>
          <t>ÖREBRO LÄN</t>
        </is>
      </c>
      <c r="E277" t="inlineStr">
        <is>
          <t>HÄLLEFORS</t>
        </is>
      </c>
      <c r="G277" t="n">
        <v>1.5</v>
      </c>
      <c r="H277" t="n">
        <v>0</v>
      </c>
      <c r="I277" t="n">
        <v>0</v>
      </c>
      <c r="J277" t="n">
        <v>0</v>
      </c>
      <c r="K277" t="n">
        <v>0</v>
      </c>
      <c r="L277" t="n">
        <v>0</v>
      </c>
      <c r="M277" t="n">
        <v>0</v>
      </c>
      <c r="N277" t="n">
        <v>0</v>
      </c>
      <c r="O277" t="n">
        <v>0</v>
      </c>
      <c r="P277" t="n">
        <v>0</v>
      </c>
      <c r="Q277" t="n">
        <v>0</v>
      </c>
      <c r="R277" s="2" t="inlineStr"/>
    </row>
    <row r="278" ht="15" customHeight="1">
      <c r="A278" t="inlineStr">
        <is>
          <t>A 27935-2023</t>
        </is>
      </c>
      <c r="B278" s="1" t="n">
        <v>45098</v>
      </c>
      <c r="C278" s="1" t="n">
        <v>46204</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23036-2024</t>
        </is>
      </c>
      <c r="B279" s="1" t="n">
        <v>45450</v>
      </c>
      <c r="C279" s="1" t="n">
        <v>46204</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60312-2024</t>
        </is>
      </c>
      <c r="B280" s="1" t="n">
        <v>45643</v>
      </c>
      <c r="C280" s="1" t="n">
        <v>46204</v>
      </c>
      <c r="D280" t="inlineStr">
        <is>
          <t>ÖREBRO LÄN</t>
        </is>
      </c>
      <c r="E280" t="inlineStr">
        <is>
          <t>HÄLLEFORS</t>
        </is>
      </c>
      <c r="F280" t="inlineStr">
        <is>
          <t>Bergvik skog väst AB</t>
        </is>
      </c>
      <c r="G280" t="n">
        <v>1.6</v>
      </c>
      <c r="H280" t="n">
        <v>0</v>
      </c>
      <c r="I280" t="n">
        <v>0</v>
      </c>
      <c r="J280" t="n">
        <v>0</v>
      </c>
      <c r="K280" t="n">
        <v>0</v>
      </c>
      <c r="L280" t="n">
        <v>0</v>
      </c>
      <c r="M280" t="n">
        <v>0</v>
      </c>
      <c r="N280" t="n">
        <v>0</v>
      </c>
      <c r="O280" t="n">
        <v>0</v>
      </c>
      <c r="P280" t="n">
        <v>0</v>
      </c>
      <c r="Q280" t="n">
        <v>0</v>
      </c>
      <c r="R280" s="2" t="inlineStr"/>
    </row>
    <row r="281" ht="15" customHeight="1">
      <c r="A281" t="inlineStr">
        <is>
          <t>A 67027-2021</t>
        </is>
      </c>
      <c r="B281" s="1" t="n">
        <v>44522</v>
      </c>
      <c r="C281" s="1" t="n">
        <v>46204</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21726-2026</t>
        </is>
      </c>
      <c r="B282" s="1" t="n">
        <v>46149</v>
      </c>
      <c r="C282" s="1" t="n">
        <v>46204</v>
      </c>
      <c r="D282" t="inlineStr">
        <is>
          <t>ÖREBRO LÄN</t>
        </is>
      </c>
      <c r="E282" t="inlineStr">
        <is>
          <t>HÄLLEFORS</t>
        </is>
      </c>
      <c r="G282" t="n">
        <v>2</v>
      </c>
      <c r="H282" t="n">
        <v>0</v>
      </c>
      <c r="I282" t="n">
        <v>0</v>
      </c>
      <c r="J282" t="n">
        <v>0</v>
      </c>
      <c r="K282" t="n">
        <v>0</v>
      </c>
      <c r="L282" t="n">
        <v>0</v>
      </c>
      <c r="M282" t="n">
        <v>0</v>
      </c>
      <c r="N282" t="n">
        <v>0</v>
      </c>
      <c r="O282" t="n">
        <v>0</v>
      </c>
      <c r="P282" t="n">
        <v>0</v>
      </c>
      <c r="Q282" t="n">
        <v>0</v>
      </c>
      <c r="R282" s="2" t="inlineStr"/>
    </row>
    <row r="283" ht="15" customHeight="1">
      <c r="A283" t="inlineStr">
        <is>
          <t>A 18715-2025</t>
        </is>
      </c>
      <c r="B283" s="1" t="n">
        <v>45763</v>
      </c>
      <c r="C283" s="1" t="n">
        <v>46204</v>
      </c>
      <c r="D283" t="inlineStr">
        <is>
          <t>ÖREBRO LÄN</t>
        </is>
      </c>
      <c r="E283" t="inlineStr">
        <is>
          <t>HÄLLEFORS</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21760-2026</t>
        </is>
      </c>
      <c r="B284" s="1" t="n">
        <v>46149</v>
      </c>
      <c r="C284" s="1" t="n">
        <v>46204</v>
      </c>
      <c r="D284" t="inlineStr">
        <is>
          <t>ÖREBRO LÄN</t>
        </is>
      </c>
      <c r="E284" t="inlineStr">
        <is>
          <t>HÄLLEFORS</t>
        </is>
      </c>
      <c r="G284" t="n">
        <v>0.8</v>
      </c>
      <c r="H284" t="n">
        <v>0</v>
      </c>
      <c r="I284" t="n">
        <v>0</v>
      </c>
      <c r="J284" t="n">
        <v>0</v>
      </c>
      <c r="K284" t="n">
        <v>0</v>
      </c>
      <c r="L284" t="n">
        <v>0</v>
      </c>
      <c r="M284" t="n">
        <v>0</v>
      </c>
      <c r="N284" t="n">
        <v>0</v>
      </c>
      <c r="O284" t="n">
        <v>0</v>
      </c>
      <c r="P284" t="n">
        <v>0</v>
      </c>
      <c r="Q284" t="n">
        <v>0</v>
      </c>
      <c r="R284" s="2" t="inlineStr"/>
    </row>
    <row r="285" ht="15" customHeight="1">
      <c r="A285" t="inlineStr">
        <is>
          <t>A 41810-2023</t>
        </is>
      </c>
      <c r="B285" s="1" t="n">
        <v>45176</v>
      </c>
      <c r="C285" s="1" t="n">
        <v>46204</v>
      </c>
      <c r="D285" t="inlineStr">
        <is>
          <t>ÖREBRO LÄN</t>
        </is>
      </c>
      <c r="E285" t="inlineStr">
        <is>
          <t>HÄLLEFORS</t>
        </is>
      </c>
      <c r="F285" t="inlineStr">
        <is>
          <t>Bergvik skog väst AB</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55300-2023</t>
        </is>
      </c>
      <c r="B286" s="1" t="n">
        <v>45237</v>
      </c>
      <c r="C286" s="1" t="n">
        <v>46204</v>
      </c>
      <c r="D286" t="inlineStr">
        <is>
          <t>ÖREBRO LÄN</t>
        </is>
      </c>
      <c r="E286" t="inlineStr">
        <is>
          <t>HÄLLEFORS</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59976-2024</t>
        </is>
      </c>
      <c r="B287" s="1" t="n">
        <v>45642</v>
      </c>
      <c r="C287" s="1" t="n">
        <v>46204</v>
      </c>
      <c r="D287" t="inlineStr">
        <is>
          <t>ÖREBRO LÄN</t>
        </is>
      </c>
      <c r="E287" t="inlineStr">
        <is>
          <t>HÄLLEFORS</t>
        </is>
      </c>
      <c r="F287" t="inlineStr">
        <is>
          <t>Bergvik skog väst AB</t>
        </is>
      </c>
      <c r="G287" t="n">
        <v>8.9</v>
      </c>
      <c r="H287" t="n">
        <v>0</v>
      </c>
      <c r="I287" t="n">
        <v>0</v>
      </c>
      <c r="J287" t="n">
        <v>0</v>
      </c>
      <c r="K287" t="n">
        <v>0</v>
      </c>
      <c r="L287" t="n">
        <v>0</v>
      </c>
      <c r="M287" t="n">
        <v>0</v>
      </c>
      <c r="N287" t="n">
        <v>0</v>
      </c>
      <c r="O287" t="n">
        <v>0</v>
      </c>
      <c r="P287" t="n">
        <v>0</v>
      </c>
      <c r="Q287" t="n">
        <v>0</v>
      </c>
      <c r="R287" s="2" t="inlineStr"/>
    </row>
    <row r="288" ht="15" customHeight="1">
      <c r="A288" t="inlineStr">
        <is>
          <t>A 67439-2021</t>
        </is>
      </c>
      <c r="B288" s="1" t="n">
        <v>44523</v>
      </c>
      <c r="C288" s="1" t="n">
        <v>46204</v>
      </c>
      <c r="D288" t="inlineStr">
        <is>
          <t>ÖREBRO LÄN</t>
        </is>
      </c>
      <c r="E288" t="inlineStr">
        <is>
          <t>HÄLLEFORS</t>
        </is>
      </c>
      <c r="G288" t="n">
        <v>1.9</v>
      </c>
      <c r="H288" t="n">
        <v>0</v>
      </c>
      <c r="I288" t="n">
        <v>0</v>
      </c>
      <c r="J288" t="n">
        <v>0</v>
      </c>
      <c r="K288" t="n">
        <v>0</v>
      </c>
      <c r="L288" t="n">
        <v>0</v>
      </c>
      <c r="M288" t="n">
        <v>0</v>
      </c>
      <c r="N288" t="n">
        <v>0</v>
      </c>
      <c r="O288" t="n">
        <v>0</v>
      </c>
      <c r="P288" t="n">
        <v>0</v>
      </c>
      <c r="Q288" t="n">
        <v>0</v>
      </c>
      <c r="R288" s="2" t="inlineStr"/>
    </row>
    <row r="289" ht="15" customHeight="1">
      <c r="A289" t="inlineStr">
        <is>
          <t>A 18979-2025</t>
        </is>
      </c>
      <c r="B289" s="1" t="n">
        <v>45764</v>
      </c>
      <c r="C289" s="1" t="n">
        <v>46204</v>
      </c>
      <c r="D289" t="inlineStr">
        <is>
          <t>ÖREBRO LÄN</t>
        </is>
      </c>
      <c r="E289" t="inlineStr">
        <is>
          <t>HÄLLEFORS</t>
        </is>
      </c>
      <c r="G289" t="n">
        <v>0.9</v>
      </c>
      <c r="H289" t="n">
        <v>0</v>
      </c>
      <c r="I289" t="n">
        <v>0</v>
      </c>
      <c r="J289" t="n">
        <v>0</v>
      </c>
      <c r="K289" t="n">
        <v>0</v>
      </c>
      <c r="L289" t="n">
        <v>0</v>
      </c>
      <c r="M289" t="n">
        <v>0</v>
      </c>
      <c r="N289" t="n">
        <v>0</v>
      </c>
      <c r="O289" t="n">
        <v>0</v>
      </c>
      <c r="P289" t="n">
        <v>0</v>
      </c>
      <c r="Q289" t="n">
        <v>0</v>
      </c>
      <c r="R289" s="2" t="inlineStr"/>
    </row>
    <row r="290" ht="15" customHeight="1">
      <c r="A290" t="inlineStr">
        <is>
          <t>A 47854-2025</t>
        </is>
      </c>
      <c r="B290" s="1" t="n">
        <v>45932</v>
      </c>
      <c r="C290" s="1" t="n">
        <v>46204</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35862-2024</t>
        </is>
      </c>
      <c r="B291" s="1" t="n">
        <v>45533</v>
      </c>
      <c r="C291" s="1" t="n">
        <v>46204</v>
      </c>
      <c r="D291" t="inlineStr">
        <is>
          <t>ÖREBRO LÄN</t>
        </is>
      </c>
      <c r="E291" t="inlineStr">
        <is>
          <t>HÄLLEFORS</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54843-2023</t>
        </is>
      </c>
      <c r="B292" s="1" t="n">
        <v>45236</v>
      </c>
      <c r="C292" s="1" t="n">
        <v>46204</v>
      </c>
      <c r="D292" t="inlineStr">
        <is>
          <t>ÖREBRO LÄN</t>
        </is>
      </c>
      <c r="E292" t="inlineStr">
        <is>
          <t>HÄLLEFORS</t>
        </is>
      </c>
      <c r="G292" t="n">
        <v>1.6</v>
      </c>
      <c r="H292" t="n">
        <v>0</v>
      </c>
      <c r="I292" t="n">
        <v>0</v>
      </c>
      <c r="J292" t="n">
        <v>0</v>
      </c>
      <c r="K292" t="n">
        <v>0</v>
      </c>
      <c r="L292" t="n">
        <v>0</v>
      </c>
      <c r="M292" t="n">
        <v>0</v>
      </c>
      <c r="N292" t="n">
        <v>0</v>
      </c>
      <c r="O292" t="n">
        <v>0</v>
      </c>
      <c r="P292" t="n">
        <v>0</v>
      </c>
      <c r="Q292" t="n">
        <v>0</v>
      </c>
      <c r="R292" s="2" t="inlineStr"/>
    </row>
    <row r="293" ht="15" customHeight="1">
      <c r="A293" t="inlineStr">
        <is>
          <t>A 37542-2024</t>
        </is>
      </c>
      <c r="B293" s="1" t="n">
        <v>45541</v>
      </c>
      <c r="C293" s="1" t="n">
        <v>46204</v>
      </c>
      <c r="D293" t="inlineStr">
        <is>
          <t>ÖREBRO LÄN</t>
        </is>
      </c>
      <c r="E293" t="inlineStr">
        <is>
          <t>HÄLLEFORS</t>
        </is>
      </c>
      <c r="G293" t="n">
        <v>1.6</v>
      </c>
      <c r="H293" t="n">
        <v>0</v>
      </c>
      <c r="I293" t="n">
        <v>0</v>
      </c>
      <c r="J293" t="n">
        <v>0</v>
      </c>
      <c r="K293" t="n">
        <v>0</v>
      </c>
      <c r="L293" t="n">
        <v>0</v>
      </c>
      <c r="M293" t="n">
        <v>0</v>
      </c>
      <c r="N293" t="n">
        <v>0</v>
      </c>
      <c r="O293" t="n">
        <v>0</v>
      </c>
      <c r="P293" t="n">
        <v>0</v>
      </c>
      <c r="Q293" t="n">
        <v>0</v>
      </c>
      <c r="R293" s="2" t="inlineStr"/>
    </row>
    <row r="294" ht="15" customHeight="1">
      <c r="A294" t="inlineStr">
        <is>
          <t>A 5583-2023</t>
        </is>
      </c>
      <c r="B294" s="1" t="n">
        <v>44960</v>
      </c>
      <c r="C294" s="1" t="n">
        <v>46204</v>
      </c>
      <c r="D294" t="inlineStr">
        <is>
          <t>ÖREBRO LÄN</t>
        </is>
      </c>
      <c r="E294" t="inlineStr">
        <is>
          <t>HÄLLEFORS</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22004-2026</t>
        </is>
      </c>
      <c r="B295" s="1" t="n">
        <v>46153</v>
      </c>
      <c r="C295" s="1" t="n">
        <v>46204</v>
      </c>
      <c r="D295" t="inlineStr">
        <is>
          <t>ÖREBRO LÄN</t>
        </is>
      </c>
      <c r="E295" t="inlineStr">
        <is>
          <t>HÄLLEFORS</t>
        </is>
      </c>
      <c r="F295" t="inlineStr">
        <is>
          <t>Bergvik skog väst AB</t>
        </is>
      </c>
      <c r="G295" t="n">
        <v>3.9</v>
      </c>
      <c r="H295" t="n">
        <v>0</v>
      </c>
      <c r="I295" t="n">
        <v>0</v>
      </c>
      <c r="J295" t="n">
        <v>0</v>
      </c>
      <c r="K295" t="n">
        <v>0</v>
      </c>
      <c r="L295" t="n">
        <v>0</v>
      </c>
      <c r="M295" t="n">
        <v>0</v>
      </c>
      <c r="N295" t="n">
        <v>0</v>
      </c>
      <c r="O295" t="n">
        <v>0</v>
      </c>
      <c r="P295" t="n">
        <v>0</v>
      </c>
      <c r="Q295" t="n">
        <v>0</v>
      </c>
      <c r="R295" s="2" t="inlineStr"/>
    </row>
    <row r="296" ht="15" customHeight="1">
      <c r="A296" t="inlineStr">
        <is>
          <t>A 44091-2024</t>
        </is>
      </c>
      <c r="B296" s="1" t="n">
        <v>45572</v>
      </c>
      <c r="C296" s="1" t="n">
        <v>46204</v>
      </c>
      <c r="D296" t="inlineStr">
        <is>
          <t>ÖREBRO LÄN</t>
        </is>
      </c>
      <c r="E296" t="inlineStr">
        <is>
          <t>HÄLLEFORS</t>
        </is>
      </c>
      <c r="G296" t="n">
        <v>1</v>
      </c>
      <c r="H296" t="n">
        <v>0</v>
      </c>
      <c r="I296" t="n">
        <v>0</v>
      </c>
      <c r="J296" t="n">
        <v>0</v>
      </c>
      <c r="K296" t="n">
        <v>0</v>
      </c>
      <c r="L296" t="n">
        <v>0</v>
      </c>
      <c r="M296" t="n">
        <v>0</v>
      </c>
      <c r="N296" t="n">
        <v>0</v>
      </c>
      <c r="O296" t="n">
        <v>0</v>
      </c>
      <c r="P296" t="n">
        <v>0</v>
      </c>
      <c r="Q296" t="n">
        <v>0</v>
      </c>
      <c r="R296" s="2" t="inlineStr"/>
    </row>
    <row r="297" ht="15" customHeight="1">
      <c r="A297" t="inlineStr">
        <is>
          <t>A 46642-2024</t>
        </is>
      </c>
      <c r="B297" s="1" t="n">
        <v>45583</v>
      </c>
      <c r="C297" s="1" t="n">
        <v>46204</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28215-2026</t>
        </is>
      </c>
      <c r="B298" s="1" t="n">
        <v>46196</v>
      </c>
      <c r="C298" s="1" t="n">
        <v>46204</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24359-2023</t>
        </is>
      </c>
      <c r="B299" s="1" t="n">
        <v>45082</v>
      </c>
      <c r="C299" s="1" t="n">
        <v>46204</v>
      </c>
      <c r="D299" t="inlineStr">
        <is>
          <t>ÖREBRO LÄN</t>
        </is>
      </c>
      <c r="E299" t="inlineStr">
        <is>
          <t>HÄLLEFORS</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1288-2024</t>
        </is>
      </c>
      <c r="B300" s="1" t="n">
        <v>45303</v>
      </c>
      <c r="C300" s="1" t="n">
        <v>46204</v>
      </c>
      <c r="D300" t="inlineStr">
        <is>
          <t>ÖREBRO LÄN</t>
        </is>
      </c>
      <c r="E300" t="inlineStr">
        <is>
          <t>HÄLLEFORS</t>
        </is>
      </c>
      <c r="G300" t="n">
        <v>1.2</v>
      </c>
      <c r="H300" t="n">
        <v>0</v>
      </c>
      <c r="I300" t="n">
        <v>0</v>
      </c>
      <c r="J300" t="n">
        <v>0</v>
      </c>
      <c r="K300" t="n">
        <v>0</v>
      </c>
      <c r="L300" t="n">
        <v>0</v>
      </c>
      <c r="M300" t="n">
        <v>0</v>
      </c>
      <c r="N300" t="n">
        <v>0</v>
      </c>
      <c r="O300" t="n">
        <v>0</v>
      </c>
      <c r="P300" t="n">
        <v>0</v>
      </c>
      <c r="Q300" t="n">
        <v>0</v>
      </c>
      <c r="R300" s="2" t="inlineStr"/>
    </row>
    <row r="301" ht="15" customHeight="1">
      <c r="A301" t="inlineStr">
        <is>
          <t>A 21541-2026</t>
        </is>
      </c>
      <c r="B301" s="1" t="n">
        <v>46148</v>
      </c>
      <c r="C301" s="1" t="n">
        <v>46204</v>
      </c>
      <c r="D301" t="inlineStr">
        <is>
          <t>ÖREBRO LÄN</t>
        </is>
      </c>
      <c r="E301" t="inlineStr">
        <is>
          <t>HÄLLEFORS</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58499-2022</t>
        </is>
      </c>
      <c r="B302" s="1" t="n">
        <v>44902</v>
      </c>
      <c r="C302" s="1" t="n">
        <v>46204</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38402-2023</t>
        </is>
      </c>
      <c r="B303" s="1" t="n">
        <v>45162</v>
      </c>
      <c r="C303" s="1" t="n">
        <v>46204</v>
      </c>
      <c r="D303" t="inlineStr">
        <is>
          <t>ÖREBRO LÄN</t>
        </is>
      </c>
      <c r="E303" t="inlineStr">
        <is>
          <t>HÄLLEFORS</t>
        </is>
      </c>
      <c r="F303" t="inlineStr">
        <is>
          <t>Bergvik skog väst AB</t>
        </is>
      </c>
      <c r="G303" t="n">
        <v>8.5</v>
      </c>
      <c r="H303" t="n">
        <v>0</v>
      </c>
      <c r="I303" t="n">
        <v>0</v>
      </c>
      <c r="J303" t="n">
        <v>0</v>
      </c>
      <c r="K303" t="n">
        <v>0</v>
      </c>
      <c r="L303" t="n">
        <v>0</v>
      </c>
      <c r="M303" t="n">
        <v>0</v>
      </c>
      <c r="N303" t="n">
        <v>0</v>
      </c>
      <c r="O303" t="n">
        <v>0</v>
      </c>
      <c r="P303" t="n">
        <v>0</v>
      </c>
      <c r="Q303" t="n">
        <v>0</v>
      </c>
      <c r="R303" s="2" t="inlineStr"/>
    </row>
    <row r="304" ht="15" customHeight="1">
      <c r="A304" t="inlineStr">
        <is>
          <t>A 11459-2024</t>
        </is>
      </c>
      <c r="B304" s="1" t="n">
        <v>45372</v>
      </c>
      <c r="C304" s="1" t="n">
        <v>46204</v>
      </c>
      <c r="D304" t="inlineStr">
        <is>
          <t>ÖREBRO LÄN</t>
        </is>
      </c>
      <c r="E304" t="inlineStr">
        <is>
          <t>HÄLLEFORS</t>
        </is>
      </c>
      <c r="G304" t="n">
        <v>2.2</v>
      </c>
      <c r="H304" t="n">
        <v>0</v>
      </c>
      <c r="I304" t="n">
        <v>0</v>
      </c>
      <c r="J304" t="n">
        <v>0</v>
      </c>
      <c r="K304" t="n">
        <v>0</v>
      </c>
      <c r="L304" t="n">
        <v>0</v>
      </c>
      <c r="M304" t="n">
        <v>0</v>
      </c>
      <c r="N304" t="n">
        <v>0</v>
      </c>
      <c r="O304" t="n">
        <v>0</v>
      </c>
      <c r="P304" t="n">
        <v>0</v>
      </c>
      <c r="Q304" t="n">
        <v>0</v>
      </c>
      <c r="R304" s="2" t="inlineStr"/>
    </row>
    <row r="305" ht="15" customHeight="1">
      <c r="A305" t="inlineStr">
        <is>
          <t>A 17811-2025</t>
        </is>
      </c>
      <c r="B305" s="1" t="n">
        <v>45758</v>
      </c>
      <c r="C305" s="1" t="n">
        <v>46204</v>
      </c>
      <c r="D305" t="inlineStr">
        <is>
          <t>ÖREBRO LÄN</t>
        </is>
      </c>
      <c r="E305" t="inlineStr">
        <is>
          <t>HÄLLEFORS</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14669-2025</t>
        </is>
      </c>
      <c r="B306" s="1" t="n">
        <v>45742</v>
      </c>
      <c r="C306" s="1" t="n">
        <v>46204</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17333-2025</t>
        </is>
      </c>
      <c r="B307" s="1" t="n">
        <v>45756</v>
      </c>
      <c r="C307" s="1" t="n">
        <v>46204</v>
      </c>
      <c r="D307" t="inlineStr">
        <is>
          <t>ÖREBRO LÄN</t>
        </is>
      </c>
      <c r="E307" t="inlineStr">
        <is>
          <t>HÄLLEFORS</t>
        </is>
      </c>
      <c r="G307" t="n">
        <v>1</v>
      </c>
      <c r="H307" t="n">
        <v>0</v>
      </c>
      <c r="I307" t="n">
        <v>0</v>
      </c>
      <c r="J307" t="n">
        <v>0</v>
      </c>
      <c r="K307" t="n">
        <v>0</v>
      </c>
      <c r="L307" t="n">
        <v>0</v>
      </c>
      <c r="M307" t="n">
        <v>0</v>
      </c>
      <c r="N307" t="n">
        <v>0</v>
      </c>
      <c r="O307" t="n">
        <v>0</v>
      </c>
      <c r="P307" t="n">
        <v>0</v>
      </c>
      <c r="Q307" t="n">
        <v>0</v>
      </c>
      <c r="R307" s="2" t="inlineStr"/>
    </row>
    <row r="308" ht="15" customHeight="1">
      <c r="A308" t="inlineStr">
        <is>
          <t>A 7774-2022</t>
        </is>
      </c>
      <c r="B308" s="1" t="n">
        <v>44608</v>
      </c>
      <c r="C308" s="1" t="n">
        <v>46204</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2283-2023</t>
        </is>
      </c>
      <c r="B309" s="1" t="n">
        <v>44942</v>
      </c>
      <c r="C309" s="1" t="n">
        <v>46204</v>
      </c>
      <c r="D309" t="inlineStr">
        <is>
          <t>ÖREBRO LÄN</t>
        </is>
      </c>
      <c r="E309" t="inlineStr">
        <is>
          <t>HÄLLEFORS</t>
        </is>
      </c>
      <c r="G309" t="n">
        <v>3.2</v>
      </c>
      <c r="H309" t="n">
        <v>0</v>
      </c>
      <c r="I309" t="n">
        <v>0</v>
      </c>
      <c r="J309" t="n">
        <v>0</v>
      </c>
      <c r="K309" t="n">
        <v>0</v>
      </c>
      <c r="L309" t="n">
        <v>0</v>
      </c>
      <c r="M309" t="n">
        <v>0</v>
      </c>
      <c r="N309" t="n">
        <v>0</v>
      </c>
      <c r="O309" t="n">
        <v>0</v>
      </c>
      <c r="P309" t="n">
        <v>0</v>
      </c>
      <c r="Q309" t="n">
        <v>0</v>
      </c>
      <c r="R309" s="2" t="inlineStr"/>
    </row>
    <row r="310" ht="15" customHeight="1">
      <c r="A310" t="inlineStr">
        <is>
          <t>A 43886-2024</t>
        </is>
      </c>
      <c r="B310" s="1" t="n">
        <v>45572</v>
      </c>
      <c r="C310" s="1" t="n">
        <v>46204</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60523-2024</t>
        </is>
      </c>
      <c r="B311" s="1" t="n">
        <v>45643</v>
      </c>
      <c r="C311" s="1" t="n">
        <v>46204</v>
      </c>
      <c r="D311" t="inlineStr">
        <is>
          <t>ÖREBRO LÄN</t>
        </is>
      </c>
      <c r="E311" t="inlineStr">
        <is>
          <t>HÄLLEFORS</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40530-2022</t>
        </is>
      </c>
      <c r="B312" s="1" t="n">
        <v>44823</v>
      </c>
      <c r="C312" s="1" t="n">
        <v>46204</v>
      </c>
      <c r="D312" t="inlineStr">
        <is>
          <t>ÖREBRO LÄN</t>
        </is>
      </c>
      <c r="E312" t="inlineStr">
        <is>
          <t>HÄLLEFORS</t>
        </is>
      </c>
      <c r="G312" t="n">
        <v>0.6</v>
      </c>
      <c r="H312" t="n">
        <v>0</v>
      </c>
      <c r="I312" t="n">
        <v>0</v>
      </c>
      <c r="J312" t="n">
        <v>0</v>
      </c>
      <c r="K312" t="n">
        <v>0</v>
      </c>
      <c r="L312" t="n">
        <v>0</v>
      </c>
      <c r="M312" t="n">
        <v>0</v>
      </c>
      <c r="N312" t="n">
        <v>0</v>
      </c>
      <c r="O312" t="n">
        <v>0</v>
      </c>
      <c r="P312" t="n">
        <v>0</v>
      </c>
      <c r="Q312" t="n">
        <v>0</v>
      </c>
      <c r="R312" s="2" t="inlineStr"/>
    </row>
    <row r="313" ht="15" customHeight="1">
      <c r="A313" t="inlineStr">
        <is>
          <t>A 9536-2025</t>
        </is>
      </c>
      <c r="B313" s="1" t="n">
        <v>45715</v>
      </c>
      <c r="C313" s="1" t="n">
        <v>46204</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17120-2025</t>
        </is>
      </c>
      <c r="B314" s="1" t="n">
        <v>45755</v>
      </c>
      <c r="C314" s="1" t="n">
        <v>46204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46204</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17661-2025</t>
        </is>
      </c>
      <c r="B316" s="1" t="n">
        <v>45758</v>
      </c>
      <c r="C316" s="1" t="n">
        <v>46204</v>
      </c>
      <c r="D316" t="inlineStr">
        <is>
          <t>ÖREBRO LÄN</t>
        </is>
      </c>
      <c r="E316" t="inlineStr">
        <is>
          <t>HÄLLEFORS</t>
        </is>
      </c>
      <c r="G316" t="n">
        <v>2.1</v>
      </c>
      <c r="H316" t="n">
        <v>0</v>
      </c>
      <c r="I316" t="n">
        <v>0</v>
      </c>
      <c r="J316" t="n">
        <v>0</v>
      </c>
      <c r="K316" t="n">
        <v>0</v>
      </c>
      <c r="L316" t="n">
        <v>0</v>
      </c>
      <c r="M316" t="n">
        <v>0</v>
      </c>
      <c r="N316" t="n">
        <v>0</v>
      </c>
      <c r="O316" t="n">
        <v>0</v>
      </c>
      <c r="P316" t="n">
        <v>0</v>
      </c>
      <c r="Q316" t="n">
        <v>0</v>
      </c>
      <c r="R316" s="2" t="inlineStr"/>
    </row>
    <row r="317" ht="15" customHeight="1">
      <c r="A317" t="inlineStr">
        <is>
          <t>A 59957-2024</t>
        </is>
      </c>
      <c r="B317" s="1" t="n">
        <v>45642</v>
      </c>
      <c r="C317" s="1" t="n">
        <v>46204</v>
      </c>
      <c r="D317" t="inlineStr">
        <is>
          <t>ÖREBRO LÄN</t>
        </is>
      </c>
      <c r="E317" t="inlineStr">
        <is>
          <t>HÄLLEFORS</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59959-2024</t>
        </is>
      </c>
      <c r="B318" s="1" t="n">
        <v>45642</v>
      </c>
      <c r="C318" s="1" t="n">
        <v>46204</v>
      </c>
      <c r="D318" t="inlineStr">
        <is>
          <t>ÖREBRO LÄN</t>
        </is>
      </c>
      <c r="E318" t="inlineStr">
        <is>
          <t>HÄLLEFORS</t>
        </is>
      </c>
      <c r="F318" t="inlineStr">
        <is>
          <t>Bergvik skog väst AB</t>
        </is>
      </c>
      <c r="G318" t="n">
        <v>4.9</v>
      </c>
      <c r="H318" t="n">
        <v>0</v>
      </c>
      <c r="I318" t="n">
        <v>0</v>
      </c>
      <c r="J318" t="n">
        <v>0</v>
      </c>
      <c r="K318" t="n">
        <v>0</v>
      </c>
      <c r="L318" t="n">
        <v>0</v>
      </c>
      <c r="M318" t="n">
        <v>0</v>
      </c>
      <c r="N318" t="n">
        <v>0</v>
      </c>
      <c r="O318" t="n">
        <v>0</v>
      </c>
      <c r="P318" t="n">
        <v>0</v>
      </c>
      <c r="Q318" t="n">
        <v>0</v>
      </c>
      <c r="R318" s="2" t="inlineStr"/>
    </row>
    <row r="319" ht="15" customHeight="1">
      <c r="A319" t="inlineStr">
        <is>
          <t>A 59557-2022</t>
        </is>
      </c>
      <c r="B319" s="1" t="n">
        <v>44907</v>
      </c>
      <c r="C319" s="1" t="n">
        <v>46204</v>
      </c>
      <c r="D319" t="inlineStr">
        <is>
          <t>ÖREBRO LÄN</t>
        </is>
      </c>
      <c r="E319" t="inlineStr">
        <is>
          <t>HÄLLEFORS</t>
        </is>
      </c>
      <c r="F319" t="inlineStr">
        <is>
          <t>Bergvik skog väst AB</t>
        </is>
      </c>
      <c r="G319" t="n">
        <v>11.2</v>
      </c>
      <c r="H319" t="n">
        <v>0</v>
      </c>
      <c r="I319" t="n">
        <v>0</v>
      </c>
      <c r="J319" t="n">
        <v>0</v>
      </c>
      <c r="K319" t="n">
        <v>0</v>
      </c>
      <c r="L319" t="n">
        <v>0</v>
      </c>
      <c r="M319" t="n">
        <v>0</v>
      </c>
      <c r="N319" t="n">
        <v>0</v>
      </c>
      <c r="O319" t="n">
        <v>0</v>
      </c>
      <c r="P319" t="n">
        <v>0</v>
      </c>
      <c r="Q319" t="n">
        <v>0</v>
      </c>
      <c r="R319" s="2" t="inlineStr"/>
    </row>
    <row r="320" ht="15" customHeight="1">
      <c r="A320" t="inlineStr">
        <is>
          <t>A 20670-2025</t>
        </is>
      </c>
      <c r="B320" s="1" t="n">
        <v>45776</v>
      </c>
      <c r="C320" s="1" t="n">
        <v>46204</v>
      </c>
      <c r="D320" t="inlineStr">
        <is>
          <t>ÖREBRO LÄN</t>
        </is>
      </c>
      <c r="E320" t="inlineStr">
        <is>
          <t>HÄLLEFORS</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18891-2025</t>
        </is>
      </c>
      <c r="B321" s="1" t="n">
        <v>45764</v>
      </c>
      <c r="C321" s="1" t="n">
        <v>46204</v>
      </c>
      <c r="D321" t="inlineStr">
        <is>
          <t>ÖREBRO LÄN</t>
        </is>
      </c>
      <c r="E321" t="inlineStr">
        <is>
          <t>HÄLLEFORS</t>
        </is>
      </c>
      <c r="G321" t="n">
        <v>2.2</v>
      </c>
      <c r="H321" t="n">
        <v>0</v>
      </c>
      <c r="I321" t="n">
        <v>0</v>
      </c>
      <c r="J321" t="n">
        <v>0</v>
      </c>
      <c r="K321" t="n">
        <v>0</v>
      </c>
      <c r="L321" t="n">
        <v>0</v>
      </c>
      <c r="M321" t="n">
        <v>0</v>
      </c>
      <c r="N321" t="n">
        <v>0</v>
      </c>
      <c r="O321" t="n">
        <v>0</v>
      </c>
      <c r="P321" t="n">
        <v>0</v>
      </c>
      <c r="Q321" t="n">
        <v>0</v>
      </c>
      <c r="R321" s="2" t="inlineStr"/>
    </row>
    <row r="322" ht="15" customHeight="1">
      <c r="A322" t="inlineStr">
        <is>
          <t>A 30307-2024</t>
        </is>
      </c>
      <c r="B322" s="1" t="n">
        <v>45490</v>
      </c>
      <c r="C322" s="1" t="n">
        <v>46204</v>
      </c>
      <c r="D322" t="inlineStr">
        <is>
          <t>ÖREBRO LÄN</t>
        </is>
      </c>
      <c r="E322" t="inlineStr">
        <is>
          <t>HÄLLEFORS</t>
        </is>
      </c>
      <c r="G322" t="n">
        <v>2.5</v>
      </c>
      <c r="H322" t="n">
        <v>0</v>
      </c>
      <c r="I322" t="n">
        <v>0</v>
      </c>
      <c r="J322" t="n">
        <v>0</v>
      </c>
      <c r="K322" t="n">
        <v>0</v>
      </c>
      <c r="L322" t="n">
        <v>0</v>
      </c>
      <c r="M322" t="n">
        <v>0</v>
      </c>
      <c r="N322" t="n">
        <v>0</v>
      </c>
      <c r="O322" t="n">
        <v>0</v>
      </c>
      <c r="P322" t="n">
        <v>0</v>
      </c>
      <c r="Q322" t="n">
        <v>0</v>
      </c>
      <c r="R322" s="2" t="inlineStr"/>
    </row>
    <row r="323" ht="15" customHeight="1">
      <c r="A323" t="inlineStr">
        <is>
          <t>A 18168-2024</t>
        </is>
      </c>
      <c r="B323" s="1" t="n">
        <v>45420</v>
      </c>
      <c r="C323" s="1" t="n">
        <v>46204</v>
      </c>
      <c r="D323" t="inlineStr">
        <is>
          <t>ÖREBRO LÄN</t>
        </is>
      </c>
      <c r="E323" t="inlineStr">
        <is>
          <t>HÄLLEFORS</t>
        </is>
      </c>
      <c r="G323" t="n">
        <v>1.4</v>
      </c>
      <c r="H323" t="n">
        <v>0</v>
      </c>
      <c r="I323" t="n">
        <v>0</v>
      </c>
      <c r="J323" t="n">
        <v>0</v>
      </c>
      <c r="K323" t="n">
        <v>0</v>
      </c>
      <c r="L323" t="n">
        <v>0</v>
      </c>
      <c r="M323" t="n">
        <v>0</v>
      </c>
      <c r="N323" t="n">
        <v>0</v>
      </c>
      <c r="O323" t="n">
        <v>0</v>
      </c>
      <c r="P323" t="n">
        <v>0</v>
      </c>
      <c r="Q323" t="n">
        <v>0</v>
      </c>
      <c r="R323" s="2" t="inlineStr"/>
    </row>
    <row r="324" ht="15" customHeight="1">
      <c r="A324" t="inlineStr">
        <is>
          <t>A 18878-2025</t>
        </is>
      </c>
      <c r="B324" s="1" t="n">
        <v>45764</v>
      </c>
      <c r="C324" s="1" t="n">
        <v>46204</v>
      </c>
      <c r="D324" t="inlineStr">
        <is>
          <t>ÖREBRO LÄN</t>
        </is>
      </c>
      <c r="E324" t="inlineStr">
        <is>
          <t>HÄLLEFORS</t>
        </is>
      </c>
      <c r="G324" t="n">
        <v>1.4</v>
      </c>
      <c r="H324" t="n">
        <v>0</v>
      </c>
      <c r="I324" t="n">
        <v>0</v>
      </c>
      <c r="J324" t="n">
        <v>0</v>
      </c>
      <c r="K324" t="n">
        <v>0</v>
      </c>
      <c r="L324" t="n">
        <v>0</v>
      </c>
      <c r="M324" t="n">
        <v>0</v>
      </c>
      <c r="N324" t="n">
        <v>0</v>
      </c>
      <c r="O324" t="n">
        <v>0</v>
      </c>
      <c r="P324" t="n">
        <v>0</v>
      </c>
      <c r="Q324" t="n">
        <v>0</v>
      </c>
      <c r="R324" s="2" t="inlineStr"/>
    </row>
    <row r="325" ht="15" customHeight="1">
      <c r="A325" t="inlineStr">
        <is>
          <t>A 53340-2024</t>
        </is>
      </c>
      <c r="B325" s="1" t="n">
        <v>45614</v>
      </c>
      <c r="C325" s="1" t="n">
        <v>46204</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18852-2025</t>
        </is>
      </c>
      <c r="B326" s="1" t="n">
        <v>45764</v>
      </c>
      <c r="C326" s="1" t="n">
        <v>46204</v>
      </c>
      <c r="D326" t="inlineStr">
        <is>
          <t>ÖREBRO LÄN</t>
        </is>
      </c>
      <c r="E326" t="inlineStr">
        <is>
          <t>HÄLLEFORS</t>
        </is>
      </c>
      <c r="G326" t="n">
        <v>6.8</v>
      </c>
      <c r="H326" t="n">
        <v>0</v>
      </c>
      <c r="I326" t="n">
        <v>0</v>
      </c>
      <c r="J326" t="n">
        <v>0</v>
      </c>
      <c r="K326" t="n">
        <v>0</v>
      </c>
      <c r="L326" t="n">
        <v>0</v>
      </c>
      <c r="M326" t="n">
        <v>0</v>
      </c>
      <c r="N326" t="n">
        <v>0</v>
      </c>
      <c r="O326" t="n">
        <v>0</v>
      </c>
      <c r="P326" t="n">
        <v>0</v>
      </c>
      <c r="Q326" t="n">
        <v>0</v>
      </c>
      <c r="R326" s="2" t="inlineStr"/>
    </row>
    <row r="327" ht="15" customHeight="1">
      <c r="A327" t="inlineStr">
        <is>
          <t>A 18869-2025</t>
        </is>
      </c>
      <c r="B327" s="1" t="n">
        <v>45764</v>
      </c>
      <c r="C327" s="1" t="n">
        <v>46204</v>
      </c>
      <c r="D327" t="inlineStr">
        <is>
          <t>ÖREBRO LÄN</t>
        </is>
      </c>
      <c r="E327" t="inlineStr">
        <is>
          <t>HÄLLEFORS</t>
        </is>
      </c>
      <c r="G327" t="n">
        <v>3.7</v>
      </c>
      <c r="H327" t="n">
        <v>0</v>
      </c>
      <c r="I327" t="n">
        <v>0</v>
      </c>
      <c r="J327" t="n">
        <v>0</v>
      </c>
      <c r="K327" t="n">
        <v>0</v>
      </c>
      <c r="L327" t="n">
        <v>0</v>
      </c>
      <c r="M327" t="n">
        <v>0</v>
      </c>
      <c r="N327" t="n">
        <v>0</v>
      </c>
      <c r="O327" t="n">
        <v>0</v>
      </c>
      <c r="P327" t="n">
        <v>0</v>
      </c>
      <c r="Q327" t="n">
        <v>0</v>
      </c>
      <c r="R327" s="2" t="inlineStr"/>
    </row>
    <row r="328" ht="15" customHeight="1">
      <c r="A328" t="inlineStr">
        <is>
          <t>A 35106-2023</t>
        </is>
      </c>
      <c r="B328" s="1" t="n">
        <v>45145</v>
      </c>
      <c r="C328" s="1" t="n">
        <v>46204</v>
      </c>
      <c r="D328" t="inlineStr">
        <is>
          <t>ÖREBRO LÄN</t>
        </is>
      </c>
      <c r="E328" t="inlineStr">
        <is>
          <t>HÄLLEFORS</t>
        </is>
      </c>
      <c r="F328" t="inlineStr">
        <is>
          <t>Bergvik skog väst AB</t>
        </is>
      </c>
      <c r="G328" t="n">
        <v>13.9</v>
      </c>
      <c r="H328" t="n">
        <v>0</v>
      </c>
      <c r="I328" t="n">
        <v>0</v>
      </c>
      <c r="J328" t="n">
        <v>0</v>
      </c>
      <c r="K328" t="n">
        <v>0</v>
      </c>
      <c r="L328" t="n">
        <v>0</v>
      </c>
      <c r="M328" t="n">
        <v>0</v>
      </c>
      <c r="N328" t="n">
        <v>0</v>
      </c>
      <c r="O328" t="n">
        <v>0</v>
      </c>
      <c r="P328" t="n">
        <v>0</v>
      </c>
      <c r="Q328" t="n">
        <v>0</v>
      </c>
      <c r="R328" s="2" t="inlineStr"/>
    </row>
    <row r="329" ht="15" customHeight="1">
      <c r="A329" t="inlineStr">
        <is>
          <t>A 21852-2025</t>
        </is>
      </c>
      <c r="B329" s="1" t="n">
        <v>45784</v>
      </c>
      <c r="C329" s="1" t="n">
        <v>46204</v>
      </c>
      <c r="D329" t="inlineStr">
        <is>
          <t>ÖREBRO LÄN</t>
        </is>
      </c>
      <c r="E329" t="inlineStr">
        <is>
          <t>HÄLLEFORS</t>
        </is>
      </c>
      <c r="G329" t="n">
        <v>4.2</v>
      </c>
      <c r="H329" t="n">
        <v>0</v>
      </c>
      <c r="I329" t="n">
        <v>0</v>
      </c>
      <c r="J329" t="n">
        <v>0</v>
      </c>
      <c r="K329" t="n">
        <v>0</v>
      </c>
      <c r="L329" t="n">
        <v>0</v>
      </c>
      <c r="M329" t="n">
        <v>0</v>
      </c>
      <c r="N329" t="n">
        <v>0</v>
      </c>
      <c r="O329" t="n">
        <v>0</v>
      </c>
      <c r="P329" t="n">
        <v>0</v>
      </c>
      <c r="Q329" t="n">
        <v>0</v>
      </c>
      <c r="R329" s="2" t="inlineStr"/>
    </row>
    <row r="330" ht="15" customHeight="1">
      <c r="A330" t="inlineStr">
        <is>
          <t>A 47907-2024</t>
        </is>
      </c>
      <c r="B330" s="1" t="n">
        <v>45589</v>
      </c>
      <c r="C330" s="1" t="n">
        <v>46204</v>
      </c>
      <c r="D330" t="inlineStr">
        <is>
          <t>ÖREBRO LÄN</t>
        </is>
      </c>
      <c r="E330" t="inlineStr">
        <is>
          <t>HÄLLEFORS</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59963-2024</t>
        </is>
      </c>
      <c r="B331" s="1" t="n">
        <v>45642</v>
      </c>
      <c r="C331" s="1" t="n">
        <v>46204</v>
      </c>
      <c r="D331" t="inlineStr">
        <is>
          <t>ÖREBRO LÄN</t>
        </is>
      </c>
      <c r="E331" t="inlineStr">
        <is>
          <t>HÄLLEFORS</t>
        </is>
      </c>
      <c r="F331" t="inlineStr">
        <is>
          <t>Bergvik skog väst AB</t>
        </is>
      </c>
      <c r="G331" t="n">
        <v>8.4</v>
      </c>
      <c r="H331" t="n">
        <v>0</v>
      </c>
      <c r="I331" t="n">
        <v>0</v>
      </c>
      <c r="J331" t="n">
        <v>0</v>
      </c>
      <c r="K331" t="n">
        <v>0</v>
      </c>
      <c r="L331" t="n">
        <v>0</v>
      </c>
      <c r="M331" t="n">
        <v>0</v>
      </c>
      <c r="N331" t="n">
        <v>0</v>
      </c>
      <c r="O331" t="n">
        <v>0</v>
      </c>
      <c r="P331" t="n">
        <v>0</v>
      </c>
      <c r="Q331" t="n">
        <v>0</v>
      </c>
      <c r="R331" s="2" t="inlineStr"/>
    </row>
    <row r="332" ht="15" customHeight="1">
      <c r="A332" t="inlineStr">
        <is>
          <t>A 36090-2024</t>
        </is>
      </c>
      <c r="B332" s="1" t="n">
        <v>45533</v>
      </c>
      <c r="C332" s="1" t="n">
        <v>46204</v>
      </c>
      <c r="D332" t="inlineStr">
        <is>
          <t>ÖREBRO LÄN</t>
        </is>
      </c>
      <c r="E332" t="inlineStr">
        <is>
          <t>HÄLLEFORS</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35860-2024</t>
        </is>
      </c>
      <c r="B333" s="1" t="n">
        <v>45533</v>
      </c>
      <c r="C333" s="1" t="n">
        <v>46204</v>
      </c>
      <c r="D333" t="inlineStr">
        <is>
          <t>ÖREBRO LÄN</t>
        </is>
      </c>
      <c r="E333" t="inlineStr">
        <is>
          <t>HÄLLEFORS</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53344-2024</t>
        </is>
      </c>
      <c r="B334" s="1" t="n">
        <v>45614</v>
      </c>
      <c r="C334" s="1" t="n">
        <v>46204</v>
      </c>
      <c r="D334" t="inlineStr">
        <is>
          <t>ÖREBRO LÄN</t>
        </is>
      </c>
      <c r="E334" t="inlineStr">
        <is>
          <t>HÄLLEFORS</t>
        </is>
      </c>
      <c r="G334" t="n">
        <v>0.9</v>
      </c>
      <c r="H334" t="n">
        <v>0</v>
      </c>
      <c r="I334" t="n">
        <v>0</v>
      </c>
      <c r="J334" t="n">
        <v>0</v>
      </c>
      <c r="K334" t="n">
        <v>0</v>
      </c>
      <c r="L334" t="n">
        <v>0</v>
      </c>
      <c r="M334" t="n">
        <v>0</v>
      </c>
      <c r="N334" t="n">
        <v>0</v>
      </c>
      <c r="O334" t="n">
        <v>0</v>
      </c>
      <c r="P334" t="n">
        <v>0</v>
      </c>
      <c r="Q334" t="n">
        <v>0</v>
      </c>
      <c r="R334" s="2" t="inlineStr"/>
    </row>
    <row r="335" ht="15" customHeight="1">
      <c r="A335" t="inlineStr">
        <is>
          <t>A 25059-2024</t>
        </is>
      </c>
      <c r="B335" s="1" t="n">
        <v>45462</v>
      </c>
      <c r="C335" s="1" t="n">
        <v>46204</v>
      </c>
      <c r="D335" t="inlineStr">
        <is>
          <t>ÖREBRO LÄN</t>
        </is>
      </c>
      <c r="E335" t="inlineStr">
        <is>
          <t>HÄLLEFORS</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60306-2024</t>
        </is>
      </c>
      <c r="B336" s="1" t="n">
        <v>45643</v>
      </c>
      <c r="C336" s="1" t="n">
        <v>46204</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28564-2024</t>
        </is>
      </c>
      <c r="B337" s="1" t="n">
        <v>45478</v>
      </c>
      <c r="C337" s="1" t="n">
        <v>46204</v>
      </c>
      <c r="D337" t="inlineStr">
        <is>
          <t>ÖREBRO LÄN</t>
        </is>
      </c>
      <c r="E337" t="inlineStr">
        <is>
          <t>HÄLLEFORS</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36114-2024</t>
        </is>
      </c>
      <c r="B338" s="1" t="n">
        <v>45534</v>
      </c>
      <c r="C338" s="1" t="n">
        <v>46204</v>
      </c>
      <c r="D338" t="inlineStr">
        <is>
          <t>ÖREBRO LÄN</t>
        </is>
      </c>
      <c r="E338" t="inlineStr">
        <is>
          <t>HÄLLEFORS</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32937-2024</t>
        </is>
      </c>
      <c r="B339" s="1" t="n">
        <v>45517</v>
      </c>
      <c r="C339" s="1" t="n">
        <v>46204</v>
      </c>
      <c r="D339" t="inlineStr">
        <is>
          <t>ÖREBRO LÄN</t>
        </is>
      </c>
      <c r="E339" t="inlineStr">
        <is>
          <t>HÄLLEFORS</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47811-2024</t>
        </is>
      </c>
      <c r="B340" s="1" t="n">
        <v>45588</v>
      </c>
      <c r="C340" s="1" t="n">
        <v>46204</v>
      </c>
      <c r="D340" t="inlineStr">
        <is>
          <t>ÖREBRO LÄN</t>
        </is>
      </c>
      <c r="E340" t="inlineStr">
        <is>
          <t>HÄLLEFORS</t>
        </is>
      </c>
      <c r="F340" t="inlineStr">
        <is>
          <t>Bergvik skog väst AB</t>
        </is>
      </c>
      <c r="G340" t="n">
        <v>5.9</v>
      </c>
      <c r="H340" t="n">
        <v>0</v>
      </c>
      <c r="I340" t="n">
        <v>0</v>
      </c>
      <c r="J340" t="n">
        <v>0</v>
      </c>
      <c r="K340" t="n">
        <v>0</v>
      </c>
      <c r="L340" t="n">
        <v>0</v>
      </c>
      <c r="M340" t="n">
        <v>0</v>
      </c>
      <c r="N340" t="n">
        <v>0</v>
      </c>
      <c r="O340" t="n">
        <v>0</v>
      </c>
      <c r="P340" t="n">
        <v>0</v>
      </c>
      <c r="Q340" t="n">
        <v>0</v>
      </c>
      <c r="R340" s="2" t="inlineStr"/>
    </row>
    <row r="341" ht="15" customHeight="1">
      <c r="A341" t="inlineStr">
        <is>
          <t>A 53035-2022</t>
        </is>
      </c>
      <c r="B341" s="1" t="n">
        <v>44876</v>
      </c>
      <c r="C341" s="1" t="n">
        <v>46204</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7066-2024</t>
        </is>
      </c>
      <c r="B342" s="1" t="n">
        <v>45343</v>
      </c>
      <c r="C342" s="1" t="n">
        <v>46204</v>
      </c>
      <c r="D342" t="inlineStr">
        <is>
          <t>ÖREBRO LÄN</t>
        </is>
      </c>
      <c r="E342" t="inlineStr">
        <is>
          <t>HÄLLEFORS</t>
        </is>
      </c>
      <c r="G342" t="n">
        <v>1.2</v>
      </c>
      <c r="H342" t="n">
        <v>0</v>
      </c>
      <c r="I342" t="n">
        <v>0</v>
      </c>
      <c r="J342" t="n">
        <v>0</v>
      </c>
      <c r="K342" t="n">
        <v>0</v>
      </c>
      <c r="L342" t="n">
        <v>0</v>
      </c>
      <c r="M342" t="n">
        <v>0</v>
      </c>
      <c r="N342" t="n">
        <v>0</v>
      </c>
      <c r="O342" t="n">
        <v>0</v>
      </c>
      <c r="P342" t="n">
        <v>0</v>
      </c>
      <c r="Q342" t="n">
        <v>0</v>
      </c>
      <c r="R342" s="2" t="inlineStr"/>
    </row>
    <row r="343" ht="15" customHeight="1">
      <c r="A343" t="inlineStr">
        <is>
          <t>A 12648-2025</t>
        </is>
      </c>
      <c r="B343" s="1" t="n">
        <v>45733</v>
      </c>
      <c r="C343" s="1" t="n">
        <v>46204</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35861-2024</t>
        </is>
      </c>
      <c r="B344" s="1" t="n">
        <v>45533</v>
      </c>
      <c r="C344" s="1" t="n">
        <v>46204</v>
      </c>
      <c r="D344" t="inlineStr">
        <is>
          <t>ÖREBRO LÄN</t>
        </is>
      </c>
      <c r="E344" t="inlineStr">
        <is>
          <t>HÄLLEFORS</t>
        </is>
      </c>
      <c r="F344" t="inlineStr">
        <is>
          <t>Bergvik skog väst AB</t>
        </is>
      </c>
      <c r="G344" t="n">
        <v>25.9</v>
      </c>
      <c r="H344" t="n">
        <v>0</v>
      </c>
      <c r="I344" t="n">
        <v>0</v>
      </c>
      <c r="J344" t="n">
        <v>0</v>
      </c>
      <c r="K344" t="n">
        <v>0</v>
      </c>
      <c r="L344" t="n">
        <v>0</v>
      </c>
      <c r="M344" t="n">
        <v>0</v>
      </c>
      <c r="N344" t="n">
        <v>0</v>
      </c>
      <c r="O344" t="n">
        <v>0</v>
      </c>
      <c r="P344" t="n">
        <v>0</v>
      </c>
      <c r="Q344" t="n">
        <v>0</v>
      </c>
      <c r="R344" s="2" t="inlineStr"/>
    </row>
    <row r="345" ht="15" customHeight="1">
      <c r="A345" t="inlineStr">
        <is>
          <t>A 44122-2024</t>
        </is>
      </c>
      <c r="B345" s="1" t="n">
        <v>45572</v>
      </c>
      <c r="C345" s="1" t="n">
        <v>46204</v>
      </c>
      <c r="D345" t="inlineStr">
        <is>
          <t>ÖREBRO LÄN</t>
        </is>
      </c>
      <c r="E345" t="inlineStr">
        <is>
          <t>HÄLLEFORS</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54995-2024</t>
        </is>
      </c>
      <c r="B346" s="1" t="n">
        <v>45621</v>
      </c>
      <c r="C346" s="1" t="n">
        <v>46204</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5237-2025</t>
        </is>
      </c>
      <c r="B347" s="1" t="n">
        <v>45692</v>
      </c>
      <c r="C347" s="1" t="n">
        <v>46204</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5042-2025</t>
        </is>
      </c>
      <c r="B348" s="1" t="n">
        <v>45691</v>
      </c>
      <c r="C348" s="1" t="n">
        <v>46204</v>
      </c>
      <c r="D348" t="inlineStr">
        <is>
          <t>ÖREBRO LÄN</t>
        </is>
      </c>
      <c r="E348" t="inlineStr">
        <is>
          <t>HÄLLEFORS</t>
        </is>
      </c>
      <c r="F348" t="inlineStr">
        <is>
          <t>Bergvik skog väst AB</t>
        </is>
      </c>
      <c r="G348" t="n">
        <v>3.3</v>
      </c>
      <c r="H348" t="n">
        <v>0</v>
      </c>
      <c r="I348" t="n">
        <v>0</v>
      </c>
      <c r="J348" t="n">
        <v>0</v>
      </c>
      <c r="K348" t="n">
        <v>0</v>
      </c>
      <c r="L348" t="n">
        <v>0</v>
      </c>
      <c r="M348" t="n">
        <v>0</v>
      </c>
      <c r="N348" t="n">
        <v>0</v>
      </c>
      <c r="O348" t="n">
        <v>0</v>
      </c>
      <c r="P348" t="n">
        <v>0</v>
      </c>
      <c r="Q348" t="n">
        <v>0</v>
      </c>
      <c r="R348" s="2" t="inlineStr"/>
    </row>
    <row r="349" ht="15" customHeight="1">
      <c r="A349" t="inlineStr">
        <is>
          <t>A 16927-2025</t>
        </is>
      </c>
      <c r="B349" s="1" t="n">
        <v>45755</v>
      </c>
      <c r="C349" s="1" t="n">
        <v>46204</v>
      </c>
      <c r="D349" t="inlineStr">
        <is>
          <t>ÖREBRO LÄN</t>
        </is>
      </c>
      <c r="E349" t="inlineStr">
        <is>
          <t>HÄLLEFORS</t>
        </is>
      </c>
      <c r="F349" t="inlineStr">
        <is>
          <t>Bergvik skog väst AB</t>
        </is>
      </c>
      <c r="G349" t="n">
        <v>4.1</v>
      </c>
      <c r="H349" t="n">
        <v>0</v>
      </c>
      <c r="I349" t="n">
        <v>0</v>
      </c>
      <c r="J349" t="n">
        <v>0</v>
      </c>
      <c r="K349" t="n">
        <v>0</v>
      </c>
      <c r="L349" t="n">
        <v>0</v>
      </c>
      <c r="M349" t="n">
        <v>0</v>
      </c>
      <c r="N349" t="n">
        <v>0</v>
      </c>
      <c r="O349" t="n">
        <v>0</v>
      </c>
      <c r="P349" t="n">
        <v>0</v>
      </c>
      <c r="Q349" t="n">
        <v>0</v>
      </c>
      <c r="R349" s="2" t="inlineStr"/>
    </row>
    <row r="350" ht="15" customHeight="1">
      <c r="A350" t="inlineStr">
        <is>
          <t>A 39031-2022</t>
        </is>
      </c>
      <c r="B350" s="1" t="n">
        <v>44817</v>
      </c>
      <c r="C350" s="1" t="n">
        <v>46204</v>
      </c>
      <c r="D350" t="inlineStr">
        <is>
          <t>ÖREBRO LÄN</t>
        </is>
      </c>
      <c r="E350" t="inlineStr">
        <is>
          <t>HÄLLEFORS</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28975-2025</t>
        </is>
      </c>
      <c r="B351" s="1" t="n">
        <v>45821</v>
      </c>
      <c r="C351" s="1" t="n">
        <v>46204</v>
      </c>
      <c r="D351" t="inlineStr">
        <is>
          <t>ÖREBRO LÄN</t>
        </is>
      </c>
      <c r="E351" t="inlineStr">
        <is>
          <t>HÄLLEFORS</t>
        </is>
      </c>
      <c r="G351" t="n">
        <v>1.9</v>
      </c>
      <c r="H351" t="n">
        <v>0</v>
      </c>
      <c r="I351" t="n">
        <v>0</v>
      </c>
      <c r="J351" t="n">
        <v>0</v>
      </c>
      <c r="K351" t="n">
        <v>0</v>
      </c>
      <c r="L351" t="n">
        <v>0</v>
      </c>
      <c r="M351" t="n">
        <v>0</v>
      </c>
      <c r="N351" t="n">
        <v>0</v>
      </c>
      <c r="O351" t="n">
        <v>0</v>
      </c>
      <c r="P351" t="n">
        <v>0</v>
      </c>
      <c r="Q351" t="n">
        <v>0</v>
      </c>
      <c r="R351" s="2" t="inlineStr"/>
    </row>
    <row r="352">
      <c r="A352" t="inlineStr">
        <is>
          <t>A 28979-2025</t>
        </is>
      </c>
      <c r="B352" s="1" t="n">
        <v>45821</v>
      </c>
      <c r="C352" s="1" t="n">
        <v>46204</v>
      </c>
      <c r="D352" t="inlineStr">
        <is>
          <t>ÖREBRO LÄN</t>
        </is>
      </c>
      <c r="E352" t="inlineStr">
        <is>
          <t>HÄLLEFORS</t>
        </is>
      </c>
      <c r="G352" t="n">
        <v>2.9</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2026-07-01T00:59:04Z</dcterms:created>
  <dcterms:modified xmlns:dcterms="http://purl.org/dc/terms/" xmlns:xsi="http://www.w3.org/2001/XMLSchema-instance" xsi:type="dcterms:W3CDTF">2026-07-01T00:59:04Z</dcterms:modified>
</cp:coreProperties>
</file>