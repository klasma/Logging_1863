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45698</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45698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45698</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45698</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45698</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45698</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45698</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45698</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45698</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45698</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45698</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45698</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45698</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45698</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45698</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45698</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45698</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45698</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45698</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45698</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45698</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45698</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45698</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45698</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45698</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45698</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45698</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45698</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45698</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45698</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45698</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45698</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45698</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5244-2025</t>
        </is>
      </c>
      <c r="B35" s="1" t="n">
        <v>45692</v>
      </c>
      <c r="C35" s="1" t="n">
        <v>45698</v>
      </c>
      <c r="D35" t="inlineStr">
        <is>
          <t>ÖREBRO LÄN</t>
        </is>
      </c>
      <c r="E35" t="inlineStr">
        <is>
          <t>HÄLLEFORS</t>
        </is>
      </c>
      <c r="F35" t="inlineStr">
        <is>
          <t>Bergvik skog väst AB</t>
        </is>
      </c>
      <c r="G35" t="n">
        <v>9.199999999999999</v>
      </c>
      <c r="H35" t="n">
        <v>0</v>
      </c>
      <c r="I35" t="n">
        <v>0</v>
      </c>
      <c r="J35" t="n">
        <v>1</v>
      </c>
      <c r="K35" t="n">
        <v>0</v>
      </c>
      <c r="L35" t="n">
        <v>0</v>
      </c>
      <c r="M35" t="n">
        <v>0</v>
      </c>
      <c r="N35" t="n">
        <v>0</v>
      </c>
      <c r="O35" t="n">
        <v>1</v>
      </c>
      <c r="P35" t="n">
        <v>0</v>
      </c>
      <c r="Q35" t="n">
        <v>1</v>
      </c>
      <c r="R35" s="2" t="inlineStr">
        <is>
          <t>Lunglav</t>
        </is>
      </c>
      <c r="S35">
        <f>HYPERLINK("https://klasma.github.io/Logging_1863/artfynd/A 5244-2025 artfynd.xlsx", "A 5244-2025")</f>
        <v/>
      </c>
      <c r="T35">
        <f>HYPERLINK("https://klasma.github.io/Logging_1863/kartor/A 5244-2025 karta.png", "A 5244-2025")</f>
        <v/>
      </c>
      <c r="V35">
        <f>HYPERLINK("https://klasma.github.io/Logging_1863/klagomål/A 5244-2025 FSC-klagomål.docx", "A 5244-2025")</f>
        <v/>
      </c>
      <c r="W35">
        <f>HYPERLINK("https://klasma.github.io/Logging_1863/klagomålsmail/A 5244-2025 FSC-klagomål mail.docx", "A 5244-2025")</f>
        <v/>
      </c>
      <c r="X35">
        <f>HYPERLINK("https://klasma.github.io/Logging_1863/tillsyn/A 5244-2025 tillsynsbegäran.docx", "A 5244-2025")</f>
        <v/>
      </c>
      <c r="Y35">
        <f>HYPERLINK("https://klasma.github.io/Logging_1863/tillsynsmail/A 5244-2025 tillsynsbegäran mail.docx", "A 5244-2025")</f>
        <v/>
      </c>
    </row>
    <row r="36" ht="15" customHeight="1">
      <c r="A36" t="inlineStr">
        <is>
          <t>A 21399-2019</t>
        </is>
      </c>
      <c r="B36" s="1" t="n">
        <v>43580</v>
      </c>
      <c r="C36" s="1" t="n">
        <v>45698</v>
      </c>
      <c r="D36" t="inlineStr">
        <is>
          <t>ÖREBRO LÄN</t>
        </is>
      </c>
      <c r="E36" t="inlineStr">
        <is>
          <t>HÄLLEFORS</t>
        </is>
      </c>
      <c r="G36" t="n">
        <v>1.4</v>
      </c>
      <c r="H36" t="n">
        <v>0</v>
      </c>
      <c r="I36" t="n">
        <v>0</v>
      </c>
      <c r="J36" t="n">
        <v>0</v>
      </c>
      <c r="K36" t="n">
        <v>0</v>
      </c>
      <c r="L36" t="n">
        <v>0</v>
      </c>
      <c r="M36" t="n">
        <v>0</v>
      </c>
      <c r="N36" t="n">
        <v>0</v>
      </c>
      <c r="O36" t="n">
        <v>0</v>
      </c>
      <c r="P36" t="n">
        <v>0</v>
      </c>
      <c r="Q36" t="n">
        <v>0</v>
      </c>
      <c r="R36" s="2" t="inlineStr"/>
    </row>
    <row r="37" ht="15" customHeight="1">
      <c r="A37" t="inlineStr">
        <is>
          <t>A 22348-2019</t>
        </is>
      </c>
      <c r="B37" s="1" t="n">
        <v>43587</v>
      </c>
      <c r="C37" s="1" t="n">
        <v>45698</v>
      </c>
      <c r="D37" t="inlineStr">
        <is>
          <t>ÖREBRO LÄN</t>
        </is>
      </c>
      <c r="E37" t="inlineStr">
        <is>
          <t>HÄLLEFORS</t>
        </is>
      </c>
      <c r="G37" t="n">
        <v>3.5</v>
      </c>
      <c r="H37" t="n">
        <v>0</v>
      </c>
      <c r="I37" t="n">
        <v>0</v>
      </c>
      <c r="J37" t="n">
        <v>0</v>
      </c>
      <c r="K37" t="n">
        <v>0</v>
      </c>
      <c r="L37" t="n">
        <v>0</v>
      </c>
      <c r="M37" t="n">
        <v>0</v>
      </c>
      <c r="N37" t="n">
        <v>0</v>
      </c>
      <c r="O37" t="n">
        <v>0</v>
      </c>
      <c r="P37" t="n">
        <v>0</v>
      </c>
      <c r="Q37" t="n">
        <v>0</v>
      </c>
      <c r="R37" s="2" t="inlineStr"/>
    </row>
    <row r="38" ht="15" customHeight="1">
      <c r="A38" t="inlineStr">
        <is>
          <t>A 24477-2019</t>
        </is>
      </c>
      <c r="B38" s="1" t="n">
        <v>43600</v>
      </c>
      <c r="C38" s="1" t="n">
        <v>45698</v>
      </c>
      <c r="D38" t="inlineStr">
        <is>
          <t>ÖREBRO LÄN</t>
        </is>
      </c>
      <c r="E38" t="inlineStr">
        <is>
          <t>HÄLLEFORS</t>
        </is>
      </c>
      <c r="G38" t="n">
        <v>1.7</v>
      </c>
      <c r="H38" t="n">
        <v>0</v>
      </c>
      <c r="I38" t="n">
        <v>0</v>
      </c>
      <c r="J38" t="n">
        <v>0</v>
      </c>
      <c r="K38" t="n">
        <v>0</v>
      </c>
      <c r="L38" t="n">
        <v>0</v>
      </c>
      <c r="M38" t="n">
        <v>0</v>
      </c>
      <c r="N38" t="n">
        <v>0</v>
      </c>
      <c r="O38" t="n">
        <v>0</v>
      </c>
      <c r="P38" t="n">
        <v>0</v>
      </c>
      <c r="Q38" t="n">
        <v>0</v>
      </c>
      <c r="R38" s="2" t="inlineStr"/>
    </row>
    <row r="39" ht="15" customHeight="1">
      <c r="A39" t="inlineStr">
        <is>
          <t>A 24459-2019</t>
        </is>
      </c>
      <c r="B39" s="1" t="n">
        <v>43600</v>
      </c>
      <c r="C39" s="1" t="n">
        <v>45698</v>
      </c>
      <c r="D39" t="inlineStr">
        <is>
          <t>ÖREBRO LÄN</t>
        </is>
      </c>
      <c r="E39" t="inlineStr">
        <is>
          <t>HÄLLEFORS</t>
        </is>
      </c>
      <c r="G39" t="n">
        <v>7.1</v>
      </c>
      <c r="H39" t="n">
        <v>0</v>
      </c>
      <c r="I39" t="n">
        <v>0</v>
      </c>
      <c r="J39" t="n">
        <v>0</v>
      </c>
      <c r="K39" t="n">
        <v>0</v>
      </c>
      <c r="L39" t="n">
        <v>0</v>
      </c>
      <c r="M39" t="n">
        <v>0</v>
      </c>
      <c r="N39" t="n">
        <v>0</v>
      </c>
      <c r="O39" t="n">
        <v>0</v>
      </c>
      <c r="P39" t="n">
        <v>0</v>
      </c>
      <c r="Q39" t="n">
        <v>0</v>
      </c>
      <c r="R39" s="2" t="inlineStr"/>
    </row>
    <row r="40" ht="15" customHeight="1">
      <c r="A40" t="inlineStr">
        <is>
          <t>A 30719-2019</t>
        </is>
      </c>
      <c r="B40" s="1" t="n">
        <v>43636</v>
      </c>
      <c r="C40" s="1" t="n">
        <v>45698</v>
      </c>
      <c r="D40" t="inlineStr">
        <is>
          <t>ÖREBRO LÄN</t>
        </is>
      </c>
      <c r="E40" t="inlineStr">
        <is>
          <t>HÄLLEFORS</t>
        </is>
      </c>
      <c r="F40" t="inlineStr">
        <is>
          <t>Bergvik skog väst AB</t>
        </is>
      </c>
      <c r="G40" t="n">
        <v>3.7</v>
      </c>
      <c r="H40" t="n">
        <v>0</v>
      </c>
      <c r="I40" t="n">
        <v>0</v>
      </c>
      <c r="J40" t="n">
        <v>0</v>
      </c>
      <c r="K40" t="n">
        <v>0</v>
      </c>
      <c r="L40" t="n">
        <v>0</v>
      </c>
      <c r="M40" t="n">
        <v>0</v>
      </c>
      <c r="N40" t="n">
        <v>0</v>
      </c>
      <c r="O40" t="n">
        <v>0</v>
      </c>
      <c r="P40" t="n">
        <v>0</v>
      </c>
      <c r="Q40" t="n">
        <v>0</v>
      </c>
      <c r="R40" s="2" t="inlineStr"/>
    </row>
    <row r="41" ht="15" customHeight="1">
      <c r="A41" t="inlineStr">
        <is>
          <t>A 33102-2019</t>
        </is>
      </c>
      <c r="B41" s="1" t="n">
        <v>43649</v>
      </c>
      <c r="C41" s="1" t="n">
        <v>45698</v>
      </c>
      <c r="D41" t="inlineStr">
        <is>
          <t>ÖREBRO LÄN</t>
        </is>
      </c>
      <c r="E41" t="inlineStr">
        <is>
          <t>HÄLLEFORS</t>
        </is>
      </c>
      <c r="G41" t="n">
        <v>1.6</v>
      </c>
      <c r="H41" t="n">
        <v>0</v>
      </c>
      <c r="I41" t="n">
        <v>0</v>
      </c>
      <c r="J41" t="n">
        <v>0</v>
      </c>
      <c r="K41" t="n">
        <v>0</v>
      </c>
      <c r="L41" t="n">
        <v>0</v>
      </c>
      <c r="M41" t="n">
        <v>0</v>
      </c>
      <c r="N41" t="n">
        <v>0</v>
      </c>
      <c r="O41" t="n">
        <v>0</v>
      </c>
      <c r="P41" t="n">
        <v>0</v>
      </c>
      <c r="Q41" t="n">
        <v>0</v>
      </c>
      <c r="R41" s="2" t="inlineStr"/>
    </row>
    <row r="42" ht="15" customHeight="1">
      <c r="A42" t="inlineStr">
        <is>
          <t>A 35741-2019</t>
        </is>
      </c>
      <c r="B42" s="1" t="n">
        <v>43665</v>
      </c>
      <c r="C42" s="1" t="n">
        <v>45698</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35743-2019</t>
        </is>
      </c>
      <c r="B43" s="1" t="n">
        <v>43665</v>
      </c>
      <c r="C43" s="1" t="n">
        <v>45698</v>
      </c>
      <c r="D43" t="inlineStr">
        <is>
          <t>ÖREBRO LÄN</t>
        </is>
      </c>
      <c r="E43" t="inlineStr">
        <is>
          <t>HÄLLEFORS</t>
        </is>
      </c>
      <c r="G43" t="n">
        <v>1.3</v>
      </c>
      <c r="H43" t="n">
        <v>0</v>
      </c>
      <c r="I43" t="n">
        <v>0</v>
      </c>
      <c r="J43" t="n">
        <v>0</v>
      </c>
      <c r="K43" t="n">
        <v>0</v>
      </c>
      <c r="L43" t="n">
        <v>0</v>
      </c>
      <c r="M43" t="n">
        <v>0</v>
      </c>
      <c r="N43" t="n">
        <v>0</v>
      </c>
      <c r="O43" t="n">
        <v>0</v>
      </c>
      <c r="P43" t="n">
        <v>0</v>
      </c>
      <c r="Q43" t="n">
        <v>0</v>
      </c>
      <c r="R43" s="2" t="inlineStr"/>
    </row>
    <row r="44" ht="15" customHeight="1">
      <c r="A44" t="inlineStr">
        <is>
          <t>A 35742-2019</t>
        </is>
      </c>
      <c r="B44" s="1" t="n">
        <v>43665</v>
      </c>
      <c r="C44" s="1" t="n">
        <v>45698</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35740-2019</t>
        </is>
      </c>
      <c r="B45" s="1" t="n">
        <v>43665</v>
      </c>
      <c r="C45" s="1" t="n">
        <v>45698</v>
      </c>
      <c r="D45" t="inlineStr">
        <is>
          <t>ÖREBRO LÄN</t>
        </is>
      </c>
      <c r="E45" t="inlineStr">
        <is>
          <t>HÄLLEFORS</t>
        </is>
      </c>
      <c r="G45" t="n">
        <v>2.3</v>
      </c>
      <c r="H45" t="n">
        <v>0</v>
      </c>
      <c r="I45" t="n">
        <v>0</v>
      </c>
      <c r="J45" t="n">
        <v>0</v>
      </c>
      <c r="K45" t="n">
        <v>0</v>
      </c>
      <c r="L45" t="n">
        <v>0</v>
      </c>
      <c r="M45" t="n">
        <v>0</v>
      </c>
      <c r="N45" t="n">
        <v>0</v>
      </c>
      <c r="O45" t="n">
        <v>0</v>
      </c>
      <c r="P45" t="n">
        <v>0</v>
      </c>
      <c r="Q45" t="n">
        <v>0</v>
      </c>
      <c r="R45" s="2" t="inlineStr"/>
    </row>
    <row r="46" ht="15" customHeight="1">
      <c r="A46" t="inlineStr">
        <is>
          <t>A 37325-2019</t>
        </is>
      </c>
      <c r="B46" s="1" t="n">
        <v>43678</v>
      </c>
      <c r="C46" s="1" t="n">
        <v>45698</v>
      </c>
      <c r="D46" t="inlineStr">
        <is>
          <t>ÖREBRO LÄN</t>
        </is>
      </c>
      <c r="E46" t="inlineStr">
        <is>
          <t>HÄLLEFORS</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39501-2019</t>
        </is>
      </c>
      <c r="B47" s="1" t="n">
        <v>43686</v>
      </c>
      <c r="C47" s="1" t="n">
        <v>45698</v>
      </c>
      <c r="D47" t="inlineStr">
        <is>
          <t>ÖREBRO LÄN</t>
        </is>
      </c>
      <c r="E47" t="inlineStr">
        <is>
          <t>HÄLLEFORS</t>
        </is>
      </c>
      <c r="F47" t="inlineStr">
        <is>
          <t>Kyrkan</t>
        </is>
      </c>
      <c r="G47" t="n">
        <v>3.5</v>
      </c>
      <c r="H47" t="n">
        <v>0</v>
      </c>
      <c r="I47" t="n">
        <v>0</v>
      </c>
      <c r="J47" t="n">
        <v>0</v>
      </c>
      <c r="K47" t="n">
        <v>0</v>
      </c>
      <c r="L47" t="n">
        <v>0</v>
      </c>
      <c r="M47" t="n">
        <v>0</v>
      </c>
      <c r="N47" t="n">
        <v>0</v>
      </c>
      <c r="O47" t="n">
        <v>0</v>
      </c>
      <c r="P47" t="n">
        <v>0</v>
      </c>
      <c r="Q47" t="n">
        <v>0</v>
      </c>
      <c r="R47" s="2" t="inlineStr"/>
    </row>
    <row r="48" ht="15" customHeight="1">
      <c r="A48" t="inlineStr">
        <is>
          <t>A 38819-2019</t>
        </is>
      </c>
      <c r="B48" s="1" t="n">
        <v>43689</v>
      </c>
      <c r="C48" s="1" t="n">
        <v>45698</v>
      </c>
      <c r="D48" t="inlineStr">
        <is>
          <t>ÖREBRO LÄN</t>
        </is>
      </c>
      <c r="E48" t="inlineStr">
        <is>
          <t>HÄLLEFORS</t>
        </is>
      </c>
      <c r="G48" t="n">
        <v>2.1</v>
      </c>
      <c r="H48" t="n">
        <v>0</v>
      </c>
      <c r="I48" t="n">
        <v>0</v>
      </c>
      <c r="J48" t="n">
        <v>0</v>
      </c>
      <c r="K48" t="n">
        <v>0</v>
      </c>
      <c r="L48" t="n">
        <v>0</v>
      </c>
      <c r="M48" t="n">
        <v>0</v>
      </c>
      <c r="N48" t="n">
        <v>0</v>
      </c>
      <c r="O48" t="n">
        <v>0</v>
      </c>
      <c r="P48" t="n">
        <v>0</v>
      </c>
      <c r="Q48" t="n">
        <v>0</v>
      </c>
      <c r="R48" s="2" t="inlineStr"/>
    </row>
    <row r="49" ht="15" customHeight="1">
      <c r="A49" t="inlineStr">
        <is>
          <t>A 40171-2019</t>
        </is>
      </c>
      <c r="B49" s="1" t="n">
        <v>43693</v>
      </c>
      <c r="C49" s="1" t="n">
        <v>45698</v>
      </c>
      <c r="D49" t="inlineStr">
        <is>
          <t>ÖREBRO LÄN</t>
        </is>
      </c>
      <c r="E49" t="inlineStr">
        <is>
          <t>HÄLLEFORS</t>
        </is>
      </c>
      <c r="G49" t="n">
        <v>8.199999999999999</v>
      </c>
      <c r="H49" t="n">
        <v>0</v>
      </c>
      <c r="I49" t="n">
        <v>0</v>
      </c>
      <c r="J49" t="n">
        <v>0</v>
      </c>
      <c r="K49" t="n">
        <v>0</v>
      </c>
      <c r="L49" t="n">
        <v>0</v>
      </c>
      <c r="M49" t="n">
        <v>0</v>
      </c>
      <c r="N49" t="n">
        <v>0</v>
      </c>
      <c r="O49" t="n">
        <v>0</v>
      </c>
      <c r="P49" t="n">
        <v>0</v>
      </c>
      <c r="Q49" t="n">
        <v>0</v>
      </c>
      <c r="R49" s="2" t="inlineStr"/>
    </row>
    <row r="50" ht="15" customHeight="1">
      <c r="A50" t="inlineStr">
        <is>
          <t>A 40311-2019</t>
        </is>
      </c>
      <c r="B50" s="1" t="n">
        <v>43696</v>
      </c>
      <c r="C50" s="1" t="n">
        <v>45698</v>
      </c>
      <c r="D50" t="inlineStr">
        <is>
          <t>ÖREBRO LÄN</t>
        </is>
      </c>
      <c r="E50" t="inlineStr">
        <is>
          <t>HÄLLEFORS</t>
        </is>
      </c>
      <c r="G50" t="n">
        <v>1.8</v>
      </c>
      <c r="H50" t="n">
        <v>0</v>
      </c>
      <c r="I50" t="n">
        <v>0</v>
      </c>
      <c r="J50" t="n">
        <v>0</v>
      </c>
      <c r="K50" t="n">
        <v>0</v>
      </c>
      <c r="L50" t="n">
        <v>0</v>
      </c>
      <c r="M50" t="n">
        <v>0</v>
      </c>
      <c r="N50" t="n">
        <v>0</v>
      </c>
      <c r="O50" t="n">
        <v>0</v>
      </c>
      <c r="P50" t="n">
        <v>0</v>
      </c>
      <c r="Q50" t="n">
        <v>0</v>
      </c>
      <c r="R50" s="2" t="inlineStr"/>
    </row>
    <row r="51" ht="15" customHeight="1">
      <c r="A51" t="inlineStr">
        <is>
          <t>A 43514-2019</t>
        </is>
      </c>
      <c r="B51" s="1" t="n">
        <v>43706</v>
      </c>
      <c r="C51" s="1" t="n">
        <v>45698</v>
      </c>
      <c r="D51" t="inlineStr">
        <is>
          <t>ÖREBRO LÄN</t>
        </is>
      </c>
      <c r="E51" t="inlineStr">
        <is>
          <t>HÄLLEFORS</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45768-2019</t>
        </is>
      </c>
      <c r="B52" s="1" t="n">
        <v>43712</v>
      </c>
      <c r="C52" s="1" t="n">
        <v>45698</v>
      </c>
      <c r="D52" t="inlineStr">
        <is>
          <t>ÖREBRO LÄN</t>
        </is>
      </c>
      <c r="E52" t="inlineStr">
        <is>
          <t>HÄLLEFORS</t>
        </is>
      </c>
      <c r="G52" t="n">
        <v>1.4</v>
      </c>
      <c r="H52" t="n">
        <v>0</v>
      </c>
      <c r="I52" t="n">
        <v>0</v>
      </c>
      <c r="J52" t="n">
        <v>0</v>
      </c>
      <c r="K52" t="n">
        <v>0</v>
      </c>
      <c r="L52" t="n">
        <v>0</v>
      </c>
      <c r="M52" t="n">
        <v>0</v>
      </c>
      <c r="N52" t="n">
        <v>0</v>
      </c>
      <c r="O52" t="n">
        <v>0</v>
      </c>
      <c r="P52" t="n">
        <v>0</v>
      </c>
      <c r="Q52" t="n">
        <v>0</v>
      </c>
      <c r="R52" s="2" t="inlineStr"/>
    </row>
    <row r="53" ht="15" customHeight="1">
      <c r="A53" t="inlineStr">
        <is>
          <t>A 47219-2019</t>
        </is>
      </c>
      <c r="B53" s="1" t="n">
        <v>43721</v>
      </c>
      <c r="C53" s="1" t="n">
        <v>45698</v>
      </c>
      <c r="D53" t="inlineStr">
        <is>
          <t>ÖREBRO LÄN</t>
        </is>
      </c>
      <c r="E53" t="inlineStr">
        <is>
          <t>HÄLLEFORS</t>
        </is>
      </c>
      <c r="F53" t="inlineStr">
        <is>
          <t>Bergvik skog väst AB</t>
        </is>
      </c>
      <c r="G53" t="n">
        <v>4.9</v>
      </c>
      <c r="H53" t="n">
        <v>0</v>
      </c>
      <c r="I53" t="n">
        <v>0</v>
      </c>
      <c r="J53" t="n">
        <v>0</v>
      </c>
      <c r="K53" t="n">
        <v>0</v>
      </c>
      <c r="L53" t="n">
        <v>0</v>
      </c>
      <c r="M53" t="n">
        <v>0</v>
      </c>
      <c r="N53" t="n">
        <v>0</v>
      </c>
      <c r="O53" t="n">
        <v>0</v>
      </c>
      <c r="P53" t="n">
        <v>0</v>
      </c>
      <c r="Q53" t="n">
        <v>0</v>
      </c>
      <c r="R53" s="2" t="inlineStr"/>
    </row>
    <row r="54" ht="15" customHeight="1">
      <c r="A54" t="inlineStr">
        <is>
          <t>A 47175-2019</t>
        </is>
      </c>
      <c r="B54" s="1" t="n">
        <v>43721</v>
      </c>
      <c r="C54" s="1" t="n">
        <v>45698</v>
      </c>
      <c r="D54" t="inlineStr">
        <is>
          <t>ÖREBRO LÄN</t>
        </is>
      </c>
      <c r="E54" t="inlineStr">
        <is>
          <t>HÄLLEFORS</t>
        </is>
      </c>
      <c r="F54" t="inlineStr">
        <is>
          <t>Sveaskog</t>
        </is>
      </c>
      <c r="G54" t="n">
        <v>5.6</v>
      </c>
      <c r="H54" t="n">
        <v>0</v>
      </c>
      <c r="I54" t="n">
        <v>0</v>
      </c>
      <c r="J54" t="n">
        <v>0</v>
      </c>
      <c r="K54" t="n">
        <v>0</v>
      </c>
      <c r="L54" t="n">
        <v>0</v>
      </c>
      <c r="M54" t="n">
        <v>0</v>
      </c>
      <c r="N54" t="n">
        <v>0</v>
      </c>
      <c r="O54" t="n">
        <v>0</v>
      </c>
      <c r="P54" t="n">
        <v>0</v>
      </c>
      <c r="Q54" t="n">
        <v>0</v>
      </c>
      <c r="R54" s="2" t="inlineStr"/>
    </row>
    <row r="55" ht="15" customHeight="1">
      <c r="A55" t="inlineStr">
        <is>
          <t>A 48224-2019</t>
        </is>
      </c>
      <c r="B55" s="1" t="n">
        <v>43726</v>
      </c>
      <c r="C55" s="1" t="n">
        <v>45698</v>
      </c>
      <c r="D55" t="inlineStr">
        <is>
          <t>ÖREBRO LÄN</t>
        </is>
      </c>
      <c r="E55" t="inlineStr">
        <is>
          <t>HÄLLEFORS</t>
        </is>
      </c>
      <c r="F55" t="inlineStr">
        <is>
          <t>Bergvik skog väst AB</t>
        </is>
      </c>
      <c r="G55" t="n">
        <v>0.7</v>
      </c>
      <c r="H55" t="n">
        <v>0</v>
      </c>
      <c r="I55" t="n">
        <v>0</v>
      </c>
      <c r="J55" t="n">
        <v>0</v>
      </c>
      <c r="K55" t="n">
        <v>0</v>
      </c>
      <c r="L55" t="n">
        <v>0</v>
      </c>
      <c r="M55" t="n">
        <v>0</v>
      </c>
      <c r="N55" t="n">
        <v>0</v>
      </c>
      <c r="O55" t="n">
        <v>0</v>
      </c>
      <c r="P55" t="n">
        <v>0</v>
      </c>
      <c r="Q55" t="n">
        <v>0</v>
      </c>
      <c r="R55" s="2" t="inlineStr"/>
    </row>
    <row r="56" ht="15" customHeight="1">
      <c r="A56" t="inlineStr">
        <is>
          <t>A 48206-2019</t>
        </is>
      </c>
      <c r="B56" s="1" t="n">
        <v>43726</v>
      </c>
      <c r="C56" s="1" t="n">
        <v>45698</v>
      </c>
      <c r="D56" t="inlineStr">
        <is>
          <t>ÖREBRO LÄN</t>
        </is>
      </c>
      <c r="E56" t="inlineStr">
        <is>
          <t>HÄLLEFORS</t>
        </is>
      </c>
      <c r="F56" t="inlineStr">
        <is>
          <t>Bergvik skog väst AB</t>
        </is>
      </c>
      <c r="G56" t="n">
        <v>13.6</v>
      </c>
      <c r="H56" t="n">
        <v>0</v>
      </c>
      <c r="I56" t="n">
        <v>0</v>
      </c>
      <c r="J56" t="n">
        <v>0</v>
      </c>
      <c r="K56" t="n">
        <v>0</v>
      </c>
      <c r="L56" t="n">
        <v>0</v>
      </c>
      <c r="M56" t="n">
        <v>0</v>
      </c>
      <c r="N56" t="n">
        <v>0</v>
      </c>
      <c r="O56" t="n">
        <v>0</v>
      </c>
      <c r="P56" t="n">
        <v>0</v>
      </c>
      <c r="Q56" t="n">
        <v>0</v>
      </c>
      <c r="R56" s="2" t="inlineStr"/>
    </row>
    <row r="57" ht="15" customHeight="1">
      <c r="A57" t="inlineStr">
        <is>
          <t>A 51442-2019</t>
        </is>
      </c>
      <c r="B57" s="1" t="n">
        <v>43732</v>
      </c>
      <c r="C57" s="1" t="n">
        <v>45698</v>
      </c>
      <c r="D57" t="inlineStr">
        <is>
          <t>ÖREBRO LÄN</t>
        </is>
      </c>
      <c r="E57" t="inlineStr">
        <is>
          <t>HÄLLEFORS</t>
        </is>
      </c>
      <c r="F57" t="inlineStr">
        <is>
          <t>Kyrkan</t>
        </is>
      </c>
      <c r="G57" t="n">
        <v>3.9</v>
      </c>
      <c r="H57" t="n">
        <v>0</v>
      </c>
      <c r="I57" t="n">
        <v>0</v>
      </c>
      <c r="J57" t="n">
        <v>0</v>
      </c>
      <c r="K57" t="n">
        <v>0</v>
      </c>
      <c r="L57" t="n">
        <v>0</v>
      </c>
      <c r="M57" t="n">
        <v>0</v>
      </c>
      <c r="N57" t="n">
        <v>0</v>
      </c>
      <c r="O57" t="n">
        <v>0</v>
      </c>
      <c r="P57" t="n">
        <v>0</v>
      </c>
      <c r="Q57" t="n">
        <v>0</v>
      </c>
      <c r="R57" s="2" t="inlineStr"/>
    </row>
    <row r="58" ht="15" customHeight="1">
      <c r="A58" t="inlineStr">
        <is>
          <t>A 52329-2019</t>
        </is>
      </c>
      <c r="B58" s="1" t="n">
        <v>43745</v>
      </c>
      <c r="C58" s="1" t="n">
        <v>45698</v>
      </c>
      <c r="D58" t="inlineStr">
        <is>
          <t>ÖREBRO LÄN</t>
        </is>
      </c>
      <c r="E58" t="inlineStr">
        <is>
          <t>HÄLLEFORS</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52452-2019</t>
        </is>
      </c>
      <c r="B59" s="1" t="n">
        <v>43745</v>
      </c>
      <c r="C59" s="1" t="n">
        <v>45698</v>
      </c>
      <c r="D59" t="inlineStr">
        <is>
          <t>ÖREBRO LÄN</t>
        </is>
      </c>
      <c r="E59" t="inlineStr">
        <is>
          <t>HÄLLEFORS</t>
        </is>
      </c>
      <c r="F59" t="inlineStr">
        <is>
          <t>Bergvik skog väst AB</t>
        </is>
      </c>
      <c r="G59" t="n">
        <v>13.9</v>
      </c>
      <c r="H59" t="n">
        <v>0</v>
      </c>
      <c r="I59" t="n">
        <v>0</v>
      </c>
      <c r="J59" t="n">
        <v>0</v>
      </c>
      <c r="K59" t="n">
        <v>0</v>
      </c>
      <c r="L59" t="n">
        <v>0</v>
      </c>
      <c r="M59" t="n">
        <v>0</v>
      </c>
      <c r="N59" t="n">
        <v>0</v>
      </c>
      <c r="O59" t="n">
        <v>0</v>
      </c>
      <c r="P59" t="n">
        <v>0</v>
      </c>
      <c r="Q59" t="n">
        <v>0</v>
      </c>
      <c r="R59" s="2" t="inlineStr"/>
    </row>
    <row r="60" ht="15" customHeight="1">
      <c r="A60" t="inlineStr">
        <is>
          <t>A 52411-2019</t>
        </is>
      </c>
      <c r="B60" s="1" t="n">
        <v>43745</v>
      </c>
      <c r="C60" s="1" t="n">
        <v>45698</v>
      </c>
      <c r="D60" t="inlineStr">
        <is>
          <t>ÖREBRO LÄN</t>
        </is>
      </c>
      <c r="E60" t="inlineStr">
        <is>
          <t>HÄLLEFORS</t>
        </is>
      </c>
      <c r="F60" t="inlineStr">
        <is>
          <t>Bergvik skog väst AB</t>
        </is>
      </c>
      <c r="G60" t="n">
        <v>6.5</v>
      </c>
      <c r="H60" t="n">
        <v>0</v>
      </c>
      <c r="I60" t="n">
        <v>0</v>
      </c>
      <c r="J60" t="n">
        <v>0</v>
      </c>
      <c r="K60" t="n">
        <v>0</v>
      </c>
      <c r="L60" t="n">
        <v>0</v>
      </c>
      <c r="M60" t="n">
        <v>0</v>
      </c>
      <c r="N60" t="n">
        <v>0</v>
      </c>
      <c r="O60" t="n">
        <v>0</v>
      </c>
      <c r="P60" t="n">
        <v>0</v>
      </c>
      <c r="Q60" t="n">
        <v>0</v>
      </c>
      <c r="R60" s="2" t="inlineStr"/>
    </row>
    <row r="61" ht="15" customHeight="1">
      <c r="A61" t="inlineStr">
        <is>
          <t>A 52711-2019</t>
        </is>
      </c>
      <c r="B61" s="1" t="n">
        <v>43746</v>
      </c>
      <c r="C61" s="1" t="n">
        <v>45698</v>
      </c>
      <c r="D61" t="inlineStr">
        <is>
          <t>ÖREBRO LÄN</t>
        </is>
      </c>
      <c r="E61" t="inlineStr">
        <is>
          <t>HÄLLEFORS</t>
        </is>
      </c>
      <c r="G61" t="n">
        <v>1</v>
      </c>
      <c r="H61" t="n">
        <v>0</v>
      </c>
      <c r="I61" t="n">
        <v>0</v>
      </c>
      <c r="J61" t="n">
        <v>0</v>
      </c>
      <c r="K61" t="n">
        <v>0</v>
      </c>
      <c r="L61" t="n">
        <v>0</v>
      </c>
      <c r="M61" t="n">
        <v>0</v>
      </c>
      <c r="N61" t="n">
        <v>0</v>
      </c>
      <c r="O61" t="n">
        <v>0</v>
      </c>
      <c r="P61" t="n">
        <v>0</v>
      </c>
      <c r="Q61" t="n">
        <v>0</v>
      </c>
      <c r="R61" s="2" t="inlineStr"/>
    </row>
    <row r="62" ht="15" customHeight="1">
      <c r="A62" t="inlineStr">
        <is>
          <t>A 53031-2019</t>
        </is>
      </c>
      <c r="B62" s="1" t="n">
        <v>43747</v>
      </c>
      <c r="C62" s="1" t="n">
        <v>45698</v>
      </c>
      <c r="D62" t="inlineStr">
        <is>
          <t>ÖREBRO LÄN</t>
        </is>
      </c>
      <c r="E62" t="inlineStr">
        <is>
          <t>HÄLLEFORS</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53062-2019</t>
        </is>
      </c>
      <c r="B63" s="1" t="n">
        <v>43747</v>
      </c>
      <c r="C63" s="1" t="n">
        <v>45698</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53029-2019</t>
        </is>
      </c>
      <c r="B64" s="1" t="n">
        <v>43747</v>
      </c>
      <c r="C64" s="1" t="n">
        <v>45698</v>
      </c>
      <c r="D64" t="inlineStr">
        <is>
          <t>ÖREBRO LÄN</t>
        </is>
      </c>
      <c r="E64" t="inlineStr">
        <is>
          <t>HÄLLEFORS</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53388-2019</t>
        </is>
      </c>
      <c r="B65" s="1" t="n">
        <v>43748</v>
      </c>
      <c r="C65" s="1" t="n">
        <v>45698</v>
      </c>
      <c r="D65" t="inlineStr">
        <is>
          <t>ÖREBRO LÄN</t>
        </is>
      </c>
      <c r="E65" t="inlineStr">
        <is>
          <t>HÄLLEFORS</t>
        </is>
      </c>
      <c r="F65" t="inlineStr">
        <is>
          <t>Bergvik skog väst AB</t>
        </is>
      </c>
      <c r="G65" t="n">
        <v>8.300000000000001</v>
      </c>
      <c r="H65" t="n">
        <v>0</v>
      </c>
      <c r="I65" t="n">
        <v>0</v>
      </c>
      <c r="J65" t="n">
        <v>0</v>
      </c>
      <c r="K65" t="n">
        <v>0</v>
      </c>
      <c r="L65" t="n">
        <v>0</v>
      </c>
      <c r="M65" t="n">
        <v>0</v>
      </c>
      <c r="N65" t="n">
        <v>0</v>
      </c>
      <c r="O65" t="n">
        <v>0</v>
      </c>
      <c r="P65" t="n">
        <v>0</v>
      </c>
      <c r="Q65" t="n">
        <v>0</v>
      </c>
      <c r="R65" s="2" t="inlineStr"/>
    </row>
    <row r="66" ht="15" customHeight="1">
      <c r="A66" t="inlineStr">
        <is>
          <t>A 53400-2019</t>
        </is>
      </c>
      <c r="B66" s="1" t="n">
        <v>43748</v>
      </c>
      <c r="C66" s="1" t="n">
        <v>45698</v>
      </c>
      <c r="D66" t="inlineStr">
        <is>
          <t>ÖREBRO LÄN</t>
        </is>
      </c>
      <c r="E66" t="inlineStr">
        <is>
          <t>HÄLLEFORS</t>
        </is>
      </c>
      <c r="F66" t="inlineStr">
        <is>
          <t>Bergvik skog väst AB</t>
        </is>
      </c>
      <c r="G66" t="n">
        <v>8.699999999999999</v>
      </c>
      <c r="H66" t="n">
        <v>0</v>
      </c>
      <c r="I66" t="n">
        <v>0</v>
      </c>
      <c r="J66" t="n">
        <v>0</v>
      </c>
      <c r="K66" t="n">
        <v>0</v>
      </c>
      <c r="L66" t="n">
        <v>0</v>
      </c>
      <c r="M66" t="n">
        <v>0</v>
      </c>
      <c r="N66" t="n">
        <v>0</v>
      </c>
      <c r="O66" t="n">
        <v>0</v>
      </c>
      <c r="P66" t="n">
        <v>0</v>
      </c>
      <c r="Q66" t="n">
        <v>0</v>
      </c>
      <c r="R66" s="2" t="inlineStr"/>
    </row>
    <row r="67" ht="15" customHeight="1">
      <c r="A67" t="inlineStr">
        <is>
          <t>A 53965-2019</t>
        </is>
      </c>
      <c r="B67" s="1" t="n">
        <v>43752</v>
      </c>
      <c r="C67" s="1" t="n">
        <v>45698</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54433-2019</t>
        </is>
      </c>
      <c r="B68" s="1" t="n">
        <v>43754</v>
      </c>
      <c r="C68" s="1" t="n">
        <v>45698</v>
      </c>
      <c r="D68" t="inlineStr">
        <is>
          <t>ÖREBRO LÄN</t>
        </is>
      </c>
      <c r="E68" t="inlineStr">
        <is>
          <t>HÄLLEFORS</t>
        </is>
      </c>
      <c r="F68" t="inlineStr">
        <is>
          <t>Bergvik skog väst AB</t>
        </is>
      </c>
      <c r="G68" t="n">
        <v>7.9</v>
      </c>
      <c r="H68" t="n">
        <v>0</v>
      </c>
      <c r="I68" t="n">
        <v>0</v>
      </c>
      <c r="J68" t="n">
        <v>0</v>
      </c>
      <c r="K68" t="n">
        <v>0</v>
      </c>
      <c r="L68" t="n">
        <v>0</v>
      </c>
      <c r="M68" t="n">
        <v>0</v>
      </c>
      <c r="N68" t="n">
        <v>0</v>
      </c>
      <c r="O68" t="n">
        <v>0</v>
      </c>
      <c r="P68" t="n">
        <v>0</v>
      </c>
      <c r="Q68" t="n">
        <v>0</v>
      </c>
      <c r="R68" s="2" t="inlineStr"/>
    </row>
    <row r="69" ht="15" customHeight="1">
      <c r="A69" t="inlineStr">
        <is>
          <t>A 54977-2019</t>
        </is>
      </c>
      <c r="B69" s="1" t="n">
        <v>43755</v>
      </c>
      <c r="C69" s="1" t="n">
        <v>45698</v>
      </c>
      <c r="D69" t="inlineStr">
        <is>
          <t>ÖREBRO LÄN</t>
        </is>
      </c>
      <c r="E69" t="inlineStr">
        <is>
          <t>HÄLLEFORS</t>
        </is>
      </c>
      <c r="F69" t="inlineStr">
        <is>
          <t>Bergvik skog väst AB</t>
        </is>
      </c>
      <c r="G69" t="n">
        <v>17.5</v>
      </c>
      <c r="H69" t="n">
        <v>0</v>
      </c>
      <c r="I69" t="n">
        <v>0</v>
      </c>
      <c r="J69" t="n">
        <v>0</v>
      </c>
      <c r="K69" t="n">
        <v>0</v>
      </c>
      <c r="L69" t="n">
        <v>0</v>
      </c>
      <c r="M69" t="n">
        <v>0</v>
      </c>
      <c r="N69" t="n">
        <v>0</v>
      </c>
      <c r="O69" t="n">
        <v>0</v>
      </c>
      <c r="P69" t="n">
        <v>0</v>
      </c>
      <c r="Q69" t="n">
        <v>0</v>
      </c>
      <c r="R69" s="2" t="inlineStr"/>
    </row>
    <row r="70" ht="15" customHeight="1">
      <c r="A70" t="inlineStr">
        <is>
          <t>A 55129-2019</t>
        </is>
      </c>
      <c r="B70" s="1" t="n">
        <v>43756</v>
      </c>
      <c r="C70" s="1" t="n">
        <v>45698</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55150-2019</t>
        </is>
      </c>
      <c r="B71" s="1" t="n">
        <v>43756</v>
      </c>
      <c r="C71" s="1" t="n">
        <v>45698</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57363-2019</t>
        </is>
      </c>
      <c r="B72" s="1" t="n">
        <v>43767</v>
      </c>
      <c r="C72" s="1" t="n">
        <v>45698</v>
      </c>
      <c r="D72" t="inlineStr">
        <is>
          <t>ÖREBRO LÄN</t>
        </is>
      </c>
      <c r="E72" t="inlineStr">
        <is>
          <t>HÄLLEFORS</t>
        </is>
      </c>
      <c r="G72" t="n">
        <v>1.4</v>
      </c>
      <c r="H72" t="n">
        <v>0</v>
      </c>
      <c r="I72" t="n">
        <v>0</v>
      </c>
      <c r="J72" t="n">
        <v>0</v>
      </c>
      <c r="K72" t="n">
        <v>0</v>
      </c>
      <c r="L72" t="n">
        <v>0</v>
      </c>
      <c r="M72" t="n">
        <v>0</v>
      </c>
      <c r="N72" t="n">
        <v>0</v>
      </c>
      <c r="O72" t="n">
        <v>0</v>
      </c>
      <c r="P72" t="n">
        <v>0</v>
      </c>
      <c r="Q72" t="n">
        <v>0</v>
      </c>
      <c r="R72" s="2" t="inlineStr"/>
    </row>
    <row r="73" ht="15" customHeight="1">
      <c r="A73" t="inlineStr">
        <is>
          <t>A 57443-2019</t>
        </is>
      </c>
      <c r="B73" s="1" t="n">
        <v>43767</v>
      </c>
      <c r="C73" s="1" t="n">
        <v>45698</v>
      </c>
      <c r="D73" t="inlineStr">
        <is>
          <t>ÖREBRO LÄN</t>
        </is>
      </c>
      <c r="E73" t="inlineStr">
        <is>
          <t>HÄLLEFORS</t>
        </is>
      </c>
      <c r="G73" t="n">
        <v>0.4</v>
      </c>
      <c r="H73" t="n">
        <v>0</v>
      </c>
      <c r="I73" t="n">
        <v>0</v>
      </c>
      <c r="J73" t="n">
        <v>0</v>
      </c>
      <c r="K73" t="n">
        <v>0</v>
      </c>
      <c r="L73" t="n">
        <v>0</v>
      </c>
      <c r="M73" t="n">
        <v>0</v>
      </c>
      <c r="N73" t="n">
        <v>0</v>
      </c>
      <c r="O73" t="n">
        <v>0</v>
      </c>
      <c r="P73" t="n">
        <v>0</v>
      </c>
      <c r="Q73" t="n">
        <v>0</v>
      </c>
      <c r="R73" s="2" t="inlineStr"/>
    </row>
    <row r="74" ht="15" customHeight="1">
      <c r="A74" t="inlineStr">
        <is>
          <t>A 57398-2019</t>
        </is>
      </c>
      <c r="B74" s="1" t="n">
        <v>43767</v>
      </c>
      <c r="C74" s="1" t="n">
        <v>45698</v>
      </c>
      <c r="D74" t="inlineStr">
        <is>
          <t>ÖREBRO LÄN</t>
        </is>
      </c>
      <c r="E74" t="inlineStr">
        <is>
          <t>HÄLLEFORS</t>
        </is>
      </c>
      <c r="F74" t="inlineStr">
        <is>
          <t>Bergvik skog väst AB</t>
        </is>
      </c>
      <c r="G74" t="n">
        <v>10.4</v>
      </c>
      <c r="H74" t="n">
        <v>0</v>
      </c>
      <c r="I74" t="n">
        <v>0</v>
      </c>
      <c r="J74" t="n">
        <v>0</v>
      </c>
      <c r="K74" t="n">
        <v>0</v>
      </c>
      <c r="L74" t="n">
        <v>0</v>
      </c>
      <c r="M74" t="n">
        <v>0</v>
      </c>
      <c r="N74" t="n">
        <v>0</v>
      </c>
      <c r="O74" t="n">
        <v>0</v>
      </c>
      <c r="P74" t="n">
        <v>0</v>
      </c>
      <c r="Q74" t="n">
        <v>0</v>
      </c>
      <c r="R74" s="2" t="inlineStr"/>
    </row>
    <row r="75" ht="15" customHeight="1">
      <c r="A75" t="inlineStr">
        <is>
          <t>A 58100-2019</t>
        </is>
      </c>
      <c r="B75" s="1" t="n">
        <v>43769</v>
      </c>
      <c r="C75" s="1" t="n">
        <v>45698</v>
      </c>
      <c r="D75" t="inlineStr">
        <is>
          <t>ÖREBRO LÄN</t>
        </is>
      </c>
      <c r="E75" t="inlineStr">
        <is>
          <t>HÄLLEFORS</t>
        </is>
      </c>
      <c r="G75" t="n">
        <v>2.3</v>
      </c>
      <c r="H75" t="n">
        <v>0</v>
      </c>
      <c r="I75" t="n">
        <v>0</v>
      </c>
      <c r="J75" t="n">
        <v>0</v>
      </c>
      <c r="K75" t="n">
        <v>0</v>
      </c>
      <c r="L75" t="n">
        <v>0</v>
      </c>
      <c r="M75" t="n">
        <v>0</v>
      </c>
      <c r="N75" t="n">
        <v>0</v>
      </c>
      <c r="O75" t="n">
        <v>0</v>
      </c>
      <c r="P75" t="n">
        <v>0</v>
      </c>
      <c r="Q75" t="n">
        <v>0</v>
      </c>
      <c r="R75" s="2" t="inlineStr"/>
    </row>
    <row r="76" ht="15" customHeight="1">
      <c r="A76" t="inlineStr">
        <is>
          <t>A 58317-2019</t>
        </is>
      </c>
      <c r="B76" s="1" t="n">
        <v>43770</v>
      </c>
      <c r="C76" s="1" t="n">
        <v>45698</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65073-2019</t>
        </is>
      </c>
      <c r="B77" s="1" t="n">
        <v>43802</v>
      </c>
      <c r="C77" s="1" t="n">
        <v>45698</v>
      </c>
      <c r="D77" t="inlineStr">
        <is>
          <t>ÖREBRO LÄN</t>
        </is>
      </c>
      <c r="E77" t="inlineStr">
        <is>
          <t>HÄLLEFORS</t>
        </is>
      </c>
      <c r="F77" t="inlineStr">
        <is>
          <t>Bergvik skog väst AB</t>
        </is>
      </c>
      <c r="G77" t="n">
        <v>3.3</v>
      </c>
      <c r="H77" t="n">
        <v>0</v>
      </c>
      <c r="I77" t="n">
        <v>0</v>
      </c>
      <c r="J77" t="n">
        <v>0</v>
      </c>
      <c r="K77" t="n">
        <v>0</v>
      </c>
      <c r="L77" t="n">
        <v>0</v>
      </c>
      <c r="M77" t="n">
        <v>0</v>
      </c>
      <c r="N77" t="n">
        <v>0</v>
      </c>
      <c r="O77" t="n">
        <v>0</v>
      </c>
      <c r="P77" t="n">
        <v>0</v>
      </c>
      <c r="Q77" t="n">
        <v>0</v>
      </c>
      <c r="R77" s="2" t="inlineStr"/>
    </row>
    <row r="78" ht="15" customHeight="1">
      <c r="A78" t="inlineStr">
        <is>
          <t>A 65758-2019</t>
        </is>
      </c>
      <c r="B78" s="1" t="n">
        <v>43804</v>
      </c>
      <c r="C78" s="1" t="n">
        <v>45698</v>
      </c>
      <c r="D78" t="inlineStr">
        <is>
          <t>ÖREBRO LÄN</t>
        </is>
      </c>
      <c r="E78" t="inlineStr">
        <is>
          <t>HÄLLEFORS</t>
        </is>
      </c>
      <c r="G78" t="n">
        <v>2.1</v>
      </c>
      <c r="H78" t="n">
        <v>0</v>
      </c>
      <c r="I78" t="n">
        <v>0</v>
      </c>
      <c r="J78" t="n">
        <v>0</v>
      </c>
      <c r="K78" t="n">
        <v>0</v>
      </c>
      <c r="L78" t="n">
        <v>0</v>
      </c>
      <c r="M78" t="n">
        <v>0</v>
      </c>
      <c r="N78" t="n">
        <v>0</v>
      </c>
      <c r="O78" t="n">
        <v>0</v>
      </c>
      <c r="P78" t="n">
        <v>0</v>
      </c>
      <c r="Q78" t="n">
        <v>0</v>
      </c>
      <c r="R78" s="2" t="inlineStr"/>
    </row>
    <row r="79" ht="15" customHeight="1">
      <c r="A79" t="inlineStr">
        <is>
          <t>A 68534-2019</t>
        </is>
      </c>
      <c r="B79" s="1" t="n">
        <v>43818</v>
      </c>
      <c r="C79" s="1" t="n">
        <v>45698</v>
      </c>
      <c r="D79" t="inlineStr">
        <is>
          <t>ÖREBRO LÄN</t>
        </is>
      </c>
      <c r="E79" t="inlineStr">
        <is>
          <t>HÄLLEFORS</t>
        </is>
      </c>
      <c r="F79" t="inlineStr">
        <is>
          <t>Bergvik skog väst AB</t>
        </is>
      </c>
      <c r="G79" t="n">
        <v>14.3</v>
      </c>
      <c r="H79" t="n">
        <v>0</v>
      </c>
      <c r="I79" t="n">
        <v>0</v>
      </c>
      <c r="J79" t="n">
        <v>0</v>
      </c>
      <c r="K79" t="n">
        <v>0</v>
      </c>
      <c r="L79" t="n">
        <v>0</v>
      </c>
      <c r="M79" t="n">
        <v>0</v>
      </c>
      <c r="N79" t="n">
        <v>0</v>
      </c>
      <c r="O79" t="n">
        <v>0</v>
      </c>
      <c r="P79" t="n">
        <v>0</v>
      </c>
      <c r="Q79" t="n">
        <v>0</v>
      </c>
      <c r="R79" s="2" t="inlineStr"/>
    </row>
    <row r="80" ht="15" customHeight="1">
      <c r="A80" t="inlineStr">
        <is>
          <t>A 55-2020</t>
        </is>
      </c>
      <c r="B80" s="1" t="n">
        <v>43832</v>
      </c>
      <c r="C80" s="1" t="n">
        <v>45698</v>
      </c>
      <c r="D80" t="inlineStr">
        <is>
          <t>ÖREBRO LÄN</t>
        </is>
      </c>
      <c r="E80" t="inlineStr">
        <is>
          <t>HÄLLEFORS</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5089-2020</t>
        </is>
      </c>
      <c r="B81" s="1" t="n">
        <v>43859</v>
      </c>
      <c r="C81" s="1" t="n">
        <v>45698</v>
      </c>
      <c r="D81" t="inlineStr">
        <is>
          <t>ÖREBRO LÄN</t>
        </is>
      </c>
      <c r="E81" t="inlineStr">
        <is>
          <t>HÄLLEFORS</t>
        </is>
      </c>
      <c r="G81" t="n">
        <v>0.3</v>
      </c>
      <c r="H81" t="n">
        <v>0</v>
      </c>
      <c r="I81" t="n">
        <v>0</v>
      </c>
      <c r="J81" t="n">
        <v>0</v>
      </c>
      <c r="K81" t="n">
        <v>0</v>
      </c>
      <c r="L81" t="n">
        <v>0</v>
      </c>
      <c r="M81" t="n">
        <v>0</v>
      </c>
      <c r="N81" t="n">
        <v>0</v>
      </c>
      <c r="O81" t="n">
        <v>0</v>
      </c>
      <c r="P81" t="n">
        <v>0</v>
      </c>
      <c r="Q81" t="n">
        <v>0</v>
      </c>
      <c r="R81" s="2" t="inlineStr"/>
    </row>
    <row r="82" ht="15" customHeight="1">
      <c r="A82" t="inlineStr">
        <is>
          <t>A 6196-2020</t>
        </is>
      </c>
      <c r="B82" s="1" t="n">
        <v>43865</v>
      </c>
      <c r="C82" s="1" t="n">
        <v>45698</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6914-2020</t>
        </is>
      </c>
      <c r="B83" s="1" t="n">
        <v>43868</v>
      </c>
      <c r="C83" s="1" t="n">
        <v>45698</v>
      </c>
      <c r="D83" t="inlineStr">
        <is>
          <t>ÖREBRO LÄN</t>
        </is>
      </c>
      <c r="E83" t="inlineStr">
        <is>
          <t>HÄLLEFORS</t>
        </is>
      </c>
      <c r="F83" t="inlineStr">
        <is>
          <t>Sveaskog</t>
        </is>
      </c>
      <c r="G83" t="n">
        <v>3.2</v>
      </c>
      <c r="H83" t="n">
        <v>0</v>
      </c>
      <c r="I83" t="n">
        <v>0</v>
      </c>
      <c r="J83" t="n">
        <v>0</v>
      </c>
      <c r="K83" t="n">
        <v>0</v>
      </c>
      <c r="L83" t="n">
        <v>0</v>
      </c>
      <c r="M83" t="n">
        <v>0</v>
      </c>
      <c r="N83" t="n">
        <v>0</v>
      </c>
      <c r="O83" t="n">
        <v>0</v>
      </c>
      <c r="P83" t="n">
        <v>0</v>
      </c>
      <c r="Q83" t="n">
        <v>0</v>
      </c>
      <c r="R83" s="2" t="inlineStr"/>
    </row>
    <row r="84" ht="15" customHeight="1">
      <c r="A84" t="inlineStr">
        <is>
          <t>A 9959-2020</t>
        </is>
      </c>
      <c r="B84" s="1" t="n">
        <v>43882</v>
      </c>
      <c r="C84" s="1" t="n">
        <v>45698</v>
      </c>
      <c r="D84" t="inlineStr">
        <is>
          <t>ÖREBRO LÄN</t>
        </is>
      </c>
      <c r="E84" t="inlineStr">
        <is>
          <t>HÄLLEFORS</t>
        </is>
      </c>
      <c r="F84" t="inlineStr">
        <is>
          <t>Bergvik skog väst AB</t>
        </is>
      </c>
      <c r="G84" t="n">
        <v>2.2</v>
      </c>
      <c r="H84" t="n">
        <v>0</v>
      </c>
      <c r="I84" t="n">
        <v>0</v>
      </c>
      <c r="J84" t="n">
        <v>0</v>
      </c>
      <c r="K84" t="n">
        <v>0</v>
      </c>
      <c r="L84" t="n">
        <v>0</v>
      </c>
      <c r="M84" t="n">
        <v>0</v>
      </c>
      <c r="N84" t="n">
        <v>0</v>
      </c>
      <c r="O84" t="n">
        <v>0</v>
      </c>
      <c r="P84" t="n">
        <v>0</v>
      </c>
      <c r="Q84" t="n">
        <v>0</v>
      </c>
      <c r="R84" s="2" t="inlineStr"/>
    </row>
    <row r="85" ht="15" customHeight="1">
      <c r="A85" t="inlineStr">
        <is>
          <t>A 11308-2020</t>
        </is>
      </c>
      <c r="B85" s="1" t="n">
        <v>43892</v>
      </c>
      <c r="C85" s="1" t="n">
        <v>45698</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11235-2020</t>
        </is>
      </c>
      <c r="B86" s="1" t="n">
        <v>43892</v>
      </c>
      <c r="C86" s="1" t="n">
        <v>45698</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12170-2020</t>
        </is>
      </c>
      <c r="B87" s="1" t="n">
        <v>43895</v>
      </c>
      <c r="C87" s="1" t="n">
        <v>45698</v>
      </c>
      <c r="D87" t="inlineStr">
        <is>
          <t>ÖREBRO LÄN</t>
        </is>
      </c>
      <c r="E87" t="inlineStr">
        <is>
          <t>HÄLLEFORS</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16829-2020</t>
        </is>
      </c>
      <c r="B88" s="1" t="n">
        <v>43921</v>
      </c>
      <c r="C88" s="1" t="n">
        <v>45698</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18000-2020</t>
        </is>
      </c>
      <c r="B89" s="1" t="n">
        <v>43927</v>
      </c>
      <c r="C89" s="1" t="n">
        <v>45698</v>
      </c>
      <c r="D89" t="inlineStr">
        <is>
          <t>ÖREBRO LÄN</t>
        </is>
      </c>
      <c r="E89" t="inlineStr">
        <is>
          <t>HÄLLEFORS</t>
        </is>
      </c>
      <c r="F89" t="inlineStr">
        <is>
          <t>Bergvik skog väst AB</t>
        </is>
      </c>
      <c r="G89" t="n">
        <v>11.1</v>
      </c>
      <c r="H89" t="n">
        <v>0</v>
      </c>
      <c r="I89" t="n">
        <v>0</v>
      </c>
      <c r="J89" t="n">
        <v>0</v>
      </c>
      <c r="K89" t="n">
        <v>0</v>
      </c>
      <c r="L89" t="n">
        <v>0</v>
      </c>
      <c r="M89" t="n">
        <v>0</v>
      </c>
      <c r="N89" t="n">
        <v>0</v>
      </c>
      <c r="O89" t="n">
        <v>0</v>
      </c>
      <c r="P89" t="n">
        <v>0</v>
      </c>
      <c r="Q89" t="n">
        <v>0</v>
      </c>
      <c r="R89" s="2" t="inlineStr"/>
    </row>
    <row r="90" ht="15" customHeight="1">
      <c r="A90" t="inlineStr">
        <is>
          <t>A 18669-2020</t>
        </is>
      </c>
      <c r="B90" s="1" t="n">
        <v>43930</v>
      </c>
      <c r="C90" s="1" t="n">
        <v>45698</v>
      </c>
      <c r="D90" t="inlineStr">
        <is>
          <t>ÖREBRO LÄN</t>
        </is>
      </c>
      <c r="E90" t="inlineStr">
        <is>
          <t>HÄLLEFORS</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18672-2020</t>
        </is>
      </c>
      <c r="B91" s="1" t="n">
        <v>43930</v>
      </c>
      <c r="C91" s="1" t="n">
        <v>45698</v>
      </c>
      <c r="D91" t="inlineStr">
        <is>
          <t>ÖREBRO LÄN</t>
        </is>
      </c>
      <c r="E91" t="inlineStr">
        <is>
          <t>HÄLLEFORS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20719-2020</t>
        </is>
      </c>
      <c r="B92" s="1" t="n">
        <v>43949</v>
      </c>
      <c r="C92" s="1" t="n">
        <v>45698</v>
      </c>
      <c r="D92" t="inlineStr">
        <is>
          <t>ÖREBRO LÄN</t>
        </is>
      </c>
      <c r="E92" t="inlineStr">
        <is>
          <t>HÄLLEFORS</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20718-2020</t>
        </is>
      </c>
      <c r="B93" s="1" t="n">
        <v>43949</v>
      </c>
      <c r="C93" s="1" t="n">
        <v>45698</v>
      </c>
      <c r="D93" t="inlineStr">
        <is>
          <t>ÖREBRO LÄN</t>
        </is>
      </c>
      <c r="E93" t="inlineStr">
        <is>
          <t>HÄLLEFORS</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21177-2020</t>
        </is>
      </c>
      <c r="B94" s="1" t="n">
        <v>43951</v>
      </c>
      <c r="C94" s="1" t="n">
        <v>45698</v>
      </c>
      <c r="D94" t="inlineStr">
        <is>
          <t>ÖREBRO LÄN</t>
        </is>
      </c>
      <c r="E94" t="inlineStr">
        <is>
          <t>HÄLLEFORS</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21750-2020</t>
        </is>
      </c>
      <c r="B95" s="1" t="n">
        <v>43957</v>
      </c>
      <c r="C95" s="1" t="n">
        <v>45698</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21859-2020</t>
        </is>
      </c>
      <c r="B96" s="1" t="n">
        <v>43958</v>
      </c>
      <c r="C96" s="1" t="n">
        <v>45698</v>
      </c>
      <c r="D96" t="inlineStr">
        <is>
          <t>ÖREBRO LÄN</t>
        </is>
      </c>
      <c r="E96" t="inlineStr">
        <is>
          <t>HÄLLEFORS</t>
        </is>
      </c>
      <c r="F96" t="inlineStr">
        <is>
          <t>Bergvik skog väst AB</t>
        </is>
      </c>
      <c r="G96" t="n">
        <v>0.9</v>
      </c>
      <c r="H96" t="n">
        <v>0</v>
      </c>
      <c r="I96" t="n">
        <v>0</v>
      </c>
      <c r="J96" t="n">
        <v>0</v>
      </c>
      <c r="K96" t="n">
        <v>0</v>
      </c>
      <c r="L96" t="n">
        <v>0</v>
      </c>
      <c r="M96" t="n">
        <v>0</v>
      </c>
      <c r="N96" t="n">
        <v>0</v>
      </c>
      <c r="O96" t="n">
        <v>0</v>
      </c>
      <c r="P96" t="n">
        <v>0</v>
      </c>
      <c r="Q96" t="n">
        <v>0</v>
      </c>
      <c r="R96" s="2" t="inlineStr"/>
    </row>
    <row r="97" ht="15" customHeight="1">
      <c r="A97" t="inlineStr">
        <is>
          <t>A 22729-2020</t>
        </is>
      </c>
      <c r="B97" s="1" t="n">
        <v>43962</v>
      </c>
      <c r="C97" s="1" t="n">
        <v>45698</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24483-2020</t>
        </is>
      </c>
      <c r="B98" s="1" t="n">
        <v>43977</v>
      </c>
      <c r="C98" s="1" t="n">
        <v>45698</v>
      </c>
      <c r="D98" t="inlineStr">
        <is>
          <t>ÖREBRO LÄN</t>
        </is>
      </c>
      <c r="E98" t="inlineStr">
        <is>
          <t>HÄLLEFORS</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27171-2020</t>
        </is>
      </c>
      <c r="B99" s="1" t="n">
        <v>43991</v>
      </c>
      <c r="C99" s="1" t="n">
        <v>45698</v>
      </c>
      <c r="D99" t="inlineStr">
        <is>
          <t>ÖREBRO LÄN</t>
        </is>
      </c>
      <c r="E99" t="inlineStr">
        <is>
          <t>HÄLLEFORS</t>
        </is>
      </c>
      <c r="G99" t="n">
        <v>1.9</v>
      </c>
      <c r="H99" t="n">
        <v>0</v>
      </c>
      <c r="I99" t="n">
        <v>0</v>
      </c>
      <c r="J99" t="n">
        <v>0</v>
      </c>
      <c r="K99" t="n">
        <v>0</v>
      </c>
      <c r="L99" t="n">
        <v>0</v>
      </c>
      <c r="M99" t="n">
        <v>0</v>
      </c>
      <c r="N99" t="n">
        <v>0</v>
      </c>
      <c r="O99" t="n">
        <v>0</v>
      </c>
      <c r="P99" t="n">
        <v>0</v>
      </c>
      <c r="Q99" t="n">
        <v>0</v>
      </c>
      <c r="R99" s="2" t="inlineStr"/>
    </row>
    <row r="100" ht="15" customHeight="1">
      <c r="A100" t="inlineStr">
        <is>
          <t>A 27173-2020</t>
        </is>
      </c>
      <c r="B100" s="1" t="n">
        <v>43991</v>
      </c>
      <c r="C100" s="1" t="n">
        <v>45698</v>
      </c>
      <c r="D100" t="inlineStr">
        <is>
          <t>ÖREBRO LÄN</t>
        </is>
      </c>
      <c r="E100" t="inlineStr">
        <is>
          <t>HÄLLEFORS</t>
        </is>
      </c>
      <c r="G100" t="n">
        <v>2.9</v>
      </c>
      <c r="H100" t="n">
        <v>0</v>
      </c>
      <c r="I100" t="n">
        <v>0</v>
      </c>
      <c r="J100" t="n">
        <v>0</v>
      </c>
      <c r="K100" t="n">
        <v>0</v>
      </c>
      <c r="L100" t="n">
        <v>0</v>
      </c>
      <c r="M100" t="n">
        <v>0</v>
      </c>
      <c r="N100" t="n">
        <v>0</v>
      </c>
      <c r="O100" t="n">
        <v>0</v>
      </c>
      <c r="P100" t="n">
        <v>0</v>
      </c>
      <c r="Q100" t="n">
        <v>0</v>
      </c>
      <c r="R100" s="2" t="inlineStr"/>
    </row>
    <row r="101" ht="15" customHeight="1">
      <c r="A101" t="inlineStr">
        <is>
          <t>A 28373-2020</t>
        </is>
      </c>
      <c r="B101" s="1" t="n">
        <v>43998</v>
      </c>
      <c r="C101" s="1" t="n">
        <v>45698</v>
      </c>
      <c r="D101" t="inlineStr">
        <is>
          <t>ÖREBRO LÄN</t>
        </is>
      </c>
      <c r="E101" t="inlineStr">
        <is>
          <t>HÄLLEFORS</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32649-2020</t>
        </is>
      </c>
      <c r="B102" s="1" t="n">
        <v>44018</v>
      </c>
      <c r="C102" s="1" t="n">
        <v>45698</v>
      </c>
      <c r="D102" t="inlineStr">
        <is>
          <t>ÖREBRO LÄN</t>
        </is>
      </c>
      <c r="E102" t="inlineStr">
        <is>
          <t>HÄLLEFORS</t>
        </is>
      </c>
      <c r="F102" t="inlineStr">
        <is>
          <t>Kyrkan</t>
        </is>
      </c>
      <c r="G102" t="n">
        <v>10.8</v>
      </c>
      <c r="H102" t="n">
        <v>0</v>
      </c>
      <c r="I102" t="n">
        <v>0</v>
      </c>
      <c r="J102" t="n">
        <v>0</v>
      </c>
      <c r="K102" t="n">
        <v>0</v>
      </c>
      <c r="L102" t="n">
        <v>0</v>
      </c>
      <c r="M102" t="n">
        <v>0</v>
      </c>
      <c r="N102" t="n">
        <v>0</v>
      </c>
      <c r="O102" t="n">
        <v>0</v>
      </c>
      <c r="P102" t="n">
        <v>0</v>
      </c>
      <c r="Q102" t="n">
        <v>0</v>
      </c>
      <c r="R102" s="2" t="inlineStr"/>
    </row>
    <row r="103" ht="15" customHeight="1">
      <c r="A103" t="inlineStr">
        <is>
          <t>A 34415-2020</t>
        </is>
      </c>
      <c r="B103" s="1" t="n">
        <v>44032</v>
      </c>
      <c r="C103" s="1" t="n">
        <v>45698</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35825-2020</t>
        </is>
      </c>
      <c r="B104" s="1" t="n">
        <v>44047</v>
      </c>
      <c r="C104" s="1" t="n">
        <v>45698</v>
      </c>
      <c r="D104" t="inlineStr">
        <is>
          <t>ÖREBRO LÄN</t>
        </is>
      </c>
      <c r="E104" t="inlineStr">
        <is>
          <t>HÄLLEFORS</t>
        </is>
      </c>
      <c r="G104" t="n">
        <v>4.8</v>
      </c>
      <c r="H104" t="n">
        <v>0</v>
      </c>
      <c r="I104" t="n">
        <v>0</v>
      </c>
      <c r="J104" t="n">
        <v>0</v>
      </c>
      <c r="K104" t="n">
        <v>0</v>
      </c>
      <c r="L104" t="n">
        <v>0</v>
      </c>
      <c r="M104" t="n">
        <v>0</v>
      </c>
      <c r="N104" t="n">
        <v>0</v>
      </c>
      <c r="O104" t="n">
        <v>0</v>
      </c>
      <c r="P104" t="n">
        <v>0</v>
      </c>
      <c r="Q104" t="n">
        <v>0</v>
      </c>
      <c r="R104" s="2" t="inlineStr"/>
    </row>
    <row r="105" ht="15" customHeight="1">
      <c r="A105" t="inlineStr">
        <is>
          <t>A 39505-2020</t>
        </is>
      </c>
      <c r="B105" s="1" t="n">
        <v>44064</v>
      </c>
      <c r="C105" s="1" t="n">
        <v>45698</v>
      </c>
      <c r="D105" t="inlineStr">
        <is>
          <t>ÖREBRO LÄN</t>
        </is>
      </c>
      <c r="E105" t="inlineStr">
        <is>
          <t>HÄLLEFORS</t>
        </is>
      </c>
      <c r="F105" t="inlineStr">
        <is>
          <t>Bergvik skog väst AB</t>
        </is>
      </c>
      <c r="G105" t="n">
        <v>3.9</v>
      </c>
      <c r="H105" t="n">
        <v>0</v>
      </c>
      <c r="I105" t="n">
        <v>0</v>
      </c>
      <c r="J105" t="n">
        <v>0</v>
      </c>
      <c r="K105" t="n">
        <v>0</v>
      </c>
      <c r="L105" t="n">
        <v>0</v>
      </c>
      <c r="M105" t="n">
        <v>0</v>
      </c>
      <c r="N105" t="n">
        <v>0</v>
      </c>
      <c r="O105" t="n">
        <v>0</v>
      </c>
      <c r="P105" t="n">
        <v>0</v>
      </c>
      <c r="Q105" t="n">
        <v>0</v>
      </c>
      <c r="R105" s="2" t="inlineStr"/>
    </row>
    <row r="106" ht="15" customHeight="1">
      <c r="A106" t="inlineStr">
        <is>
          <t>A 39512-2020</t>
        </is>
      </c>
      <c r="B106" s="1" t="n">
        <v>44064</v>
      </c>
      <c r="C106" s="1" t="n">
        <v>45698</v>
      </c>
      <c r="D106" t="inlineStr">
        <is>
          <t>ÖREBRO LÄN</t>
        </is>
      </c>
      <c r="E106" t="inlineStr">
        <is>
          <t>HÄLLEFORS</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39557-2020</t>
        </is>
      </c>
      <c r="B107" s="1" t="n">
        <v>44064</v>
      </c>
      <c r="C107" s="1" t="n">
        <v>45698</v>
      </c>
      <c r="D107" t="inlineStr">
        <is>
          <t>ÖREBRO LÄN</t>
        </is>
      </c>
      <c r="E107" t="inlineStr">
        <is>
          <t>HÄLLEFORS</t>
        </is>
      </c>
      <c r="F107" t="inlineStr">
        <is>
          <t>Bergvik skog väst AB</t>
        </is>
      </c>
      <c r="G107" t="n">
        <v>18.1</v>
      </c>
      <c r="H107" t="n">
        <v>0</v>
      </c>
      <c r="I107" t="n">
        <v>0</v>
      </c>
      <c r="J107" t="n">
        <v>0</v>
      </c>
      <c r="K107" t="n">
        <v>0</v>
      </c>
      <c r="L107" t="n">
        <v>0</v>
      </c>
      <c r="M107" t="n">
        <v>0</v>
      </c>
      <c r="N107" t="n">
        <v>0</v>
      </c>
      <c r="O107" t="n">
        <v>0</v>
      </c>
      <c r="P107" t="n">
        <v>0</v>
      </c>
      <c r="Q107" t="n">
        <v>0</v>
      </c>
      <c r="R107" s="2" t="inlineStr"/>
    </row>
    <row r="108" ht="15" customHeight="1">
      <c r="A108" t="inlineStr">
        <is>
          <t>A 39484-2020</t>
        </is>
      </c>
      <c r="B108" s="1" t="n">
        <v>44064</v>
      </c>
      <c r="C108" s="1" t="n">
        <v>45698</v>
      </c>
      <c r="D108" t="inlineStr">
        <is>
          <t>ÖREBRO LÄN</t>
        </is>
      </c>
      <c r="E108" t="inlineStr">
        <is>
          <t>HÄLLEFORS</t>
        </is>
      </c>
      <c r="F108" t="inlineStr">
        <is>
          <t>Bergvik skog väst AB</t>
        </is>
      </c>
      <c r="G108" t="n">
        <v>1.6</v>
      </c>
      <c r="H108" t="n">
        <v>0</v>
      </c>
      <c r="I108" t="n">
        <v>0</v>
      </c>
      <c r="J108" t="n">
        <v>0</v>
      </c>
      <c r="K108" t="n">
        <v>0</v>
      </c>
      <c r="L108" t="n">
        <v>0</v>
      </c>
      <c r="M108" t="n">
        <v>0</v>
      </c>
      <c r="N108" t="n">
        <v>0</v>
      </c>
      <c r="O108" t="n">
        <v>0</v>
      </c>
      <c r="P108" t="n">
        <v>0</v>
      </c>
      <c r="Q108" t="n">
        <v>0</v>
      </c>
      <c r="R108" s="2" t="inlineStr"/>
    </row>
    <row r="109" ht="15" customHeight="1">
      <c r="A109" t="inlineStr">
        <is>
          <t>A 39499-2020</t>
        </is>
      </c>
      <c r="B109" s="1" t="n">
        <v>44064</v>
      </c>
      <c r="C109" s="1" t="n">
        <v>45698</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39607-2020</t>
        </is>
      </c>
      <c r="B110" s="1" t="n">
        <v>44064</v>
      </c>
      <c r="C110" s="1" t="n">
        <v>45698</v>
      </c>
      <c r="D110" t="inlineStr">
        <is>
          <t>ÖREBRO LÄN</t>
        </is>
      </c>
      <c r="E110" t="inlineStr">
        <is>
          <t>HÄLLEFORS</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39572-2020</t>
        </is>
      </c>
      <c r="B111" s="1" t="n">
        <v>44064</v>
      </c>
      <c r="C111" s="1" t="n">
        <v>45698</v>
      </c>
      <c r="D111" t="inlineStr">
        <is>
          <t>ÖREBRO LÄN</t>
        </is>
      </c>
      <c r="E111" t="inlineStr">
        <is>
          <t>HÄLLEFORS</t>
        </is>
      </c>
      <c r="F111" t="inlineStr">
        <is>
          <t>Bergvik skog väst AB</t>
        </is>
      </c>
      <c r="G111" t="n">
        <v>1.5</v>
      </c>
      <c r="H111" t="n">
        <v>0</v>
      </c>
      <c r="I111" t="n">
        <v>0</v>
      </c>
      <c r="J111" t="n">
        <v>0</v>
      </c>
      <c r="K111" t="n">
        <v>0</v>
      </c>
      <c r="L111" t="n">
        <v>0</v>
      </c>
      <c r="M111" t="n">
        <v>0</v>
      </c>
      <c r="N111" t="n">
        <v>0</v>
      </c>
      <c r="O111" t="n">
        <v>0</v>
      </c>
      <c r="P111" t="n">
        <v>0</v>
      </c>
      <c r="Q111" t="n">
        <v>0</v>
      </c>
      <c r="R111" s="2" t="inlineStr"/>
    </row>
    <row r="112" ht="15" customHeight="1">
      <c r="A112" t="inlineStr">
        <is>
          <t>A 39603-2020</t>
        </is>
      </c>
      <c r="B112" s="1" t="n">
        <v>44064</v>
      </c>
      <c r="C112" s="1" t="n">
        <v>45698</v>
      </c>
      <c r="D112" t="inlineStr">
        <is>
          <t>ÖREBRO LÄN</t>
        </is>
      </c>
      <c r="E112" t="inlineStr">
        <is>
          <t>HÄLLEFORS</t>
        </is>
      </c>
      <c r="F112" t="inlineStr">
        <is>
          <t>Bergvik skog väst AB</t>
        </is>
      </c>
      <c r="G112" t="n">
        <v>2.9</v>
      </c>
      <c r="H112" t="n">
        <v>0</v>
      </c>
      <c r="I112" t="n">
        <v>0</v>
      </c>
      <c r="J112" t="n">
        <v>0</v>
      </c>
      <c r="K112" t="n">
        <v>0</v>
      </c>
      <c r="L112" t="n">
        <v>0</v>
      </c>
      <c r="M112" t="n">
        <v>0</v>
      </c>
      <c r="N112" t="n">
        <v>0</v>
      </c>
      <c r="O112" t="n">
        <v>0</v>
      </c>
      <c r="P112" t="n">
        <v>0</v>
      </c>
      <c r="Q112" t="n">
        <v>0</v>
      </c>
      <c r="R112" s="2" t="inlineStr"/>
    </row>
    <row r="113" ht="15" customHeight="1">
      <c r="A113" t="inlineStr">
        <is>
          <t>A 39613-2020</t>
        </is>
      </c>
      <c r="B113" s="1" t="n">
        <v>44064</v>
      </c>
      <c r="C113" s="1" t="n">
        <v>45698</v>
      </c>
      <c r="D113" t="inlineStr">
        <is>
          <t>ÖREBRO LÄN</t>
        </is>
      </c>
      <c r="E113" t="inlineStr">
        <is>
          <t>HÄLLEFORS</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39564-2020</t>
        </is>
      </c>
      <c r="B114" s="1" t="n">
        <v>44064</v>
      </c>
      <c r="C114" s="1" t="n">
        <v>45698</v>
      </c>
      <c r="D114" t="inlineStr">
        <is>
          <t>ÖREBRO LÄN</t>
        </is>
      </c>
      <c r="E114" t="inlineStr">
        <is>
          <t>HÄLLEFORS</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39914-2020</t>
        </is>
      </c>
      <c r="B115" s="1" t="n">
        <v>44067</v>
      </c>
      <c r="C115" s="1" t="n">
        <v>45698</v>
      </c>
      <c r="D115" t="inlineStr">
        <is>
          <t>ÖREBRO LÄN</t>
        </is>
      </c>
      <c r="E115" t="inlineStr">
        <is>
          <t>HÄLLEFORS</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39921-2020</t>
        </is>
      </c>
      <c r="B116" s="1" t="n">
        <v>44067</v>
      </c>
      <c r="C116" s="1" t="n">
        <v>45698</v>
      </c>
      <c r="D116" t="inlineStr">
        <is>
          <t>ÖREBRO LÄN</t>
        </is>
      </c>
      <c r="E116" t="inlineStr">
        <is>
          <t>HÄLLEFORS</t>
        </is>
      </c>
      <c r="F116" t="inlineStr">
        <is>
          <t>Bergvik skog väst AB</t>
        </is>
      </c>
      <c r="G116" t="n">
        <v>3.9</v>
      </c>
      <c r="H116" t="n">
        <v>0</v>
      </c>
      <c r="I116" t="n">
        <v>0</v>
      </c>
      <c r="J116" t="n">
        <v>0</v>
      </c>
      <c r="K116" t="n">
        <v>0</v>
      </c>
      <c r="L116" t="n">
        <v>0</v>
      </c>
      <c r="M116" t="n">
        <v>0</v>
      </c>
      <c r="N116" t="n">
        <v>0</v>
      </c>
      <c r="O116" t="n">
        <v>0</v>
      </c>
      <c r="P116" t="n">
        <v>0</v>
      </c>
      <c r="Q116" t="n">
        <v>0</v>
      </c>
      <c r="R116" s="2" t="inlineStr"/>
    </row>
    <row r="117" ht="15" customHeight="1">
      <c r="A117" t="inlineStr">
        <is>
          <t>A 40467-2020</t>
        </is>
      </c>
      <c r="B117" s="1" t="n">
        <v>44069</v>
      </c>
      <c r="C117" s="1" t="n">
        <v>45698</v>
      </c>
      <c r="D117" t="inlineStr">
        <is>
          <t>ÖREBRO LÄN</t>
        </is>
      </c>
      <c r="E117" t="inlineStr">
        <is>
          <t>HÄLLEFORS</t>
        </is>
      </c>
      <c r="G117" t="n">
        <v>0.5</v>
      </c>
      <c r="H117" t="n">
        <v>0</v>
      </c>
      <c r="I117" t="n">
        <v>0</v>
      </c>
      <c r="J117" t="n">
        <v>0</v>
      </c>
      <c r="K117" t="n">
        <v>0</v>
      </c>
      <c r="L117" t="n">
        <v>0</v>
      </c>
      <c r="M117" t="n">
        <v>0</v>
      </c>
      <c r="N117" t="n">
        <v>0</v>
      </c>
      <c r="O117" t="n">
        <v>0</v>
      </c>
      <c r="P117" t="n">
        <v>0</v>
      </c>
      <c r="Q117" t="n">
        <v>0</v>
      </c>
      <c r="R117" s="2" t="inlineStr"/>
    </row>
    <row r="118" ht="15" customHeight="1">
      <c r="A118" t="inlineStr">
        <is>
          <t>A 40935-2020</t>
        </is>
      </c>
      <c r="B118" s="1" t="n">
        <v>44070</v>
      </c>
      <c r="C118" s="1" t="n">
        <v>45698</v>
      </c>
      <c r="D118" t="inlineStr">
        <is>
          <t>ÖREBRO LÄN</t>
        </is>
      </c>
      <c r="E118" t="inlineStr">
        <is>
          <t>HÄLLEFORS</t>
        </is>
      </c>
      <c r="F118" t="inlineStr">
        <is>
          <t>Bergvik skog väst AB</t>
        </is>
      </c>
      <c r="G118" t="n">
        <v>8.1</v>
      </c>
      <c r="H118" t="n">
        <v>0</v>
      </c>
      <c r="I118" t="n">
        <v>0</v>
      </c>
      <c r="J118" t="n">
        <v>0</v>
      </c>
      <c r="K118" t="n">
        <v>0</v>
      </c>
      <c r="L118" t="n">
        <v>0</v>
      </c>
      <c r="M118" t="n">
        <v>0</v>
      </c>
      <c r="N118" t="n">
        <v>0</v>
      </c>
      <c r="O118" t="n">
        <v>0</v>
      </c>
      <c r="P118" t="n">
        <v>0</v>
      </c>
      <c r="Q118" t="n">
        <v>0</v>
      </c>
      <c r="R118" s="2" t="inlineStr"/>
    </row>
    <row r="119" ht="15" customHeight="1">
      <c r="A119" t="inlineStr">
        <is>
          <t>A 42613-2020</t>
        </is>
      </c>
      <c r="B119" s="1" t="n">
        <v>44077</v>
      </c>
      <c r="C119" s="1" t="n">
        <v>45698</v>
      </c>
      <c r="D119" t="inlineStr">
        <is>
          <t>ÖREBRO LÄN</t>
        </is>
      </c>
      <c r="E119" t="inlineStr">
        <is>
          <t>HÄLLEFORS</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44924-2020</t>
        </is>
      </c>
      <c r="B120" s="1" t="n">
        <v>44083</v>
      </c>
      <c r="C120" s="1" t="n">
        <v>45698</v>
      </c>
      <c r="D120" t="inlineStr">
        <is>
          <t>ÖREBRO LÄN</t>
        </is>
      </c>
      <c r="E120" t="inlineStr">
        <is>
          <t>HÄLLEFORS</t>
        </is>
      </c>
      <c r="G120" t="n">
        <v>0.7</v>
      </c>
      <c r="H120" t="n">
        <v>0</v>
      </c>
      <c r="I120" t="n">
        <v>0</v>
      </c>
      <c r="J120" t="n">
        <v>0</v>
      </c>
      <c r="K120" t="n">
        <v>0</v>
      </c>
      <c r="L120" t="n">
        <v>0</v>
      </c>
      <c r="M120" t="n">
        <v>0</v>
      </c>
      <c r="N120" t="n">
        <v>0</v>
      </c>
      <c r="O120" t="n">
        <v>0</v>
      </c>
      <c r="P120" t="n">
        <v>0</v>
      </c>
      <c r="Q120" t="n">
        <v>0</v>
      </c>
      <c r="R120" s="2" t="inlineStr"/>
    </row>
    <row r="121" ht="15" customHeight="1">
      <c r="A121" t="inlineStr">
        <is>
          <t>A 44556-2020</t>
        </is>
      </c>
      <c r="B121" s="1" t="n">
        <v>44085</v>
      </c>
      <c r="C121" s="1" t="n">
        <v>45698</v>
      </c>
      <c r="D121" t="inlineStr">
        <is>
          <t>ÖREBRO LÄN</t>
        </is>
      </c>
      <c r="E121" t="inlineStr">
        <is>
          <t>HÄLLEFORS</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45459-2020</t>
        </is>
      </c>
      <c r="B122" s="1" t="n">
        <v>44089</v>
      </c>
      <c r="C122" s="1" t="n">
        <v>45698</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47609-2020</t>
        </is>
      </c>
      <c r="B123" s="1" t="n">
        <v>44098</v>
      </c>
      <c r="C123" s="1" t="n">
        <v>45698</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47702-2020</t>
        </is>
      </c>
      <c r="B124" s="1" t="n">
        <v>44098</v>
      </c>
      <c r="C124" s="1" t="n">
        <v>45698</v>
      </c>
      <c r="D124" t="inlineStr">
        <is>
          <t>ÖREBRO LÄN</t>
        </is>
      </c>
      <c r="E124" t="inlineStr">
        <is>
          <t>HÄLLEFORS</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47614-2020</t>
        </is>
      </c>
      <c r="B125" s="1" t="n">
        <v>44098</v>
      </c>
      <c r="C125" s="1" t="n">
        <v>45698</v>
      </c>
      <c r="D125" t="inlineStr">
        <is>
          <t>ÖREBRO LÄN</t>
        </is>
      </c>
      <c r="E125" t="inlineStr">
        <is>
          <t>HÄLLEFORS</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47731-2020</t>
        </is>
      </c>
      <c r="B126" s="1" t="n">
        <v>44098</v>
      </c>
      <c r="C126" s="1" t="n">
        <v>45698</v>
      </c>
      <c r="D126" t="inlineStr">
        <is>
          <t>ÖREBRO LÄN</t>
        </is>
      </c>
      <c r="E126" t="inlineStr">
        <is>
          <t>HÄLLEFORS</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48127-2020</t>
        </is>
      </c>
      <c r="B127" s="1" t="n">
        <v>44102</v>
      </c>
      <c r="C127" s="1" t="n">
        <v>45698</v>
      </c>
      <c r="D127" t="inlineStr">
        <is>
          <t>ÖREBRO LÄN</t>
        </is>
      </c>
      <c r="E127" t="inlineStr">
        <is>
          <t>HÄLLEFORS</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48316-2020</t>
        </is>
      </c>
      <c r="B128" s="1" t="n">
        <v>44102</v>
      </c>
      <c r="C128" s="1" t="n">
        <v>45698</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49640-2020</t>
        </is>
      </c>
      <c r="B129" s="1" t="n">
        <v>44106</v>
      </c>
      <c r="C129" s="1" t="n">
        <v>45698</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49719-2020</t>
        </is>
      </c>
      <c r="B130" s="1" t="n">
        <v>44106</v>
      </c>
      <c r="C130" s="1" t="n">
        <v>45698</v>
      </c>
      <c r="D130" t="inlineStr">
        <is>
          <t>ÖREBRO LÄN</t>
        </is>
      </c>
      <c r="E130" t="inlineStr">
        <is>
          <t>HÄLLEFORS</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49642-2020</t>
        </is>
      </c>
      <c r="B131" s="1" t="n">
        <v>44106</v>
      </c>
      <c r="C131" s="1" t="n">
        <v>45698</v>
      </c>
      <c r="D131" t="inlineStr">
        <is>
          <t>ÖREBRO LÄN</t>
        </is>
      </c>
      <c r="E131" t="inlineStr">
        <is>
          <t>HÄLLEFORS</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49650-2020</t>
        </is>
      </c>
      <c r="B132" s="1" t="n">
        <v>44106</v>
      </c>
      <c r="C132" s="1" t="n">
        <v>45698</v>
      </c>
      <c r="D132" t="inlineStr">
        <is>
          <t>ÖREBRO LÄN</t>
        </is>
      </c>
      <c r="E132" t="inlineStr">
        <is>
          <t>HÄLLEFORS</t>
        </is>
      </c>
      <c r="F132" t="inlineStr">
        <is>
          <t>Bergvik skog väst AB</t>
        </is>
      </c>
      <c r="G132" t="n">
        <v>1.2</v>
      </c>
      <c r="H132" t="n">
        <v>0</v>
      </c>
      <c r="I132" t="n">
        <v>0</v>
      </c>
      <c r="J132" t="n">
        <v>0</v>
      </c>
      <c r="K132" t="n">
        <v>0</v>
      </c>
      <c r="L132" t="n">
        <v>0</v>
      </c>
      <c r="M132" t="n">
        <v>0</v>
      </c>
      <c r="N132" t="n">
        <v>0</v>
      </c>
      <c r="O132" t="n">
        <v>0</v>
      </c>
      <c r="P132" t="n">
        <v>0</v>
      </c>
      <c r="Q132" t="n">
        <v>0</v>
      </c>
      <c r="R132" s="2" t="inlineStr"/>
    </row>
    <row r="133" ht="15" customHeight="1">
      <c r="A133" t="inlineStr">
        <is>
          <t>A 49882-2020</t>
        </is>
      </c>
      <c r="B133" s="1" t="n">
        <v>44108</v>
      </c>
      <c r="C133" s="1" t="n">
        <v>45698</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50345-2020</t>
        </is>
      </c>
      <c r="B134" s="1" t="n">
        <v>44110</v>
      </c>
      <c r="C134" s="1" t="n">
        <v>45698</v>
      </c>
      <c r="D134" t="inlineStr">
        <is>
          <t>ÖREBRO LÄN</t>
        </is>
      </c>
      <c r="E134" t="inlineStr">
        <is>
          <t>HÄLLEFORS</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58534-2020</t>
        </is>
      </c>
      <c r="B135" s="1" t="n">
        <v>44145</v>
      </c>
      <c r="C135" s="1" t="n">
        <v>45698</v>
      </c>
      <c r="D135" t="inlineStr">
        <is>
          <t>ÖREBRO LÄN</t>
        </is>
      </c>
      <c r="E135" t="inlineStr">
        <is>
          <t>HÄLLEFORS</t>
        </is>
      </c>
      <c r="G135" t="n">
        <v>3.1</v>
      </c>
      <c r="H135" t="n">
        <v>0</v>
      </c>
      <c r="I135" t="n">
        <v>0</v>
      </c>
      <c r="J135" t="n">
        <v>0</v>
      </c>
      <c r="K135" t="n">
        <v>0</v>
      </c>
      <c r="L135" t="n">
        <v>0</v>
      </c>
      <c r="M135" t="n">
        <v>0</v>
      </c>
      <c r="N135" t="n">
        <v>0</v>
      </c>
      <c r="O135" t="n">
        <v>0</v>
      </c>
      <c r="P135" t="n">
        <v>0</v>
      </c>
      <c r="Q135" t="n">
        <v>0</v>
      </c>
      <c r="R135" s="2" t="inlineStr"/>
    </row>
    <row r="136" ht="15" customHeight="1">
      <c r="A136" t="inlineStr">
        <is>
          <t>A 58756-2020</t>
        </is>
      </c>
      <c r="B136" s="1" t="n">
        <v>44146</v>
      </c>
      <c r="C136" s="1" t="n">
        <v>45698</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c r="U136">
        <f>HYPERLINK("https://klasma.github.io/Logging_1863/knärot/A 58756-2020 karta knärot.png", "A 58756-2020")</f>
        <v/>
      </c>
      <c r="V136">
        <f>HYPERLINK("https://klasma.github.io/Logging_1863/klagomål/A 58756-2020 FSC-klagomål.docx", "A 58756-2020")</f>
        <v/>
      </c>
      <c r="W136">
        <f>HYPERLINK("https://klasma.github.io/Logging_1863/klagomålsmail/A 58756-2020 FSC-klagomål mail.docx", "A 58756-2020")</f>
        <v/>
      </c>
      <c r="X136">
        <f>HYPERLINK("https://klasma.github.io/Logging_1863/tillsyn/A 58756-2020 tillsynsbegäran.docx", "A 58756-2020")</f>
        <v/>
      </c>
      <c r="Y136">
        <f>HYPERLINK("https://klasma.github.io/Logging_1863/tillsynsmail/A 58756-2020 tillsynsbegäran mail.docx", "A 58756-2020")</f>
        <v/>
      </c>
    </row>
    <row r="137" ht="15" customHeight="1">
      <c r="A137" t="inlineStr">
        <is>
          <t>A 58764-2020</t>
        </is>
      </c>
      <c r="B137" s="1" t="n">
        <v>44146</v>
      </c>
      <c r="C137" s="1" t="n">
        <v>45698</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45698</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45698</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45698</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45698</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45698</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45698</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45698</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45698</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45698</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45698</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45698</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45698</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45698</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45698</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45698</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45698</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45698</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45698</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45698</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45698</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45698</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45698</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45698</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45698</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45698</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45698</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45698</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45698</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45698</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45698</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45698</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45698</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45698</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45698</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45698</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45698</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45698</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45698</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45698</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45698</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45698</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45698</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45698</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45698</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45698</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45698</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45698</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45698</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45698</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45698</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45698</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45698</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45698</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45698</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45698</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45698</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45698</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45698</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45698</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45698</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45698</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45698</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45698</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45698</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45698</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45698</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45698</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45698</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45698</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45698</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45698</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45698</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45698</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45698</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45698</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45698</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45698</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45698</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45698</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45698</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45698</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45698</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45698</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45698</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45698</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45698</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45698</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45698</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45698</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45698</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45698</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45698</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45698</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45698</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45698</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45698</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45698</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45698</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45698</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45698</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45698</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45698</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45698</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45698</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45698</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45698</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45698</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45698</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45698</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45698</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45698</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45698</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45698</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45698</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45698</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45698</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45698</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45698</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45698</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45698</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45698</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45698</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45698</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45698</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45698</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45698</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45698</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45698</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45698</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45698</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45698</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45698</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45698</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45698</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45698</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45698</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45698</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45698</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45698</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45698</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45698</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45698</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45698</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45698</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45698</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45698</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45698</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45698</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45698</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45698</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45698</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45698</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45698</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45698</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45698</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45698</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45698</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45698</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45698</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45698</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45698</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45698</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45698</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45698</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45698</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45698</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45698</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45698</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45698</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45698</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45698</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45698</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45698</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45698</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45698</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45698</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45698</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45698</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45698</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45698</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45698</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45698</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45698</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45698</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45698</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45698</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45698</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45698</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45698</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45698</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45698</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45698</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45698</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45698</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45698</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45698</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45698</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45698</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45698</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45698</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45698</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45698</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45698</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45698</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45698</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45698</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45698</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45698</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45698</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45698</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45698</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45698</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45698</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45698</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45698</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45698</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45698</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45698</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45698</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45698</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45698</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45698</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45698</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45698</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45698</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45698</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45698</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45698</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45698</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45698</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45698</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45698</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45698</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45698</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45698</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45698</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45698</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45698</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45698</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45698</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45698</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45698</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45698</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45698</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45698</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45698</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45698</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45698</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45698</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45698</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45698</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45698</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45698</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45698</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45698</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45698</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45698</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45698</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45698</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45698</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45698</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45698</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45698</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45698</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45698</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45698</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45698</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45698</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45698</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45698</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45698</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45698</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45698</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45698</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45698</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45698</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45698</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45698</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45698</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45698</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45698</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45698</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45698</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45698</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45698</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45698</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45698</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45698</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45698</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45698</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45698</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45698</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45698</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45698</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45698</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45698</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45698</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45698</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45698</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45698</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45698</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45698</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45698</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45698</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45698</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45698</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45698</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45698</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45698</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45698</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45698</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45698</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45698</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45698</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45698</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45698</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45698</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45698</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45698</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45698</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45698</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45698</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45698</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45698</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45698</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45698</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45698</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45698</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45698</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45698</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45698</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45698</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45698</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45698</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45698</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45698</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45698</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45698</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45698</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45698</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45698</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45698</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45698</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45698</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45698</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45698</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45698</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45698</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45698</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45698</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45698</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45698</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45698</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45698</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45698</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45698</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45698</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45698</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45698</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45698</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45698</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45698</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45698</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45698</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45698</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45698</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45698</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45698</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45698</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45698</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45698</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45698</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45698</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45698</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45698</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45698</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45698</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45698</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45698</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45698</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45698</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45698</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45698</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45698</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45698</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45698</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45698</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45698</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45698</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45698</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45698</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45698</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45698</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45698</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45698</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45698</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45698</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45698</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45698</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45698</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45698</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45698</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45698</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45698</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45698</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45698</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45698</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45698</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45698</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45698</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45698</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45698</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45698</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45698</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45698</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45698</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45698</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45698</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45698</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45698</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45698</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45698</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45698</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45698</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45698</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45698</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45698</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45698</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45698</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45698</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45698</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45698</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45698</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45698</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45698</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45698</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45698</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45698</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45698</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45698</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45698</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45698</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45698</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45698</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45698</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45698</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45698</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45698</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45698</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45698</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45698</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45698</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45698</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45698</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45698</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45698</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45698</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45698</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45698</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45698</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45698</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45698</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45698</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45698</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45698</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45698</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45698</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45698</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45698</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45698</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45698</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45698</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45698</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45698</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45698</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45698</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45698</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45698</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45698</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45698</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45698</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45698</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45698</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45698</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45698</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45698</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45698</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45698</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45698</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45698</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45698</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45698</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45698</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45698</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45698</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45698</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45698</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45698</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45698</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45698</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45698</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45698</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45698</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45698</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45698</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45698</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45698</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45698</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45698</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45698</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45698</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45698</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45698</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45698</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45698</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45698</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45698</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45698</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45698</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45698</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45698</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45698</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45698</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45698</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45698</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45698</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45698</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45698</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45698</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45698</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45698</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45698</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45698</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45698</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45698</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45698</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45698</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45698</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45698</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45698</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45698</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45698</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45698</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45698</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45698</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45698</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45698</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45698</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45698</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45698</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45698</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45698</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45698</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45698</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45698</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45698</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45698</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5042-2025</t>
        </is>
      </c>
      <c r="B695" s="1" t="n">
        <v>45691</v>
      </c>
      <c r="C695" s="1" t="n">
        <v>45698</v>
      </c>
      <c r="D695" t="inlineStr">
        <is>
          <t>ÖREBRO LÄN</t>
        </is>
      </c>
      <c r="E695" t="inlineStr">
        <is>
          <t>HÄLLEFORS</t>
        </is>
      </c>
      <c r="F695" t="inlineStr">
        <is>
          <t>Bergvik skog väst AB</t>
        </is>
      </c>
      <c r="G695" t="n">
        <v>3.3</v>
      </c>
      <c r="H695" t="n">
        <v>0</v>
      </c>
      <c r="I695" t="n">
        <v>0</v>
      </c>
      <c r="J695" t="n">
        <v>0</v>
      </c>
      <c r="K695" t="n">
        <v>0</v>
      </c>
      <c r="L695" t="n">
        <v>0</v>
      </c>
      <c r="M695" t="n">
        <v>0</v>
      </c>
      <c r="N695" t="n">
        <v>0</v>
      </c>
      <c r="O695" t="n">
        <v>0</v>
      </c>
      <c r="P695" t="n">
        <v>0</v>
      </c>
      <c r="Q695" t="n">
        <v>0</v>
      </c>
      <c r="R695" s="2" t="inlineStr"/>
    </row>
    <row r="696" ht="15" customHeight="1">
      <c r="A696" t="inlineStr">
        <is>
          <t>A 5033-2025</t>
        </is>
      </c>
      <c r="B696" s="1" t="n">
        <v>45691</v>
      </c>
      <c r="C696" s="1" t="n">
        <v>45698</v>
      </c>
      <c r="D696" t="inlineStr">
        <is>
          <t>ÖREBRO LÄN</t>
        </is>
      </c>
      <c r="E696" t="inlineStr">
        <is>
          <t>HÄLLEFORS</t>
        </is>
      </c>
      <c r="F696" t="inlineStr">
        <is>
          <t>Bergvik skog väst AB</t>
        </is>
      </c>
      <c r="G696" t="n">
        <v>5.6</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45698</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5263-2025</t>
        </is>
      </c>
      <c r="B698" s="1" t="n">
        <v>45692</v>
      </c>
      <c r="C698" s="1" t="n">
        <v>45698</v>
      </c>
      <c r="D698" t="inlineStr">
        <is>
          <t>ÖREBRO LÄN</t>
        </is>
      </c>
      <c r="E698" t="inlineStr">
        <is>
          <t>HÄLLEFORS</t>
        </is>
      </c>
      <c r="F698" t="inlineStr">
        <is>
          <t>Bergvik skog väst AB</t>
        </is>
      </c>
      <c r="G698" t="n">
        <v>2.1</v>
      </c>
      <c r="H698" t="n">
        <v>0</v>
      </c>
      <c r="I698" t="n">
        <v>0</v>
      </c>
      <c r="J698" t="n">
        <v>0</v>
      </c>
      <c r="K698" t="n">
        <v>0</v>
      </c>
      <c r="L698" t="n">
        <v>0</v>
      </c>
      <c r="M698" t="n">
        <v>0</v>
      </c>
      <c r="N698" t="n">
        <v>0</v>
      </c>
      <c r="O698" t="n">
        <v>0</v>
      </c>
      <c r="P698" t="n">
        <v>0</v>
      </c>
      <c r="Q698" t="n">
        <v>0</v>
      </c>
      <c r="R698" s="2" t="inlineStr"/>
    </row>
    <row r="699" ht="15" customHeight="1">
      <c r="A699" t="inlineStr">
        <is>
          <t>A 5237-2025</t>
        </is>
      </c>
      <c r="B699" s="1" t="n">
        <v>45692</v>
      </c>
      <c r="C699" s="1" t="n">
        <v>45698</v>
      </c>
      <c r="D699" t="inlineStr">
        <is>
          <t>ÖREBRO LÄN</t>
        </is>
      </c>
      <c r="E699" t="inlineStr">
        <is>
          <t>HÄLLEFORS</t>
        </is>
      </c>
      <c r="F699" t="inlineStr">
        <is>
          <t>Bergvik skog väst AB</t>
        </is>
      </c>
      <c r="G699" t="n">
        <v>4.6</v>
      </c>
      <c r="H699" t="n">
        <v>0</v>
      </c>
      <c r="I699" t="n">
        <v>0</v>
      </c>
      <c r="J699" t="n">
        <v>0</v>
      </c>
      <c r="K699" t="n">
        <v>0</v>
      </c>
      <c r="L699" t="n">
        <v>0</v>
      </c>
      <c r="M699" t="n">
        <v>0</v>
      </c>
      <c r="N699" t="n">
        <v>0</v>
      </c>
      <c r="O699" t="n">
        <v>0</v>
      </c>
      <c r="P699" t="n">
        <v>0</v>
      </c>
      <c r="Q699" t="n">
        <v>0</v>
      </c>
      <c r="R699" s="2" t="inlineStr"/>
    </row>
    <row r="700" ht="15" customHeight="1">
      <c r="A700" t="inlineStr">
        <is>
          <t>A 5245-2025</t>
        </is>
      </c>
      <c r="B700" s="1" t="n">
        <v>45692</v>
      </c>
      <c r="C700" s="1" t="n">
        <v>45698</v>
      </c>
      <c r="D700" t="inlineStr">
        <is>
          <t>ÖREBRO LÄN</t>
        </is>
      </c>
      <c r="E700" t="inlineStr">
        <is>
          <t>HÄLLEFORS</t>
        </is>
      </c>
      <c r="F700" t="inlineStr">
        <is>
          <t>Bergvik skog väst AB</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5256-2025</t>
        </is>
      </c>
      <c r="B701" s="1" t="n">
        <v>45692</v>
      </c>
      <c r="C701" s="1" t="n">
        <v>45698</v>
      </c>
      <c r="D701" t="inlineStr">
        <is>
          <t>ÖREBRO LÄN</t>
        </is>
      </c>
      <c r="E701" t="inlineStr">
        <is>
          <t>HÄLLEFORS</t>
        </is>
      </c>
      <c r="F701" t="inlineStr">
        <is>
          <t>Bergvik skog väst AB</t>
        </is>
      </c>
      <c r="G701" t="n">
        <v>6.3</v>
      </c>
      <c r="H701" t="n">
        <v>0</v>
      </c>
      <c r="I701" t="n">
        <v>0</v>
      </c>
      <c r="J701" t="n">
        <v>0</v>
      </c>
      <c r="K701" t="n">
        <v>0</v>
      </c>
      <c r="L701" t="n">
        <v>0</v>
      </c>
      <c r="M701" t="n">
        <v>0</v>
      </c>
      <c r="N701" t="n">
        <v>0</v>
      </c>
      <c r="O701" t="n">
        <v>0</v>
      </c>
      <c r="P701" t="n">
        <v>0</v>
      </c>
      <c r="Q701" t="n">
        <v>0</v>
      </c>
      <c r="R701" s="2" t="inlineStr"/>
    </row>
    <row r="702" ht="15" customHeight="1">
      <c r="A702" t="inlineStr">
        <is>
          <t>A 5268-2025</t>
        </is>
      </c>
      <c r="B702" s="1" t="n">
        <v>45692</v>
      </c>
      <c r="C702" s="1" t="n">
        <v>45698</v>
      </c>
      <c r="D702" t="inlineStr">
        <is>
          <t>ÖREBRO LÄN</t>
        </is>
      </c>
      <c r="E702" t="inlineStr">
        <is>
          <t>HÄLLEFORS</t>
        </is>
      </c>
      <c r="F702" t="inlineStr">
        <is>
          <t>Bergvik skog väst AB</t>
        </is>
      </c>
      <c r="G702" t="n">
        <v>3.8</v>
      </c>
      <c r="H702" t="n">
        <v>0</v>
      </c>
      <c r="I702" t="n">
        <v>0</v>
      </c>
      <c r="J702" t="n">
        <v>0</v>
      </c>
      <c r="K702" t="n">
        <v>0</v>
      </c>
      <c r="L702" t="n">
        <v>0</v>
      </c>
      <c r="M702" t="n">
        <v>0</v>
      </c>
      <c r="N702" t="n">
        <v>0</v>
      </c>
      <c r="O702" t="n">
        <v>0</v>
      </c>
      <c r="P702" t="n">
        <v>0</v>
      </c>
      <c r="Q702" t="n">
        <v>0</v>
      </c>
      <c r="R702" s="2" t="inlineStr"/>
    </row>
    <row r="703" ht="15" customHeight="1">
      <c r="A703" t="inlineStr">
        <is>
          <t>A 5685-2025</t>
        </is>
      </c>
      <c r="B703" s="1" t="n">
        <v>45694</v>
      </c>
      <c r="C703" s="1" t="n">
        <v>45698</v>
      </c>
      <c r="D703" t="inlineStr">
        <is>
          <t>ÖREBRO LÄN</t>
        </is>
      </c>
      <c r="E703" t="inlineStr">
        <is>
          <t>HÄLLEFORS</t>
        </is>
      </c>
      <c r="F703" t="inlineStr">
        <is>
          <t>Bergvik skog väst AB</t>
        </is>
      </c>
      <c r="G703" t="n">
        <v>4.7</v>
      </c>
      <c r="H703" t="n">
        <v>0</v>
      </c>
      <c r="I703" t="n">
        <v>0</v>
      </c>
      <c r="J703" t="n">
        <v>0</v>
      </c>
      <c r="K703" t="n">
        <v>0</v>
      </c>
      <c r="L703" t="n">
        <v>0</v>
      </c>
      <c r="M703" t="n">
        <v>0</v>
      </c>
      <c r="N703" t="n">
        <v>0</v>
      </c>
      <c r="O703" t="n">
        <v>0</v>
      </c>
      <c r="P703" t="n">
        <v>0</v>
      </c>
      <c r="Q703" t="n">
        <v>0</v>
      </c>
      <c r="R703" s="2" t="inlineStr"/>
    </row>
    <row r="704">
      <c r="A704" t="inlineStr">
        <is>
          <t>A 5684-2025</t>
        </is>
      </c>
      <c r="B704" s="1" t="n">
        <v>45694</v>
      </c>
      <c r="C704" s="1" t="n">
        <v>45698</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2025-02-10T16:50:04Z</dcterms:created>
  <dcterms:modified xmlns:dcterms="http://purl.org/dc/terms/" xmlns:xsi="http://www.w3.org/2001/XMLSchema-instance" xsi:type="dcterms:W3CDTF">2025-02-10T16:50:05Z</dcterms:modified>
</cp:coreProperties>
</file>