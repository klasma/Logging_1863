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45755</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45755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45755</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58756-2020</t>
        </is>
      </c>
      <c r="B5" s="1" t="n">
        <v>44146</v>
      </c>
      <c r="C5" s="1" t="n">
        <v>45755</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12555-2024</t>
        </is>
      </c>
      <c r="B6" s="1" t="n">
        <v>45379</v>
      </c>
      <c r="C6" s="1" t="n">
        <v>45755</v>
      </c>
      <c r="D6" t="inlineStr">
        <is>
          <t>ÖREBRO LÄN</t>
        </is>
      </c>
      <c r="E6" t="inlineStr">
        <is>
          <t>HÄLLEFORS</t>
        </is>
      </c>
      <c r="F6" t="inlineStr">
        <is>
          <t>Bergvik skog väst AB</t>
        </is>
      </c>
      <c r="G6" t="n">
        <v>10.7</v>
      </c>
      <c r="H6" t="n">
        <v>2</v>
      </c>
      <c r="I6" t="n">
        <v>3</v>
      </c>
      <c r="J6" t="n">
        <v>2</v>
      </c>
      <c r="K6" t="n">
        <v>0</v>
      </c>
      <c r="L6" t="n">
        <v>0</v>
      </c>
      <c r="M6" t="n">
        <v>0</v>
      </c>
      <c r="N6" t="n">
        <v>0</v>
      </c>
      <c r="O6" t="n">
        <v>2</v>
      </c>
      <c r="P6" t="n">
        <v>0</v>
      </c>
      <c r="Q6" t="n">
        <v>6</v>
      </c>
      <c r="R6" s="2" t="inlineStr">
        <is>
          <t>Spillkråka
Veckticka
Rostfläck
Rävticka
Vedticka
Blåsippa</t>
        </is>
      </c>
      <c r="S6">
        <f>HYPERLINK("https://klasma.github.io/Logging_1863/artfynd/A 12555-2024 artfynd.xlsx", "A 12555-2024")</f>
        <v/>
      </c>
      <c r="T6">
        <f>HYPERLINK("https://klasma.github.io/Logging_1863/kartor/A 12555-2024 karta.png", "A 12555-2024")</f>
        <v/>
      </c>
      <c r="V6">
        <f>HYPERLINK("https://klasma.github.io/Logging_1863/klagomål/A 12555-2024 FSC-klagomål.docx", "A 12555-2024")</f>
        <v/>
      </c>
      <c r="W6">
        <f>HYPERLINK("https://klasma.github.io/Logging_1863/klagomålsmail/A 12555-2024 FSC-klagomål mail.docx", "A 12555-2024")</f>
        <v/>
      </c>
      <c r="X6">
        <f>HYPERLINK("https://klasma.github.io/Logging_1863/tillsyn/A 12555-2024 tillsynsbegäran.docx", "A 12555-2024")</f>
        <v/>
      </c>
      <c r="Y6">
        <f>HYPERLINK("https://klasma.github.io/Logging_1863/tillsynsmail/A 12555-2024 tillsynsbegäran mail.docx", "A 12555-2024")</f>
        <v/>
      </c>
      <c r="Z6">
        <f>HYPERLINK("https://klasma.github.io/Logging_1863/fåglar/A 12555-2024 prioriterade fågelarter.docx", "A 12555-2024")</f>
        <v/>
      </c>
    </row>
    <row r="7" ht="15" customHeight="1">
      <c r="A7" t="inlineStr">
        <is>
          <t>A 17434-2024</t>
        </is>
      </c>
      <c r="B7" s="1" t="n">
        <v>45415</v>
      </c>
      <c r="C7" s="1" t="n">
        <v>45755</v>
      </c>
      <c r="D7" t="inlineStr">
        <is>
          <t>ÖREBRO LÄN</t>
        </is>
      </c>
      <c r="E7" t="inlineStr">
        <is>
          <t>HÄLLEFORS</t>
        </is>
      </c>
      <c r="G7" t="n">
        <v>6.3</v>
      </c>
      <c r="H7" t="n">
        <v>0</v>
      </c>
      <c r="I7" t="n">
        <v>4</v>
      </c>
      <c r="J7" t="n">
        <v>2</v>
      </c>
      <c r="K7" t="n">
        <v>0</v>
      </c>
      <c r="L7" t="n">
        <v>0</v>
      </c>
      <c r="M7" t="n">
        <v>0</v>
      </c>
      <c r="N7" t="n">
        <v>0</v>
      </c>
      <c r="O7" t="n">
        <v>2</v>
      </c>
      <c r="P7" t="n">
        <v>0</v>
      </c>
      <c r="Q7" t="n">
        <v>6</v>
      </c>
      <c r="R7" s="2" t="inlineStr">
        <is>
          <t>Leptoporus mollis
Vedtrappmossa
Rödgul trumpetsvamp
Smal svampklubba
Stubbspretmossa
Vedticka</t>
        </is>
      </c>
      <c r="S7">
        <f>HYPERLINK("https://klasma.github.io/Logging_1863/artfynd/A 17434-2024 artfynd.xlsx", "A 17434-2024")</f>
        <v/>
      </c>
      <c r="T7">
        <f>HYPERLINK("https://klasma.github.io/Logging_1863/kartor/A 17434-2024 karta.png", "A 17434-2024")</f>
        <v/>
      </c>
      <c r="V7">
        <f>HYPERLINK("https://klasma.github.io/Logging_1863/klagomål/A 17434-2024 FSC-klagomål.docx", "A 17434-2024")</f>
        <v/>
      </c>
      <c r="W7">
        <f>HYPERLINK("https://klasma.github.io/Logging_1863/klagomålsmail/A 17434-2024 FSC-klagomål mail.docx", "A 17434-2024")</f>
        <v/>
      </c>
      <c r="X7">
        <f>HYPERLINK("https://klasma.github.io/Logging_1863/tillsyn/A 17434-2024 tillsynsbegäran.docx", "A 17434-2024")</f>
        <v/>
      </c>
      <c r="Y7">
        <f>HYPERLINK("https://klasma.github.io/Logging_1863/tillsynsmail/A 17434-2024 tillsynsbegäran mail.docx", "A 17434-2024")</f>
        <v/>
      </c>
    </row>
    <row r="8" ht="15" customHeight="1">
      <c r="A8" t="inlineStr">
        <is>
          <t>A 55770-2024</t>
        </is>
      </c>
      <c r="B8" s="1" t="n">
        <v>45623</v>
      </c>
      <c r="C8" s="1" t="n">
        <v>45755</v>
      </c>
      <c r="D8" t="inlineStr">
        <is>
          <t>ÖREBRO LÄN</t>
        </is>
      </c>
      <c r="E8" t="inlineStr">
        <is>
          <t>HÄLLEFORS</t>
        </is>
      </c>
      <c r="F8" t="inlineStr">
        <is>
          <t>Sveaskog</t>
        </is>
      </c>
      <c r="G8" t="n">
        <v>6.9</v>
      </c>
      <c r="H8" t="n">
        <v>1</v>
      </c>
      <c r="I8" t="n">
        <v>1</v>
      </c>
      <c r="J8" t="n">
        <v>5</v>
      </c>
      <c r="K8" t="n">
        <v>0</v>
      </c>
      <c r="L8" t="n">
        <v>0</v>
      </c>
      <c r="M8" t="n">
        <v>0</v>
      </c>
      <c r="N8" t="n">
        <v>0</v>
      </c>
      <c r="O8" t="n">
        <v>5</v>
      </c>
      <c r="P8" t="n">
        <v>0</v>
      </c>
      <c r="Q8" t="n">
        <v>6</v>
      </c>
      <c r="R8" s="2" t="inlineStr">
        <is>
          <t>Garnlav
Järpe
Tallticka
Vedflamlav
Vedtrappmossa
Vedticka</t>
        </is>
      </c>
      <c r="S8">
        <f>HYPERLINK("https://klasma.github.io/Logging_1863/artfynd/A 55770-2024 artfynd.xlsx", "A 55770-2024")</f>
        <v/>
      </c>
      <c r="T8">
        <f>HYPERLINK("https://klasma.github.io/Logging_1863/kartor/A 55770-2024 karta.png", "A 55770-2024")</f>
        <v/>
      </c>
      <c r="V8">
        <f>HYPERLINK("https://klasma.github.io/Logging_1863/klagomål/A 55770-2024 FSC-klagomål.docx", "A 55770-2024")</f>
        <v/>
      </c>
      <c r="W8">
        <f>HYPERLINK("https://klasma.github.io/Logging_1863/klagomålsmail/A 55770-2024 FSC-klagomål mail.docx", "A 55770-2024")</f>
        <v/>
      </c>
      <c r="X8">
        <f>HYPERLINK("https://klasma.github.io/Logging_1863/tillsyn/A 55770-2024 tillsynsbegäran.docx", "A 55770-2024")</f>
        <v/>
      </c>
      <c r="Y8">
        <f>HYPERLINK("https://klasma.github.io/Logging_1863/tillsynsmail/A 55770-2024 tillsynsbegäran mail.docx", "A 55770-2024")</f>
        <v/>
      </c>
      <c r="Z8">
        <f>HYPERLINK("https://klasma.github.io/Logging_1863/fåglar/A 55770-2024 prioriterade fågelarter.docx", "A 55770-2024")</f>
        <v/>
      </c>
    </row>
    <row r="9" ht="15" customHeight="1">
      <c r="A9" t="inlineStr">
        <is>
          <t>A 41546-2019</t>
        </is>
      </c>
      <c r="B9" s="1" t="n">
        <v>43699</v>
      </c>
      <c r="C9" s="1" t="n">
        <v>45755</v>
      </c>
      <c r="D9" t="inlineStr">
        <is>
          <t>ÖREBRO LÄN</t>
        </is>
      </c>
      <c r="E9" t="inlineStr">
        <is>
          <t>HÄLLEFORS</t>
        </is>
      </c>
      <c r="F9" t="inlineStr">
        <is>
          <t>Sveaskog</t>
        </is>
      </c>
      <c r="G9" t="n">
        <v>6.1</v>
      </c>
      <c r="H9" t="n">
        <v>2</v>
      </c>
      <c r="I9" t="n">
        <v>2</v>
      </c>
      <c r="J9" t="n">
        <v>2</v>
      </c>
      <c r="K9" t="n">
        <v>0</v>
      </c>
      <c r="L9" t="n">
        <v>0</v>
      </c>
      <c r="M9" t="n">
        <v>0</v>
      </c>
      <c r="N9" t="n">
        <v>0</v>
      </c>
      <c r="O9" t="n">
        <v>2</v>
      </c>
      <c r="P9" t="n">
        <v>0</v>
      </c>
      <c r="Q9" t="n">
        <v>5</v>
      </c>
      <c r="R9" s="2" t="inlineStr">
        <is>
          <t>Motaggsvamp
Tretåig hackspett
Skuggblåslav
Vedticka
Tjäder</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39826-2020</t>
        </is>
      </c>
      <c r="B10" s="1" t="n">
        <v>44067</v>
      </c>
      <c r="C10" s="1" t="n">
        <v>45755</v>
      </c>
      <c r="D10" t="inlineStr">
        <is>
          <t>ÖREBRO LÄN</t>
        </is>
      </c>
      <c r="E10" t="inlineStr">
        <is>
          <t>HÄLLEFORS</t>
        </is>
      </c>
      <c r="F10" t="inlineStr">
        <is>
          <t>Sveaskog</t>
        </is>
      </c>
      <c r="G10" t="n">
        <v>12.1</v>
      </c>
      <c r="H10" t="n">
        <v>1</v>
      </c>
      <c r="I10" t="n">
        <v>1</v>
      </c>
      <c r="J10" t="n">
        <v>2</v>
      </c>
      <c r="K10" t="n">
        <v>1</v>
      </c>
      <c r="L10" t="n">
        <v>0</v>
      </c>
      <c r="M10" t="n">
        <v>0</v>
      </c>
      <c r="N10" t="n">
        <v>0</v>
      </c>
      <c r="O10" t="n">
        <v>3</v>
      </c>
      <c r="P10" t="n">
        <v>1</v>
      </c>
      <c r="Q10" t="n">
        <v>5</v>
      </c>
      <c r="R10" s="2" t="inlineStr">
        <is>
          <t>Norsk näverlav
Dvärgbägarlav
Kolflarnlav
Skuggblåslav
Tjäder</t>
        </is>
      </c>
      <c r="S10">
        <f>HYPERLINK("https://klasma.github.io/Logging_1863/artfynd/A 39826-2020 artfynd.xlsx", "A 39826-2020")</f>
        <v/>
      </c>
      <c r="T10">
        <f>HYPERLINK("https://klasma.github.io/Logging_1863/kartor/A 39826-2020 karta.png", "A 39826-2020")</f>
        <v/>
      </c>
      <c r="V10">
        <f>HYPERLINK("https://klasma.github.io/Logging_1863/klagomål/A 39826-2020 FSC-klagomål.docx", "A 39826-2020")</f>
        <v/>
      </c>
      <c r="W10">
        <f>HYPERLINK("https://klasma.github.io/Logging_1863/klagomålsmail/A 39826-2020 FSC-klagomål mail.docx", "A 39826-2020")</f>
        <v/>
      </c>
      <c r="X10">
        <f>HYPERLINK("https://klasma.github.io/Logging_1863/tillsyn/A 39826-2020 tillsynsbegäran.docx", "A 39826-2020")</f>
        <v/>
      </c>
      <c r="Y10">
        <f>HYPERLINK("https://klasma.github.io/Logging_1863/tillsynsmail/A 39826-2020 tillsynsbegäran mail.docx", "A 39826-2020")</f>
        <v/>
      </c>
      <c r="Z10">
        <f>HYPERLINK("https://klasma.github.io/Logging_1863/fåglar/A 39826-2020 prioriterade fågelarter.docx", "A 39826-2020")</f>
        <v/>
      </c>
    </row>
    <row r="11" ht="15" customHeight="1">
      <c r="A11" t="inlineStr">
        <is>
          <t>A 58760-2020</t>
        </is>
      </c>
      <c r="B11" s="1" t="n">
        <v>44146</v>
      </c>
      <c r="C11" s="1" t="n">
        <v>45755</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45755</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45755</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45755</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45755</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45755</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45755</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45755</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45755</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45755</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45755</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45755</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45755</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45755</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45755</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45755</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45755</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45755</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45755</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45755</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45755</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45755</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45755</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45755</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45755</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45755</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45755</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21399-2019</t>
        </is>
      </c>
      <c r="B38" s="1" t="n">
        <v>43580</v>
      </c>
      <c r="C38" s="1" t="n">
        <v>45755</v>
      </c>
      <c r="D38" t="inlineStr">
        <is>
          <t>ÖREBRO LÄN</t>
        </is>
      </c>
      <c r="E38" t="inlineStr">
        <is>
          <t>HÄLLEFORS</t>
        </is>
      </c>
      <c r="G38" t="n">
        <v>1.4</v>
      </c>
      <c r="H38" t="n">
        <v>0</v>
      </c>
      <c r="I38" t="n">
        <v>0</v>
      </c>
      <c r="J38" t="n">
        <v>0</v>
      </c>
      <c r="K38" t="n">
        <v>0</v>
      </c>
      <c r="L38" t="n">
        <v>0</v>
      </c>
      <c r="M38" t="n">
        <v>0</v>
      </c>
      <c r="N38" t="n">
        <v>0</v>
      </c>
      <c r="O38" t="n">
        <v>0</v>
      </c>
      <c r="P38" t="n">
        <v>0</v>
      </c>
      <c r="Q38" t="n">
        <v>0</v>
      </c>
      <c r="R38" s="2" t="inlineStr"/>
    </row>
    <row r="39" ht="15" customHeight="1">
      <c r="A39" t="inlineStr">
        <is>
          <t>A 22348-2019</t>
        </is>
      </c>
      <c r="B39" s="1" t="n">
        <v>43587</v>
      </c>
      <c r="C39" s="1" t="n">
        <v>45755</v>
      </c>
      <c r="D39" t="inlineStr">
        <is>
          <t>ÖREBRO LÄN</t>
        </is>
      </c>
      <c r="E39" t="inlineStr">
        <is>
          <t>HÄLLEFORS</t>
        </is>
      </c>
      <c r="G39" t="n">
        <v>3.5</v>
      </c>
      <c r="H39" t="n">
        <v>0</v>
      </c>
      <c r="I39" t="n">
        <v>0</v>
      </c>
      <c r="J39" t="n">
        <v>0</v>
      </c>
      <c r="K39" t="n">
        <v>0</v>
      </c>
      <c r="L39" t="n">
        <v>0</v>
      </c>
      <c r="M39" t="n">
        <v>0</v>
      </c>
      <c r="N39" t="n">
        <v>0</v>
      </c>
      <c r="O39" t="n">
        <v>0</v>
      </c>
      <c r="P39" t="n">
        <v>0</v>
      </c>
      <c r="Q39" t="n">
        <v>0</v>
      </c>
      <c r="R39" s="2" t="inlineStr"/>
    </row>
    <row r="40" ht="15" customHeight="1">
      <c r="A40" t="inlineStr">
        <is>
          <t>A 24477-2019</t>
        </is>
      </c>
      <c r="B40" s="1" t="n">
        <v>43600</v>
      </c>
      <c r="C40" s="1" t="n">
        <v>45755</v>
      </c>
      <c r="D40" t="inlineStr">
        <is>
          <t>ÖREBRO LÄN</t>
        </is>
      </c>
      <c r="E40" t="inlineStr">
        <is>
          <t>HÄLLEFORS</t>
        </is>
      </c>
      <c r="G40" t="n">
        <v>1.7</v>
      </c>
      <c r="H40" t="n">
        <v>0</v>
      </c>
      <c r="I40" t="n">
        <v>0</v>
      </c>
      <c r="J40" t="n">
        <v>0</v>
      </c>
      <c r="K40" t="n">
        <v>0</v>
      </c>
      <c r="L40" t="n">
        <v>0</v>
      </c>
      <c r="M40" t="n">
        <v>0</v>
      </c>
      <c r="N40" t="n">
        <v>0</v>
      </c>
      <c r="O40" t="n">
        <v>0</v>
      </c>
      <c r="P40" t="n">
        <v>0</v>
      </c>
      <c r="Q40" t="n">
        <v>0</v>
      </c>
      <c r="R40" s="2" t="inlineStr"/>
    </row>
    <row r="41" ht="15" customHeight="1">
      <c r="A41" t="inlineStr">
        <is>
          <t>A 24459-2019</t>
        </is>
      </c>
      <c r="B41" s="1" t="n">
        <v>43600</v>
      </c>
      <c r="C41" s="1" t="n">
        <v>45755</v>
      </c>
      <c r="D41" t="inlineStr">
        <is>
          <t>ÖREBRO LÄN</t>
        </is>
      </c>
      <c r="E41" t="inlineStr">
        <is>
          <t>HÄLLEFORS</t>
        </is>
      </c>
      <c r="G41" t="n">
        <v>7.1</v>
      </c>
      <c r="H41" t="n">
        <v>0</v>
      </c>
      <c r="I41" t="n">
        <v>0</v>
      </c>
      <c r="J41" t="n">
        <v>0</v>
      </c>
      <c r="K41" t="n">
        <v>0</v>
      </c>
      <c r="L41" t="n">
        <v>0</v>
      </c>
      <c r="M41" t="n">
        <v>0</v>
      </c>
      <c r="N41" t="n">
        <v>0</v>
      </c>
      <c r="O41" t="n">
        <v>0</v>
      </c>
      <c r="P41" t="n">
        <v>0</v>
      </c>
      <c r="Q41" t="n">
        <v>0</v>
      </c>
      <c r="R41" s="2" t="inlineStr"/>
    </row>
    <row r="42" ht="15" customHeight="1">
      <c r="A42" t="inlineStr">
        <is>
          <t>A 30719-2019</t>
        </is>
      </c>
      <c r="B42" s="1" t="n">
        <v>43636</v>
      </c>
      <c r="C42" s="1" t="n">
        <v>45755</v>
      </c>
      <c r="D42" t="inlineStr">
        <is>
          <t>ÖREBRO LÄN</t>
        </is>
      </c>
      <c r="E42" t="inlineStr">
        <is>
          <t>HÄLLEFORS</t>
        </is>
      </c>
      <c r="F42" t="inlineStr">
        <is>
          <t>Bergvik skog väst AB</t>
        </is>
      </c>
      <c r="G42" t="n">
        <v>3.7</v>
      </c>
      <c r="H42" t="n">
        <v>0</v>
      </c>
      <c r="I42" t="n">
        <v>0</v>
      </c>
      <c r="J42" t="n">
        <v>0</v>
      </c>
      <c r="K42" t="n">
        <v>0</v>
      </c>
      <c r="L42" t="n">
        <v>0</v>
      </c>
      <c r="M42" t="n">
        <v>0</v>
      </c>
      <c r="N42" t="n">
        <v>0</v>
      </c>
      <c r="O42" t="n">
        <v>0</v>
      </c>
      <c r="P42" t="n">
        <v>0</v>
      </c>
      <c r="Q42" t="n">
        <v>0</v>
      </c>
      <c r="R42" s="2" t="inlineStr"/>
    </row>
    <row r="43" ht="15" customHeight="1">
      <c r="A43" t="inlineStr">
        <is>
          <t>A 33102-2019</t>
        </is>
      </c>
      <c r="B43" s="1" t="n">
        <v>43649</v>
      </c>
      <c r="C43" s="1" t="n">
        <v>45755</v>
      </c>
      <c r="D43" t="inlineStr">
        <is>
          <t>ÖREBRO LÄN</t>
        </is>
      </c>
      <c r="E43" t="inlineStr">
        <is>
          <t>HÄLLEFORS</t>
        </is>
      </c>
      <c r="G43" t="n">
        <v>1.6</v>
      </c>
      <c r="H43" t="n">
        <v>0</v>
      </c>
      <c r="I43" t="n">
        <v>0</v>
      </c>
      <c r="J43" t="n">
        <v>0</v>
      </c>
      <c r="K43" t="n">
        <v>0</v>
      </c>
      <c r="L43" t="n">
        <v>0</v>
      </c>
      <c r="M43" t="n">
        <v>0</v>
      </c>
      <c r="N43" t="n">
        <v>0</v>
      </c>
      <c r="O43" t="n">
        <v>0</v>
      </c>
      <c r="P43" t="n">
        <v>0</v>
      </c>
      <c r="Q43" t="n">
        <v>0</v>
      </c>
      <c r="R43" s="2" t="inlineStr"/>
    </row>
    <row r="44" ht="15" customHeight="1">
      <c r="A44" t="inlineStr">
        <is>
          <t>A 35741-2019</t>
        </is>
      </c>
      <c r="B44" s="1" t="n">
        <v>43665</v>
      </c>
      <c r="C44" s="1" t="n">
        <v>45755</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35743-2019</t>
        </is>
      </c>
      <c r="B45" s="1" t="n">
        <v>43665</v>
      </c>
      <c r="C45" s="1" t="n">
        <v>45755</v>
      </c>
      <c r="D45" t="inlineStr">
        <is>
          <t>ÖREBRO LÄN</t>
        </is>
      </c>
      <c r="E45" t="inlineStr">
        <is>
          <t>HÄLLEFORS</t>
        </is>
      </c>
      <c r="G45" t="n">
        <v>1.3</v>
      </c>
      <c r="H45" t="n">
        <v>0</v>
      </c>
      <c r="I45" t="n">
        <v>0</v>
      </c>
      <c r="J45" t="n">
        <v>0</v>
      </c>
      <c r="K45" t="n">
        <v>0</v>
      </c>
      <c r="L45" t="n">
        <v>0</v>
      </c>
      <c r="M45" t="n">
        <v>0</v>
      </c>
      <c r="N45" t="n">
        <v>0</v>
      </c>
      <c r="O45" t="n">
        <v>0</v>
      </c>
      <c r="P45" t="n">
        <v>0</v>
      </c>
      <c r="Q45" t="n">
        <v>0</v>
      </c>
      <c r="R45" s="2" t="inlineStr"/>
    </row>
    <row r="46" ht="15" customHeight="1">
      <c r="A46" t="inlineStr">
        <is>
          <t>A 35742-2019</t>
        </is>
      </c>
      <c r="B46" s="1" t="n">
        <v>43665</v>
      </c>
      <c r="C46" s="1" t="n">
        <v>45755</v>
      </c>
      <c r="D46" t="inlineStr">
        <is>
          <t>ÖREBRO LÄN</t>
        </is>
      </c>
      <c r="E46" t="inlineStr">
        <is>
          <t>HÄLLEFORS</t>
        </is>
      </c>
      <c r="G46" t="n">
        <v>2.6</v>
      </c>
      <c r="H46" t="n">
        <v>0</v>
      </c>
      <c r="I46" t="n">
        <v>0</v>
      </c>
      <c r="J46" t="n">
        <v>0</v>
      </c>
      <c r="K46" t="n">
        <v>0</v>
      </c>
      <c r="L46" t="n">
        <v>0</v>
      </c>
      <c r="M46" t="n">
        <v>0</v>
      </c>
      <c r="N46" t="n">
        <v>0</v>
      </c>
      <c r="O46" t="n">
        <v>0</v>
      </c>
      <c r="P46" t="n">
        <v>0</v>
      </c>
      <c r="Q46" t="n">
        <v>0</v>
      </c>
      <c r="R46" s="2" t="inlineStr"/>
    </row>
    <row r="47" ht="15" customHeight="1">
      <c r="A47" t="inlineStr">
        <is>
          <t>A 35740-2019</t>
        </is>
      </c>
      <c r="B47" s="1" t="n">
        <v>43665</v>
      </c>
      <c r="C47" s="1" t="n">
        <v>45755</v>
      </c>
      <c r="D47" t="inlineStr">
        <is>
          <t>ÖREBRO LÄN</t>
        </is>
      </c>
      <c r="E47" t="inlineStr">
        <is>
          <t>HÄLLEFORS</t>
        </is>
      </c>
      <c r="G47" t="n">
        <v>2.3</v>
      </c>
      <c r="H47" t="n">
        <v>0</v>
      </c>
      <c r="I47" t="n">
        <v>0</v>
      </c>
      <c r="J47" t="n">
        <v>0</v>
      </c>
      <c r="K47" t="n">
        <v>0</v>
      </c>
      <c r="L47" t="n">
        <v>0</v>
      </c>
      <c r="M47" t="n">
        <v>0</v>
      </c>
      <c r="N47" t="n">
        <v>0</v>
      </c>
      <c r="O47" t="n">
        <v>0</v>
      </c>
      <c r="P47" t="n">
        <v>0</v>
      </c>
      <c r="Q47" t="n">
        <v>0</v>
      </c>
      <c r="R47" s="2" t="inlineStr"/>
    </row>
    <row r="48" ht="15" customHeight="1">
      <c r="A48" t="inlineStr">
        <is>
          <t>A 37325-2019</t>
        </is>
      </c>
      <c r="B48" s="1" t="n">
        <v>43678</v>
      </c>
      <c r="C48" s="1" t="n">
        <v>45755</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39501-2019</t>
        </is>
      </c>
      <c r="B49" s="1" t="n">
        <v>43686</v>
      </c>
      <c r="C49" s="1" t="n">
        <v>45755</v>
      </c>
      <c r="D49" t="inlineStr">
        <is>
          <t>ÖREBRO LÄN</t>
        </is>
      </c>
      <c r="E49" t="inlineStr">
        <is>
          <t>HÄLLEFORS</t>
        </is>
      </c>
      <c r="F49" t="inlineStr">
        <is>
          <t>Kyrkan</t>
        </is>
      </c>
      <c r="G49" t="n">
        <v>3.5</v>
      </c>
      <c r="H49" t="n">
        <v>0</v>
      </c>
      <c r="I49" t="n">
        <v>0</v>
      </c>
      <c r="J49" t="n">
        <v>0</v>
      </c>
      <c r="K49" t="n">
        <v>0</v>
      </c>
      <c r="L49" t="n">
        <v>0</v>
      </c>
      <c r="M49" t="n">
        <v>0</v>
      </c>
      <c r="N49" t="n">
        <v>0</v>
      </c>
      <c r="O49" t="n">
        <v>0</v>
      </c>
      <c r="P49" t="n">
        <v>0</v>
      </c>
      <c r="Q49" t="n">
        <v>0</v>
      </c>
      <c r="R49" s="2" t="inlineStr"/>
    </row>
    <row r="50" ht="15" customHeight="1">
      <c r="A50" t="inlineStr">
        <is>
          <t>A 38819-2019</t>
        </is>
      </c>
      <c r="B50" s="1" t="n">
        <v>43689</v>
      </c>
      <c r="C50" s="1" t="n">
        <v>45755</v>
      </c>
      <c r="D50" t="inlineStr">
        <is>
          <t>ÖREBRO LÄN</t>
        </is>
      </c>
      <c r="E50" t="inlineStr">
        <is>
          <t>HÄLLEFORS</t>
        </is>
      </c>
      <c r="G50" t="n">
        <v>2.1</v>
      </c>
      <c r="H50" t="n">
        <v>0</v>
      </c>
      <c r="I50" t="n">
        <v>0</v>
      </c>
      <c r="J50" t="n">
        <v>0</v>
      </c>
      <c r="K50" t="n">
        <v>0</v>
      </c>
      <c r="L50" t="n">
        <v>0</v>
      </c>
      <c r="M50" t="n">
        <v>0</v>
      </c>
      <c r="N50" t="n">
        <v>0</v>
      </c>
      <c r="O50" t="n">
        <v>0</v>
      </c>
      <c r="P50" t="n">
        <v>0</v>
      </c>
      <c r="Q50" t="n">
        <v>0</v>
      </c>
      <c r="R50" s="2" t="inlineStr"/>
    </row>
    <row r="51" ht="15" customHeight="1">
      <c r="A51" t="inlineStr">
        <is>
          <t>A 40171-2019</t>
        </is>
      </c>
      <c r="B51" s="1" t="n">
        <v>43693</v>
      </c>
      <c r="C51" s="1" t="n">
        <v>45755</v>
      </c>
      <c r="D51" t="inlineStr">
        <is>
          <t>ÖREBRO LÄN</t>
        </is>
      </c>
      <c r="E51" t="inlineStr">
        <is>
          <t>HÄLLEFORS</t>
        </is>
      </c>
      <c r="G51" t="n">
        <v>8.199999999999999</v>
      </c>
      <c r="H51" t="n">
        <v>0</v>
      </c>
      <c r="I51" t="n">
        <v>0</v>
      </c>
      <c r="J51" t="n">
        <v>0</v>
      </c>
      <c r="K51" t="n">
        <v>0</v>
      </c>
      <c r="L51" t="n">
        <v>0</v>
      </c>
      <c r="M51" t="n">
        <v>0</v>
      </c>
      <c r="N51" t="n">
        <v>0</v>
      </c>
      <c r="O51" t="n">
        <v>0</v>
      </c>
      <c r="P51" t="n">
        <v>0</v>
      </c>
      <c r="Q51" t="n">
        <v>0</v>
      </c>
      <c r="R51" s="2" t="inlineStr"/>
    </row>
    <row r="52" ht="15" customHeight="1">
      <c r="A52" t="inlineStr">
        <is>
          <t>A 40311-2019</t>
        </is>
      </c>
      <c r="B52" s="1" t="n">
        <v>43696</v>
      </c>
      <c r="C52" s="1" t="n">
        <v>45755</v>
      </c>
      <c r="D52" t="inlineStr">
        <is>
          <t>ÖREBRO LÄN</t>
        </is>
      </c>
      <c r="E52" t="inlineStr">
        <is>
          <t>HÄLLEFORS</t>
        </is>
      </c>
      <c r="G52" t="n">
        <v>1.8</v>
      </c>
      <c r="H52" t="n">
        <v>0</v>
      </c>
      <c r="I52" t="n">
        <v>0</v>
      </c>
      <c r="J52" t="n">
        <v>0</v>
      </c>
      <c r="K52" t="n">
        <v>0</v>
      </c>
      <c r="L52" t="n">
        <v>0</v>
      </c>
      <c r="M52" t="n">
        <v>0</v>
      </c>
      <c r="N52" t="n">
        <v>0</v>
      </c>
      <c r="O52" t="n">
        <v>0</v>
      </c>
      <c r="P52" t="n">
        <v>0</v>
      </c>
      <c r="Q52" t="n">
        <v>0</v>
      </c>
      <c r="R52" s="2" t="inlineStr"/>
    </row>
    <row r="53" ht="15" customHeight="1">
      <c r="A53" t="inlineStr">
        <is>
          <t>A 43514-2019</t>
        </is>
      </c>
      <c r="B53" s="1" t="n">
        <v>43706</v>
      </c>
      <c r="C53" s="1" t="n">
        <v>45755</v>
      </c>
      <c r="D53" t="inlineStr">
        <is>
          <t>ÖREBRO LÄN</t>
        </is>
      </c>
      <c r="E53" t="inlineStr">
        <is>
          <t>HÄLLEFORS</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45768-2019</t>
        </is>
      </c>
      <c r="B54" s="1" t="n">
        <v>43712</v>
      </c>
      <c r="C54" s="1" t="n">
        <v>45755</v>
      </c>
      <c r="D54" t="inlineStr">
        <is>
          <t>ÖREBRO LÄN</t>
        </is>
      </c>
      <c r="E54" t="inlineStr">
        <is>
          <t>HÄLLEFORS</t>
        </is>
      </c>
      <c r="G54" t="n">
        <v>1.4</v>
      </c>
      <c r="H54" t="n">
        <v>0</v>
      </c>
      <c r="I54" t="n">
        <v>0</v>
      </c>
      <c r="J54" t="n">
        <v>0</v>
      </c>
      <c r="K54" t="n">
        <v>0</v>
      </c>
      <c r="L54" t="n">
        <v>0</v>
      </c>
      <c r="M54" t="n">
        <v>0</v>
      </c>
      <c r="N54" t="n">
        <v>0</v>
      </c>
      <c r="O54" t="n">
        <v>0</v>
      </c>
      <c r="P54" t="n">
        <v>0</v>
      </c>
      <c r="Q54" t="n">
        <v>0</v>
      </c>
      <c r="R54" s="2" t="inlineStr"/>
    </row>
    <row r="55" ht="15" customHeight="1">
      <c r="A55" t="inlineStr">
        <is>
          <t>A 47219-2019</t>
        </is>
      </c>
      <c r="B55" s="1" t="n">
        <v>43721</v>
      </c>
      <c r="C55" s="1" t="n">
        <v>45755</v>
      </c>
      <c r="D55" t="inlineStr">
        <is>
          <t>ÖREBRO LÄN</t>
        </is>
      </c>
      <c r="E55" t="inlineStr">
        <is>
          <t>HÄLLEFORS</t>
        </is>
      </c>
      <c r="F55" t="inlineStr">
        <is>
          <t>Bergvik skog väst AB</t>
        </is>
      </c>
      <c r="G55" t="n">
        <v>4.9</v>
      </c>
      <c r="H55" t="n">
        <v>0</v>
      </c>
      <c r="I55" t="n">
        <v>0</v>
      </c>
      <c r="J55" t="n">
        <v>0</v>
      </c>
      <c r="K55" t="n">
        <v>0</v>
      </c>
      <c r="L55" t="n">
        <v>0</v>
      </c>
      <c r="M55" t="n">
        <v>0</v>
      </c>
      <c r="N55" t="n">
        <v>0</v>
      </c>
      <c r="O55" t="n">
        <v>0</v>
      </c>
      <c r="P55" t="n">
        <v>0</v>
      </c>
      <c r="Q55" t="n">
        <v>0</v>
      </c>
      <c r="R55" s="2" t="inlineStr"/>
    </row>
    <row r="56" ht="15" customHeight="1">
      <c r="A56" t="inlineStr">
        <is>
          <t>A 47175-2019</t>
        </is>
      </c>
      <c r="B56" s="1" t="n">
        <v>43721</v>
      </c>
      <c r="C56" s="1" t="n">
        <v>45755</v>
      </c>
      <c r="D56" t="inlineStr">
        <is>
          <t>ÖREBRO LÄN</t>
        </is>
      </c>
      <c r="E56" t="inlineStr">
        <is>
          <t>HÄLLEFORS</t>
        </is>
      </c>
      <c r="F56" t="inlineStr">
        <is>
          <t>Sveaskog</t>
        </is>
      </c>
      <c r="G56" t="n">
        <v>5.6</v>
      </c>
      <c r="H56" t="n">
        <v>0</v>
      </c>
      <c r="I56" t="n">
        <v>0</v>
      </c>
      <c r="J56" t="n">
        <v>0</v>
      </c>
      <c r="K56" t="n">
        <v>0</v>
      </c>
      <c r="L56" t="n">
        <v>0</v>
      </c>
      <c r="M56" t="n">
        <v>0</v>
      </c>
      <c r="N56" t="n">
        <v>0</v>
      </c>
      <c r="O56" t="n">
        <v>0</v>
      </c>
      <c r="P56" t="n">
        <v>0</v>
      </c>
      <c r="Q56" t="n">
        <v>0</v>
      </c>
      <c r="R56" s="2" t="inlineStr"/>
    </row>
    <row r="57" ht="15" customHeight="1">
      <c r="A57" t="inlineStr">
        <is>
          <t>A 48224-2019</t>
        </is>
      </c>
      <c r="B57" s="1" t="n">
        <v>43726</v>
      </c>
      <c r="C57" s="1" t="n">
        <v>45755</v>
      </c>
      <c r="D57" t="inlineStr">
        <is>
          <t>ÖREBRO LÄN</t>
        </is>
      </c>
      <c r="E57" t="inlineStr">
        <is>
          <t>HÄLLEFORS</t>
        </is>
      </c>
      <c r="F57" t="inlineStr">
        <is>
          <t>Bergvik skog väst AB</t>
        </is>
      </c>
      <c r="G57" t="n">
        <v>0.7</v>
      </c>
      <c r="H57" t="n">
        <v>0</v>
      </c>
      <c r="I57" t="n">
        <v>0</v>
      </c>
      <c r="J57" t="n">
        <v>0</v>
      </c>
      <c r="K57" t="n">
        <v>0</v>
      </c>
      <c r="L57" t="n">
        <v>0</v>
      </c>
      <c r="M57" t="n">
        <v>0</v>
      </c>
      <c r="N57" t="n">
        <v>0</v>
      </c>
      <c r="O57" t="n">
        <v>0</v>
      </c>
      <c r="P57" t="n">
        <v>0</v>
      </c>
      <c r="Q57" t="n">
        <v>0</v>
      </c>
      <c r="R57" s="2" t="inlineStr"/>
    </row>
    <row r="58" ht="15" customHeight="1">
      <c r="A58" t="inlineStr">
        <is>
          <t>A 48206-2019</t>
        </is>
      </c>
      <c r="B58" s="1" t="n">
        <v>43726</v>
      </c>
      <c r="C58" s="1" t="n">
        <v>45755</v>
      </c>
      <c r="D58" t="inlineStr">
        <is>
          <t>ÖREBRO LÄN</t>
        </is>
      </c>
      <c r="E58" t="inlineStr">
        <is>
          <t>HÄLLEFORS</t>
        </is>
      </c>
      <c r="F58" t="inlineStr">
        <is>
          <t>Bergvik skog väst AB</t>
        </is>
      </c>
      <c r="G58" t="n">
        <v>13.6</v>
      </c>
      <c r="H58" t="n">
        <v>0</v>
      </c>
      <c r="I58" t="n">
        <v>0</v>
      </c>
      <c r="J58" t="n">
        <v>0</v>
      </c>
      <c r="K58" t="n">
        <v>0</v>
      </c>
      <c r="L58" t="n">
        <v>0</v>
      </c>
      <c r="M58" t="n">
        <v>0</v>
      </c>
      <c r="N58" t="n">
        <v>0</v>
      </c>
      <c r="O58" t="n">
        <v>0</v>
      </c>
      <c r="P58" t="n">
        <v>0</v>
      </c>
      <c r="Q58" t="n">
        <v>0</v>
      </c>
      <c r="R58" s="2" t="inlineStr"/>
    </row>
    <row r="59" ht="15" customHeight="1">
      <c r="A59" t="inlineStr">
        <is>
          <t>A 51442-2019</t>
        </is>
      </c>
      <c r="B59" s="1" t="n">
        <v>43732</v>
      </c>
      <c r="C59" s="1" t="n">
        <v>45755</v>
      </c>
      <c r="D59" t="inlineStr">
        <is>
          <t>ÖREBRO LÄN</t>
        </is>
      </c>
      <c r="E59" t="inlineStr">
        <is>
          <t>HÄLLEFORS</t>
        </is>
      </c>
      <c r="F59" t="inlineStr">
        <is>
          <t>Kyrkan</t>
        </is>
      </c>
      <c r="G59" t="n">
        <v>3.9</v>
      </c>
      <c r="H59" t="n">
        <v>0</v>
      </c>
      <c r="I59" t="n">
        <v>0</v>
      </c>
      <c r="J59" t="n">
        <v>0</v>
      </c>
      <c r="K59" t="n">
        <v>0</v>
      </c>
      <c r="L59" t="n">
        <v>0</v>
      </c>
      <c r="M59" t="n">
        <v>0</v>
      </c>
      <c r="N59" t="n">
        <v>0</v>
      </c>
      <c r="O59" t="n">
        <v>0</v>
      </c>
      <c r="P59" t="n">
        <v>0</v>
      </c>
      <c r="Q59" t="n">
        <v>0</v>
      </c>
      <c r="R59" s="2" t="inlineStr"/>
    </row>
    <row r="60" ht="15" customHeight="1">
      <c r="A60" t="inlineStr">
        <is>
          <t>A 52329-2019</t>
        </is>
      </c>
      <c r="B60" s="1" t="n">
        <v>43745</v>
      </c>
      <c r="C60" s="1" t="n">
        <v>45755</v>
      </c>
      <c r="D60" t="inlineStr">
        <is>
          <t>ÖREBRO LÄN</t>
        </is>
      </c>
      <c r="E60" t="inlineStr">
        <is>
          <t>HÄLLEFORS</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52452-2019</t>
        </is>
      </c>
      <c r="B61" s="1" t="n">
        <v>43745</v>
      </c>
      <c r="C61" s="1" t="n">
        <v>45755</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52411-2019</t>
        </is>
      </c>
      <c r="B62" s="1" t="n">
        <v>43745</v>
      </c>
      <c r="C62" s="1" t="n">
        <v>45755</v>
      </c>
      <c r="D62" t="inlineStr">
        <is>
          <t>ÖREBRO LÄN</t>
        </is>
      </c>
      <c r="E62" t="inlineStr">
        <is>
          <t>HÄLLEFORS</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52711-2019</t>
        </is>
      </c>
      <c r="B63" s="1" t="n">
        <v>43746</v>
      </c>
      <c r="C63" s="1" t="n">
        <v>45755</v>
      </c>
      <c r="D63" t="inlineStr">
        <is>
          <t>ÖREBRO LÄN</t>
        </is>
      </c>
      <c r="E63" t="inlineStr">
        <is>
          <t>HÄLLEFORS</t>
        </is>
      </c>
      <c r="G63" t="n">
        <v>1</v>
      </c>
      <c r="H63" t="n">
        <v>0</v>
      </c>
      <c r="I63" t="n">
        <v>0</v>
      </c>
      <c r="J63" t="n">
        <v>0</v>
      </c>
      <c r="K63" t="n">
        <v>0</v>
      </c>
      <c r="L63" t="n">
        <v>0</v>
      </c>
      <c r="M63" t="n">
        <v>0</v>
      </c>
      <c r="N63" t="n">
        <v>0</v>
      </c>
      <c r="O63" t="n">
        <v>0</v>
      </c>
      <c r="P63" t="n">
        <v>0</v>
      </c>
      <c r="Q63" t="n">
        <v>0</v>
      </c>
      <c r="R63" s="2" t="inlineStr"/>
    </row>
    <row r="64" ht="15" customHeight="1">
      <c r="A64" t="inlineStr">
        <is>
          <t>A 53031-2019</t>
        </is>
      </c>
      <c r="B64" s="1" t="n">
        <v>43747</v>
      </c>
      <c r="C64" s="1" t="n">
        <v>45755</v>
      </c>
      <c r="D64" t="inlineStr">
        <is>
          <t>ÖREBRO LÄN</t>
        </is>
      </c>
      <c r="E64" t="inlineStr">
        <is>
          <t>HÄLLEFORS</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53062-2019</t>
        </is>
      </c>
      <c r="B65" s="1" t="n">
        <v>43747</v>
      </c>
      <c r="C65" s="1" t="n">
        <v>45755</v>
      </c>
      <c r="D65" t="inlineStr">
        <is>
          <t>ÖREBRO LÄN</t>
        </is>
      </c>
      <c r="E65" t="inlineStr">
        <is>
          <t>HÄLLEFORS</t>
        </is>
      </c>
      <c r="F65" t="inlineStr">
        <is>
          <t>Bergvik skog väst AB</t>
        </is>
      </c>
      <c r="G65" t="n">
        <v>13.9</v>
      </c>
      <c r="H65" t="n">
        <v>0</v>
      </c>
      <c r="I65" t="n">
        <v>0</v>
      </c>
      <c r="J65" t="n">
        <v>0</v>
      </c>
      <c r="K65" t="n">
        <v>0</v>
      </c>
      <c r="L65" t="n">
        <v>0</v>
      </c>
      <c r="M65" t="n">
        <v>0</v>
      </c>
      <c r="N65" t="n">
        <v>0</v>
      </c>
      <c r="O65" t="n">
        <v>0</v>
      </c>
      <c r="P65" t="n">
        <v>0</v>
      </c>
      <c r="Q65" t="n">
        <v>0</v>
      </c>
      <c r="R65" s="2" t="inlineStr"/>
    </row>
    <row r="66" ht="15" customHeight="1">
      <c r="A66" t="inlineStr">
        <is>
          <t>A 53029-2019</t>
        </is>
      </c>
      <c r="B66" s="1" t="n">
        <v>43747</v>
      </c>
      <c r="C66" s="1" t="n">
        <v>45755</v>
      </c>
      <c r="D66" t="inlineStr">
        <is>
          <t>ÖREBRO LÄN</t>
        </is>
      </c>
      <c r="E66" t="inlineStr">
        <is>
          <t>HÄLLEFORS</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53388-2019</t>
        </is>
      </c>
      <c r="B67" s="1" t="n">
        <v>43748</v>
      </c>
      <c r="C67" s="1" t="n">
        <v>45755</v>
      </c>
      <c r="D67" t="inlineStr">
        <is>
          <t>ÖREBRO LÄN</t>
        </is>
      </c>
      <c r="E67" t="inlineStr">
        <is>
          <t>HÄLLEFORS</t>
        </is>
      </c>
      <c r="F67" t="inlineStr">
        <is>
          <t>Bergvik skog väst AB</t>
        </is>
      </c>
      <c r="G67" t="n">
        <v>8.300000000000001</v>
      </c>
      <c r="H67" t="n">
        <v>0</v>
      </c>
      <c r="I67" t="n">
        <v>0</v>
      </c>
      <c r="J67" t="n">
        <v>0</v>
      </c>
      <c r="K67" t="n">
        <v>0</v>
      </c>
      <c r="L67" t="n">
        <v>0</v>
      </c>
      <c r="M67" t="n">
        <v>0</v>
      </c>
      <c r="N67" t="n">
        <v>0</v>
      </c>
      <c r="O67" t="n">
        <v>0</v>
      </c>
      <c r="P67" t="n">
        <v>0</v>
      </c>
      <c r="Q67" t="n">
        <v>0</v>
      </c>
      <c r="R67" s="2" t="inlineStr"/>
    </row>
    <row r="68" ht="15" customHeight="1">
      <c r="A68" t="inlineStr">
        <is>
          <t>A 53400-2019</t>
        </is>
      </c>
      <c r="B68" s="1" t="n">
        <v>43748</v>
      </c>
      <c r="C68" s="1" t="n">
        <v>45755</v>
      </c>
      <c r="D68" t="inlineStr">
        <is>
          <t>ÖREBRO LÄN</t>
        </is>
      </c>
      <c r="E68" t="inlineStr">
        <is>
          <t>HÄLLEFORS</t>
        </is>
      </c>
      <c r="F68" t="inlineStr">
        <is>
          <t>Bergvik skog väst AB</t>
        </is>
      </c>
      <c r="G68" t="n">
        <v>8.699999999999999</v>
      </c>
      <c r="H68" t="n">
        <v>0</v>
      </c>
      <c r="I68" t="n">
        <v>0</v>
      </c>
      <c r="J68" t="n">
        <v>0</v>
      </c>
      <c r="K68" t="n">
        <v>0</v>
      </c>
      <c r="L68" t="n">
        <v>0</v>
      </c>
      <c r="M68" t="n">
        <v>0</v>
      </c>
      <c r="N68" t="n">
        <v>0</v>
      </c>
      <c r="O68" t="n">
        <v>0</v>
      </c>
      <c r="P68" t="n">
        <v>0</v>
      </c>
      <c r="Q68" t="n">
        <v>0</v>
      </c>
      <c r="R68" s="2" t="inlineStr"/>
    </row>
    <row r="69" ht="15" customHeight="1">
      <c r="A69" t="inlineStr">
        <is>
          <t>A 53965-2019</t>
        </is>
      </c>
      <c r="B69" s="1" t="n">
        <v>43752</v>
      </c>
      <c r="C69" s="1" t="n">
        <v>45755</v>
      </c>
      <c r="D69" t="inlineStr">
        <is>
          <t>ÖREBRO LÄN</t>
        </is>
      </c>
      <c r="E69" t="inlineStr">
        <is>
          <t>HÄLLEFORS</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54433-2019</t>
        </is>
      </c>
      <c r="B70" s="1" t="n">
        <v>43754</v>
      </c>
      <c r="C70" s="1" t="n">
        <v>45755</v>
      </c>
      <c r="D70" t="inlineStr">
        <is>
          <t>ÖREBRO LÄN</t>
        </is>
      </c>
      <c r="E70" t="inlineStr">
        <is>
          <t>HÄLLEFORS</t>
        </is>
      </c>
      <c r="F70" t="inlineStr">
        <is>
          <t>Bergvik skog väst AB</t>
        </is>
      </c>
      <c r="G70" t="n">
        <v>7.9</v>
      </c>
      <c r="H70" t="n">
        <v>0</v>
      </c>
      <c r="I70" t="n">
        <v>0</v>
      </c>
      <c r="J70" t="n">
        <v>0</v>
      </c>
      <c r="K70" t="n">
        <v>0</v>
      </c>
      <c r="L70" t="n">
        <v>0</v>
      </c>
      <c r="M70" t="n">
        <v>0</v>
      </c>
      <c r="N70" t="n">
        <v>0</v>
      </c>
      <c r="O70" t="n">
        <v>0</v>
      </c>
      <c r="P70" t="n">
        <v>0</v>
      </c>
      <c r="Q70" t="n">
        <v>0</v>
      </c>
      <c r="R70" s="2" t="inlineStr"/>
    </row>
    <row r="71" ht="15" customHeight="1">
      <c r="A71" t="inlineStr">
        <is>
          <t>A 54977-2019</t>
        </is>
      </c>
      <c r="B71" s="1" t="n">
        <v>43755</v>
      </c>
      <c r="C71" s="1" t="n">
        <v>45755</v>
      </c>
      <c r="D71" t="inlineStr">
        <is>
          <t>ÖREBRO LÄN</t>
        </is>
      </c>
      <c r="E71" t="inlineStr">
        <is>
          <t>HÄLLEFORS</t>
        </is>
      </c>
      <c r="F71" t="inlineStr">
        <is>
          <t>Bergvik skog väst AB</t>
        </is>
      </c>
      <c r="G71" t="n">
        <v>17.5</v>
      </c>
      <c r="H71" t="n">
        <v>0</v>
      </c>
      <c r="I71" t="n">
        <v>0</v>
      </c>
      <c r="J71" t="n">
        <v>0</v>
      </c>
      <c r="K71" t="n">
        <v>0</v>
      </c>
      <c r="L71" t="n">
        <v>0</v>
      </c>
      <c r="M71" t="n">
        <v>0</v>
      </c>
      <c r="N71" t="n">
        <v>0</v>
      </c>
      <c r="O71" t="n">
        <v>0</v>
      </c>
      <c r="P71" t="n">
        <v>0</v>
      </c>
      <c r="Q71" t="n">
        <v>0</v>
      </c>
      <c r="R71" s="2" t="inlineStr"/>
    </row>
    <row r="72" ht="15" customHeight="1">
      <c r="A72" t="inlineStr">
        <is>
          <t>A 55129-2019</t>
        </is>
      </c>
      <c r="B72" s="1" t="n">
        <v>43756</v>
      </c>
      <c r="C72" s="1" t="n">
        <v>45755</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55150-2019</t>
        </is>
      </c>
      <c r="B73" s="1" t="n">
        <v>43756</v>
      </c>
      <c r="C73" s="1" t="n">
        <v>45755</v>
      </c>
      <c r="D73" t="inlineStr">
        <is>
          <t>ÖREBRO LÄN</t>
        </is>
      </c>
      <c r="E73" t="inlineStr">
        <is>
          <t>HÄLLEFORS</t>
        </is>
      </c>
      <c r="F73" t="inlineStr">
        <is>
          <t>Bergvik skog väst AB</t>
        </is>
      </c>
      <c r="G73" t="n">
        <v>1.2</v>
      </c>
      <c r="H73" t="n">
        <v>0</v>
      </c>
      <c r="I73" t="n">
        <v>0</v>
      </c>
      <c r="J73" t="n">
        <v>0</v>
      </c>
      <c r="K73" t="n">
        <v>0</v>
      </c>
      <c r="L73" t="n">
        <v>0</v>
      </c>
      <c r="M73" t="n">
        <v>0</v>
      </c>
      <c r="N73" t="n">
        <v>0</v>
      </c>
      <c r="O73" t="n">
        <v>0</v>
      </c>
      <c r="P73" t="n">
        <v>0</v>
      </c>
      <c r="Q73" t="n">
        <v>0</v>
      </c>
      <c r="R73" s="2" t="inlineStr"/>
    </row>
    <row r="74" ht="15" customHeight="1">
      <c r="A74" t="inlineStr">
        <is>
          <t>A 57363-2019</t>
        </is>
      </c>
      <c r="B74" s="1" t="n">
        <v>43767</v>
      </c>
      <c r="C74" s="1" t="n">
        <v>45755</v>
      </c>
      <c r="D74" t="inlineStr">
        <is>
          <t>ÖREBRO LÄN</t>
        </is>
      </c>
      <c r="E74" t="inlineStr">
        <is>
          <t>HÄLLEFORS</t>
        </is>
      </c>
      <c r="G74" t="n">
        <v>1.4</v>
      </c>
      <c r="H74" t="n">
        <v>0</v>
      </c>
      <c r="I74" t="n">
        <v>0</v>
      </c>
      <c r="J74" t="n">
        <v>0</v>
      </c>
      <c r="K74" t="n">
        <v>0</v>
      </c>
      <c r="L74" t="n">
        <v>0</v>
      </c>
      <c r="M74" t="n">
        <v>0</v>
      </c>
      <c r="N74" t="n">
        <v>0</v>
      </c>
      <c r="O74" t="n">
        <v>0</v>
      </c>
      <c r="P74" t="n">
        <v>0</v>
      </c>
      <c r="Q74" t="n">
        <v>0</v>
      </c>
      <c r="R74" s="2" t="inlineStr"/>
    </row>
    <row r="75" ht="15" customHeight="1">
      <c r="A75" t="inlineStr">
        <is>
          <t>A 57443-2019</t>
        </is>
      </c>
      <c r="B75" s="1" t="n">
        <v>43767</v>
      </c>
      <c r="C75" s="1" t="n">
        <v>45755</v>
      </c>
      <c r="D75" t="inlineStr">
        <is>
          <t>ÖREBRO LÄN</t>
        </is>
      </c>
      <c r="E75" t="inlineStr">
        <is>
          <t>HÄLLEFORS</t>
        </is>
      </c>
      <c r="G75" t="n">
        <v>0.4</v>
      </c>
      <c r="H75" t="n">
        <v>0</v>
      </c>
      <c r="I75" t="n">
        <v>0</v>
      </c>
      <c r="J75" t="n">
        <v>0</v>
      </c>
      <c r="K75" t="n">
        <v>0</v>
      </c>
      <c r="L75" t="n">
        <v>0</v>
      </c>
      <c r="M75" t="n">
        <v>0</v>
      </c>
      <c r="N75" t="n">
        <v>0</v>
      </c>
      <c r="O75" t="n">
        <v>0</v>
      </c>
      <c r="P75" t="n">
        <v>0</v>
      </c>
      <c r="Q75" t="n">
        <v>0</v>
      </c>
      <c r="R75" s="2" t="inlineStr"/>
    </row>
    <row r="76" ht="15" customHeight="1">
      <c r="A76" t="inlineStr">
        <is>
          <t>A 57398-2019</t>
        </is>
      </c>
      <c r="B76" s="1" t="n">
        <v>43767</v>
      </c>
      <c r="C76" s="1" t="n">
        <v>45755</v>
      </c>
      <c r="D76" t="inlineStr">
        <is>
          <t>ÖREBRO LÄN</t>
        </is>
      </c>
      <c r="E76" t="inlineStr">
        <is>
          <t>HÄLLEFORS</t>
        </is>
      </c>
      <c r="F76" t="inlineStr">
        <is>
          <t>Bergvik skog väst AB</t>
        </is>
      </c>
      <c r="G76" t="n">
        <v>10.4</v>
      </c>
      <c r="H76" t="n">
        <v>0</v>
      </c>
      <c r="I76" t="n">
        <v>0</v>
      </c>
      <c r="J76" t="n">
        <v>0</v>
      </c>
      <c r="K76" t="n">
        <v>0</v>
      </c>
      <c r="L76" t="n">
        <v>0</v>
      </c>
      <c r="M76" t="n">
        <v>0</v>
      </c>
      <c r="N76" t="n">
        <v>0</v>
      </c>
      <c r="O76" t="n">
        <v>0</v>
      </c>
      <c r="P76" t="n">
        <v>0</v>
      </c>
      <c r="Q76" t="n">
        <v>0</v>
      </c>
      <c r="R76" s="2" t="inlineStr"/>
    </row>
    <row r="77" ht="15" customHeight="1">
      <c r="A77" t="inlineStr">
        <is>
          <t>A 58100-2019</t>
        </is>
      </c>
      <c r="B77" s="1" t="n">
        <v>43769</v>
      </c>
      <c r="C77" s="1" t="n">
        <v>45755</v>
      </c>
      <c r="D77" t="inlineStr">
        <is>
          <t>ÖREBRO LÄN</t>
        </is>
      </c>
      <c r="E77" t="inlineStr">
        <is>
          <t>HÄLLEFORS</t>
        </is>
      </c>
      <c r="G77" t="n">
        <v>2.3</v>
      </c>
      <c r="H77" t="n">
        <v>0</v>
      </c>
      <c r="I77" t="n">
        <v>0</v>
      </c>
      <c r="J77" t="n">
        <v>0</v>
      </c>
      <c r="K77" t="n">
        <v>0</v>
      </c>
      <c r="L77" t="n">
        <v>0</v>
      </c>
      <c r="M77" t="n">
        <v>0</v>
      </c>
      <c r="N77" t="n">
        <v>0</v>
      </c>
      <c r="O77" t="n">
        <v>0</v>
      </c>
      <c r="P77" t="n">
        <v>0</v>
      </c>
      <c r="Q77" t="n">
        <v>0</v>
      </c>
      <c r="R77" s="2" t="inlineStr"/>
    </row>
    <row r="78" ht="15" customHeight="1">
      <c r="A78" t="inlineStr">
        <is>
          <t>A 58317-2019</t>
        </is>
      </c>
      <c r="B78" s="1" t="n">
        <v>43770</v>
      </c>
      <c r="C78" s="1" t="n">
        <v>45755</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65073-2019</t>
        </is>
      </c>
      <c r="B79" s="1" t="n">
        <v>43802</v>
      </c>
      <c r="C79" s="1" t="n">
        <v>45755</v>
      </c>
      <c r="D79" t="inlineStr">
        <is>
          <t>ÖREBRO LÄN</t>
        </is>
      </c>
      <c r="E79" t="inlineStr">
        <is>
          <t>HÄLLEFORS</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65758-2019</t>
        </is>
      </c>
      <c r="B80" s="1" t="n">
        <v>43804</v>
      </c>
      <c r="C80" s="1" t="n">
        <v>45755</v>
      </c>
      <c r="D80" t="inlineStr">
        <is>
          <t>ÖREBRO LÄN</t>
        </is>
      </c>
      <c r="E80" t="inlineStr">
        <is>
          <t>HÄLLEFORS</t>
        </is>
      </c>
      <c r="G80" t="n">
        <v>2.1</v>
      </c>
      <c r="H80" t="n">
        <v>0</v>
      </c>
      <c r="I80" t="n">
        <v>0</v>
      </c>
      <c r="J80" t="n">
        <v>0</v>
      </c>
      <c r="K80" t="n">
        <v>0</v>
      </c>
      <c r="L80" t="n">
        <v>0</v>
      </c>
      <c r="M80" t="n">
        <v>0</v>
      </c>
      <c r="N80" t="n">
        <v>0</v>
      </c>
      <c r="O80" t="n">
        <v>0</v>
      </c>
      <c r="P80" t="n">
        <v>0</v>
      </c>
      <c r="Q80" t="n">
        <v>0</v>
      </c>
      <c r="R80" s="2" t="inlineStr"/>
    </row>
    <row r="81" ht="15" customHeight="1">
      <c r="A81" t="inlineStr">
        <is>
          <t>A 68534-2019</t>
        </is>
      </c>
      <c r="B81" s="1" t="n">
        <v>43818</v>
      </c>
      <c r="C81" s="1" t="n">
        <v>45755</v>
      </c>
      <c r="D81" t="inlineStr">
        <is>
          <t>ÖREBRO LÄN</t>
        </is>
      </c>
      <c r="E81" t="inlineStr">
        <is>
          <t>HÄLLEFORS</t>
        </is>
      </c>
      <c r="F81" t="inlineStr">
        <is>
          <t>Bergvik skog väst AB</t>
        </is>
      </c>
      <c r="G81" t="n">
        <v>14.3</v>
      </c>
      <c r="H81" t="n">
        <v>0</v>
      </c>
      <c r="I81" t="n">
        <v>0</v>
      </c>
      <c r="J81" t="n">
        <v>0</v>
      </c>
      <c r="K81" t="n">
        <v>0</v>
      </c>
      <c r="L81" t="n">
        <v>0</v>
      </c>
      <c r="M81" t="n">
        <v>0</v>
      </c>
      <c r="N81" t="n">
        <v>0</v>
      </c>
      <c r="O81" t="n">
        <v>0</v>
      </c>
      <c r="P81" t="n">
        <v>0</v>
      </c>
      <c r="Q81" t="n">
        <v>0</v>
      </c>
      <c r="R81" s="2" t="inlineStr"/>
    </row>
    <row r="82" ht="15" customHeight="1">
      <c r="A82" t="inlineStr">
        <is>
          <t>A 55-2020</t>
        </is>
      </c>
      <c r="B82" s="1" t="n">
        <v>43832</v>
      </c>
      <c r="C82" s="1" t="n">
        <v>45755</v>
      </c>
      <c r="D82" t="inlineStr">
        <is>
          <t>ÖREBRO LÄN</t>
        </is>
      </c>
      <c r="E82" t="inlineStr">
        <is>
          <t>HÄLLEFORS</t>
        </is>
      </c>
      <c r="F82" t="inlineStr">
        <is>
          <t>Bergvik skog väst AB</t>
        </is>
      </c>
      <c r="G82" t="n">
        <v>0.9</v>
      </c>
      <c r="H82" t="n">
        <v>0</v>
      </c>
      <c r="I82" t="n">
        <v>0</v>
      </c>
      <c r="J82" t="n">
        <v>0</v>
      </c>
      <c r="K82" t="n">
        <v>0</v>
      </c>
      <c r="L82" t="n">
        <v>0</v>
      </c>
      <c r="M82" t="n">
        <v>0</v>
      </c>
      <c r="N82" t="n">
        <v>0</v>
      </c>
      <c r="O82" t="n">
        <v>0</v>
      </c>
      <c r="P82" t="n">
        <v>0</v>
      </c>
      <c r="Q82" t="n">
        <v>0</v>
      </c>
      <c r="R82" s="2" t="inlineStr"/>
    </row>
    <row r="83" ht="15" customHeight="1">
      <c r="A83" t="inlineStr">
        <is>
          <t>A 5089-2020</t>
        </is>
      </c>
      <c r="B83" s="1" t="n">
        <v>43859</v>
      </c>
      <c r="C83" s="1" t="n">
        <v>45755</v>
      </c>
      <c r="D83" t="inlineStr">
        <is>
          <t>ÖREBRO LÄN</t>
        </is>
      </c>
      <c r="E83" t="inlineStr">
        <is>
          <t>HÄLLEFORS</t>
        </is>
      </c>
      <c r="G83" t="n">
        <v>0.3</v>
      </c>
      <c r="H83" t="n">
        <v>0</v>
      </c>
      <c r="I83" t="n">
        <v>0</v>
      </c>
      <c r="J83" t="n">
        <v>0</v>
      </c>
      <c r="K83" t="n">
        <v>0</v>
      </c>
      <c r="L83" t="n">
        <v>0</v>
      </c>
      <c r="M83" t="n">
        <v>0</v>
      </c>
      <c r="N83" t="n">
        <v>0</v>
      </c>
      <c r="O83" t="n">
        <v>0</v>
      </c>
      <c r="P83" t="n">
        <v>0</v>
      </c>
      <c r="Q83" t="n">
        <v>0</v>
      </c>
      <c r="R83" s="2" t="inlineStr"/>
    </row>
    <row r="84" ht="15" customHeight="1">
      <c r="A84" t="inlineStr">
        <is>
          <t>A 6196-2020</t>
        </is>
      </c>
      <c r="B84" s="1" t="n">
        <v>43865</v>
      </c>
      <c r="C84" s="1" t="n">
        <v>45755</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6914-2020</t>
        </is>
      </c>
      <c r="B85" s="1" t="n">
        <v>43868</v>
      </c>
      <c r="C85" s="1" t="n">
        <v>45755</v>
      </c>
      <c r="D85" t="inlineStr">
        <is>
          <t>ÖREBRO LÄN</t>
        </is>
      </c>
      <c r="E85" t="inlineStr">
        <is>
          <t>HÄLLEFORS</t>
        </is>
      </c>
      <c r="F85" t="inlineStr">
        <is>
          <t>Sveaskog</t>
        </is>
      </c>
      <c r="G85" t="n">
        <v>3.2</v>
      </c>
      <c r="H85" t="n">
        <v>0</v>
      </c>
      <c r="I85" t="n">
        <v>0</v>
      </c>
      <c r="J85" t="n">
        <v>0</v>
      </c>
      <c r="K85" t="n">
        <v>0</v>
      </c>
      <c r="L85" t="n">
        <v>0</v>
      </c>
      <c r="M85" t="n">
        <v>0</v>
      </c>
      <c r="N85" t="n">
        <v>0</v>
      </c>
      <c r="O85" t="n">
        <v>0</v>
      </c>
      <c r="P85" t="n">
        <v>0</v>
      </c>
      <c r="Q85" t="n">
        <v>0</v>
      </c>
      <c r="R85" s="2" t="inlineStr"/>
    </row>
    <row r="86" ht="15" customHeight="1">
      <c r="A86" t="inlineStr">
        <is>
          <t>A 9959-2020</t>
        </is>
      </c>
      <c r="B86" s="1" t="n">
        <v>43882</v>
      </c>
      <c r="C86" s="1" t="n">
        <v>45755</v>
      </c>
      <c r="D86" t="inlineStr">
        <is>
          <t>ÖREBRO LÄN</t>
        </is>
      </c>
      <c r="E86" t="inlineStr">
        <is>
          <t>HÄLLEFORS</t>
        </is>
      </c>
      <c r="F86" t="inlineStr">
        <is>
          <t>Bergvik skog väst AB</t>
        </is>
      </c>
      <c r="G86" t="n">
        <v>2.2</v>
      </c>
      <c r="H86" t="n">
        <v>0</v>
      </c>
      <c r="I86" t="n">
        <v>0</v>
      </c>
      <c r="J86" t="n">
        <v>0</v>
      </c>
      <c r="K86" t="n">
        <v>0</v>
      </c>
      <c r="L86" t="n">
        <v>0</v>
      </c>
      <c r="M86" t="n">
        <v>0</v>
      </c>
      <c r="N86" t="n">
        <v>0</v>
      </c>
      <c r="O86" t="n">
        <v>0</v>
      </c>
      <c r="P86" t="n">
        <v>0</v>
      </c>
      <c r="Q86" t="n">
        <v>0</v>
      </c>
      <c r="R86" s="2" t="inlineStr"/>
    </row>
    <row r="87" ht="15" customHeight="1">
      <c r="A87" t="inlineStr">
        <is>
          <t>A 11308-2020</t>
        </is>
      </c>
      <c r="B87" s="1" t="n">
        <v>43892</v>
      </c>
      <c r="C87" s="1" t="n">
        <v>45755</v>
      </c>
      <c r="D87" t="inlineStr">
        <is>
          <t>ÖREBRO LÄN</t>
        </is>
      </c>
      <c r="E87" t="inlineStr">
        <is>
          <t>HÄLLEFORS</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11235-2020</t>
        </is>
      </c>
      <c r="B88" s="1" t="n">
        <v>43892</v>
      </c>
      <c r="C88" s="1" t="n">
        <v>45755</v>
      </c>
      <c r="D88" t="inlineStr">
        <is>
          <t>ÖREBRO LÄN</t>
        </is>
      </c>
      <c r="E88" t="inlineStr">
        <is>
          <t>HÄLLEFORS</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12170-2020</t>
        </is>
      </c>
      <c r="B89" s="1" t="n">
        <v>43895</v>
      </c>
      <c r="C89" s="1" t="n">
        <v>45755</v>
      </c>
      <c r="D89" t="inlineStr">
        <is>
          <t>ÖREBRO LÄN</t>
        </is>
      </c>
      <c r="E89" t="inlineStr">
        <is>
          <t>HÄLLEFORS</t>
        </is>
      </c>
      <c r="F89" t="inlineStr">
        <is>
          <t>Bergvik skog väst AB</t>
        </is>
      </c>
      <c r="G89" t="n">
        <v>1.6</v>
      </c>
      <c r="H89" t="n">
        <v>0</v>
      </c>
      <c r="I89" t="n">
        <v>0</v>
      </c>
      <c r="J89" t="n">
        <v>0</v>
      </c>
      <c r="K89" t="n">
        <v>0</v>
      </c>
      <c r="L89" t="n">
        <v>0</v>
      </c>
      <c r="M89" t="n">
        <v>0</v>
      </c>
      <c r="N89" t="n">
        <v>0</v>
      </c>
      <c r="O89" t="n">
        <v>0</v>
      </c>
      <c r="P89" t="n">
        <v>0</v>
      </c>
      <c r="Q89" t="n">
        <v>0</v>
      </c>
      <c r="R89" s="2" t="inlineStr"/>
    </row>
    <row r="90" ht="15" customHeight="1">
      <c r="A90" t="inlineStr">
        <is>
          <t>A 16829-2020</t>
        </is>
      </c>
      <c r="B90" s="1" t="n">
        <v>43921</v>
      </c>
      <c r="C90" s="1" t="n">
        <v>45755</v>
      </c>
      <c r="D90" t="inlineStr">
        <is>
          <t>ÖREBRO LÄN</t>
        </is>
      </c>
      <c r="E90" t="inlineStr">
        <is>
          <t>HÄLLEFORS</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18000-2020</t>
        </is>
      </c>
      <c r="B91" s="1" t="n">
        <v>43927</v>
      </c>
      <c r="C91" s="1" t="n">
        <v>45755</v>
      </c>
      <c r="D91" t="inlineStr">
        <is>
          <t>ÖREBRO LÄN</t>
        </is>
      </c>
      <c r="E91" t="inlineStr">
        <is>
          <t>HÄLLEFORS</t>
        </is>
      </c>
      <c r="F91" t="inlineStr">
        <is>
          <t>Bergvik skog väst AB</t>
        </is>
      </c>
      <c r="G91" t="n">
        <v>11.1</v>
      </c>
      <c r="H91" t="n">
        <v>0</v>
      </c>
      <c r="I91" t="n">
        <v>0</v>
      </c>
      <c r="J91" t="n">
        <v>0</v>
      </c>
      <c r="K91" t="n">
        <v>0</v>
      </c>
      <c r="L91" t="n">
        <v>0</v>
      </c>
      <c r="M91" t="n">
        <v>0</v>
      </c>
      <c r="N91" t="n">
        <v>0</v>
      </c>
      <c r="O91" t="n">
        <v>0</v>
      </c>
      <c r="P91" t="n">
        <v>0</v>
      </c>
      <c r="Q91" t="n">
        <v>0</v>
      </c>
      <c r="R91" s="2" t="inlineStr"/>
    </row>
    <row r="92" ht="15" customHeight="1">
      <c r="A92" t="inlineStr">
        <is>
          <t>A 18669-2020</t>
        </is>
      </c>
      <c r="B92" s="1" t="n">
        <v>43930</v>
      </c>
      <c r="C92" s="1" t="n">
        <v>45755</v>
      </c>
      <c r="D92" t="inlineStr">
        <is>
          <t>ÖREBRO LÄN</t>
        </is>
      </c>
      <c r="E92" t="inlineStr">
        <is>
          <t>HÄLLEFORS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18672-2020</t>
        </is>
      </c>
      <c r="B93" s="1" t="n">
        <v>43930</v>
      </c>
      <c r="C93" s="1" t="n">
        <v>45755</v>
      </c>
      <c r="D93" t="inlineStr">
        <is>
          <t>ÖREBRO LÄN</t>
        </is>
      </c>
      <c r="E93" t="inlineStr">
        <is>
          <t>HÄLLEFORS</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20719-2020</t>
        </is>
      </c>
      <c r="B94" s="1" t="n">
        <v>43949</v>
      </c>
      <c r="C94" s="1" t="n">
        <v>45755</v>
      </c>
      <c r="D94" t="inlineStr">
        <is>
          <t>ÖREBRO LÄN</t>
        </is>
      </c>
      <c r="E94" t="inlineStr">
        <is>
          <t>HÄLLEFORS</t>
        </is>
      </c>
      <c r="F94" t="inlineStr">
        <is>
          <t>Bergvik skog väst AB</t>
        </is>
      </c>
      <c r="G94" t="n">
        <v>0.3</v>
      </c>
      <c r="H94" t="n">
        <v>0</v>
      </c>
      <c r="I94" t="n">
        <v>0</v>
      </c>
      <c r="J94" t="n">
        <v>0</v>
      </c>
      <c r="K94" t="n">
        <v>0</v>
      </c>
      <c r="L94" t="n">
        <v>0</v>
      </c>
      <c r="M94" t="n">
        <v>0</v>
      </c>
      <c r="N94" t="n">
        <v>0</v>
      </c>
      <c r="O94" t="n">
        <v>0</v>
      </c>
      <c r="P94" t="n">
        <v>0</v>
      </c>
      <c r="Q94" t="n">
        <v>0</v>
      </c>
      <c r="R94" s="2" t="inlineStr"/>
    </row>
    <row r="95" ht="15" customHeight="1">
      <c r="A95" t="inlineStr">
        <is>
          <t>A 20718-2020</t>
        </is>
      </c>
      <c r="B95" s="1" t="n">
        <v>43949</v>
      </c>
      <c r="C95" s="1" t="n">
        <v>45755</v>
      </c>
      <c r="D95" t="inlineStr">
        <is>
          <t>ÖREBRO LÄN</t>
        </is>
      </c>
      <c r="E95" t="inlineStr">
        <is>
          <t>HÄLLEFORS</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21177-2020</t>
        </is>
      </c>
      <c r="B96" s="1" t="n">
        <v>43951</v>
      </c>
      <c r="C96" s="1" t="n">
        <v>45755</v>
      </c>
      <c r="D96" t="inlineStr">
        <is>
          <t>ÖREBRO LÄN</t>
        </is>
      </c>
      <c r="E96" t="inlineStr">
        <is>
          <t>HÄLLEFORS</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21750-2020</t>
        </is>
      </c>
      <c r="B97" s="1" t="n">
        <v>43957</v>
      </c>
      <c r="C97" s="1" t="n">
        <v>45755</v>
      </c>
      <c r="D97" t="inlineStr">
        <is>
          <t>ÖREBRO LÄN</t>
        </is>
      </c>
      <c r="E97" t="inlineStr">
        <is>
          <t>HÄLLEFORS</t>
        </is>
      </c>
      <c r="G97" t="n">
        <v>0.8</v>
      </c>
      <c r="H97" t="n">
        <v>0</v>
      </c>
      <c r="I97" t="n">
        <v>0</v>
      </c>
      <c r="J97" t="n">
        <v>0</v>
      </c>
      <c r="K97" t="n">
        <v>0</v>
      </c>
      <c r="L97" t="n">
        <v>0</v>
      </c>
      <c r="M97" t="n">
        <v>0</v>
      </c>
      <c r="N97" t="n">
        <v>0</v>
      </c>
      <c r="O97" t="n">
        <v>0</v>
      </c>
      <c r="P97" t="n">
        <v>0</v>
      </c>
      <c r="Q97" t="n">
        <v>0</v>
      </c>
      <c r="R97" s="2" t="inlineStr"/>
    </row>
    <row r="98" ht="15" customHeight="1">
      <c r="A98" t="inlineStr">
        <is>
          <t>A 21859-2020</t>
        </is>
      </c>
      <c r="B98" s="1" t="n">
        <v>43958</v>
      </c>
      <c r="C98" s="1" t="n">
        <v>45755</v>
      </c>
      <c r="D98" t="inlineStr">
        <is>
          <t>ÖREBRO LÄN</t>
        </is>
      </c>
      <c r="E98" t="inlineStr">
        <is>
          <t>HÄLLEFORS</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22729-2020</t>
        </is>
      </c>
      <c r="B99" s="1" t="n">
        <v>43962</v>
      </c>
      <c r="C99" s="1" t="n">
        <v>45755</v>
      </c>
      <c r="D99" t="inlineStr">
        <is>
          <t>ÖREBRO LÄN</t>
        </is>
      </c>
      <c r="E99" t="inlineStr">
        <is>
          <t>HÄLLEFORS</t>
        </is>
      </c>
      <c r="G99" t="n">
        <v>1.5</v>
      </c>
      <c r="H99" t="n">
        <v>0</v>
      </c>
      <c r="I99" t="n">
        <v>0</v>
      </c>
      <c r="J99" t="n">
        <v>0</v>
      </c>
      <c r="K99" t="n">
        <v>0</v>
      </c>
      <c r="L99" t="n">
        <v>0</v>
      </c>
      <c r="M99" t="n">
        <v>0</v>
      </c>
      <c r="N99" t="n">
        <v>0</v>
      </c>
      <c r="O99" t="n">
        <v>0</v>
      </c>
      <c r="P99" t="n">
        <v>0</v>
      </c>
      <c r="Q99" t="n">
        <v>0</v>
      </c>
      <c r="R99" s="2" t="inlineStr"/>
    </row>
    <row r="100" ht="15" customHeight="1">
      <c r="A100" t="inlineStr">
        <is>
          <t>A 24483-2020</t>
        </is>
      </c>
      <c r="B100" s="1" t="n">
        <v>43977</v>
      </c>
      <c r="C100" s="1" t="n">
        <v>45755</v>
      </c>
      <c r="D100" t="inlineStr">
        <is>
          <t>ÖREBRO LÄN</t>
        </is>
      </c>
      <c r="E100" t="inlineStr">
        <is>
          <t>HÄLLEFORS</t>
        </is>
      </c>
      <c r="F100" t="inlineStr">
        <is>
          <t>Bergvik skog väst AB</t>
        </is>
      </c>
      <c r="G100" t="n">
        <v>0.3</v>
      </c>
      <c r="H100" t="n">
        <v>0</v>
      </c>
      <c r="I100" t="n">
        <v>0</v>
      </c>
      <c r="J100" t="n">
        <v>0</v>
      </c>
      <c r="K100" t="n">
        <v>0</v>
      </c>
      <c r="L100" t="n">
        <v>0</v>
      </c>
      <c r="M100" t="n">
        <v>0</v>
      </c>
      <c r="N100" t="n">
        <v>0</v>
      </c>
      <c r="O100" t="n">
        <v>0</v>
      </c>
      <c r="P100" t="n">
        <v>0</v>
      </c>
      <c r="Q100" t="n">
        <v>0</v>
      </c>
      <c r="R100" s="2" t="inlineStr"/>
    </row>
    <row r="101" ht="15" customHeight="1">
      <c r="A101" t="inlineStr">
        <is>
          <t>A 27171-2020</t>
        </is>
      </c>
      <c r="B101" s="1" t="n">
        <v>43991</v>
      </c>
      <c r="C101" s="1" t="n">
        <v>45755</v>
      </c>
      <c r="D101" t="inlineStr">
        <is>
          <t>ÖREBRO LÄN</t>
        </is>
      </c>
      <c r="E101" t="inlineStr">
        <is>
          <t>HÄLLEFORS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27173-2020</t>
        </is>
      </c>
      <c r="B102" s="1" t="n">
        <v>43991</v>
      </c>
      <c r="C102" s="1" t="n">
        <v>45755</v>
      </c>
      <c r="D102" t="inlineStr">
        <is>
          <t>ÖREBRO LÄN</t>
        </is>
      </c>
      <c r="E102" t="inlineStr">
        <is>
          <t>HÄLLEFORS</t>
        </is>
      </c>
      <c r="G102" t="n">
        <v>2.9</v>
      </c>
      <c r="H102" t="n">
        <v>0</v>
      </c>
      <c r="I102" t="n">
        <v>0</v>
      </c>
      <c r="J102" t="n">
        <v>0</v>
      </c>
      <c r="K102" t="n">
        <v>0</v>
      </c>
      <c r="L102" t="n">
        <v>0</v>
      </c>
      <c r="M102" t="n">
        <v>0</v>
      </c>
      <c r="N102" t="n">
        <v>0</v>
      </c>
      <c r="O102" t="n">
        <v>0</v>
      </c>
      <c r="P102" t="n">
        <v>0</v>
      </c>
      <c r="Q102" t="n">
        <v>0</v>
      </c>
      <c r="R102" s="2" t="inlineStr"/>
    </row>
    <row r="103" ht="15" customHeight="1">
      <c r="A103" t="inlineStr">
        <is>
          <t>A 28373-2020</t>
        </is>
      </c>
      <c r="B103" s="1" t="n">
        <v>43998</v>
      </c>
      <c r="C103" s="1" t="n">
        <v>45755</v>
      </c>
      <c r="D103" t="inlineStr">
        <is>
          <t>ÖREBRO LÄN</t>
        </is>
      </c>
      <c r="E103" t="inlineStr">
        <is>
          <t>HÄLLEFORS</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32649-2020</t>
        </is>
      </c>
      <c r="B104" s="1" t="n">
        <v>44018</v>
      </c>
      <c r="C104" s="1" t="n">
        <v>45755</v>
      </c>
      <c r="D104" t="inlineStr">
        <is>
          <t>ÖREBRO LÄN</t>
        </is>
      </c>
      <c r="E104" t="inlineStr">
        <is>
          <t>HÄLLEFORS</t>
        </is>
      </c>
      <c r="F104" t="inlineStr">
        <is>
          <t>Kyrkan</t>
        </is>
      </c>
      <c r="G104" t="n">
        <v>10.8</v>
      </c>
      <c r="H104" t="n">
        <v>0</v>
      </c>
      <c r="I104" t="n">
        <v>0</v>
      </c>
      <c r="J104" t="n">
        <v>0</v>
      </c>
      <c r="K104" t="n">
        <v>0</v>
      </c>
      <c r="L104" t="n">
        <v>0</v>
      </c>
      <c r="M104" t="n">
        <v>0</v>
      </c>
      <c r="N104" t="n">
        <v>0</v>
      </c>
      <c r="O104" t="n">
        <v>0</v>
      </c>
      <c r="P104" t="n">
        <v>0</v>
      </c>
      <c r="Q104" t="n">
        <v>0</v>
      </c>
      <c r="R104" s="2" t="inlineStr"/>
    </row>
    <row r="105" ht="15" customHeight="1">
      <c r="A105" t="inlineStr">
        <is>
          <t>A 34415-2020</t>
        </is>
      </c>
      <c r="B105" s="1" t="n">
        <v>44032</v>
      </c>
      <c r="C105" s="1" t="n">
        <v>45755</v>
      </c>
      <c r="D105" t="inlineStr">
        <is>
          <t>ÖREBRO LÄN</t>
        </is>
      </c>
      <c r="E105" t="inlineStr">
        <is>
          <t>HÄLLEFORS</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35825-2020</t>
        </is>
      </c>
      <c r="B106" s="1" t="n">
        <v>44047</v>
      </c>
      <c r="C106" s="1" t="n">
        <v>45755</v>
      </c>
      <c r="D106" t="inlineStr">
        <is>
          <t>ÖREBRO LÄN</t>
        </is>
      </c>
      <c r="E106" t="inlineStr">
        <is>
          <t>HÄLLEFORS</t>
        </is>
      </c>
      <c r="G106" t="n">
        <v>4.8</v>
      </c>
      <c r="H106" t="n">
        <v>0</v>
      </c>
      <c r="I106" t="n">
        <v>0</v>
      </c>
      <c r="J106" t="n">
        <v>0</v>
      </c>
      <c r="K106" t="n">
        <v>0</v>
      </c>
      <c r="L106" t="n">
        <v>0</v>
      </c>
      <c r="M106" t="n">
        <v>0</v>
      </c>
      <c r="N106" t="n">
        <v>0</v>
      </c>
      <c r="O106" t="n">
        <v>0</v>
      </c>
      <c r="P106" t="n">
        <v>0</v>
      </c>
      <c r="Q106" t="n">
        <v>0</v>
      </c>
      <c r="R106" s="2" t="inlineStr"/>
    </row>
    <row r="107" ht="15" customHeight="1">
      <c r="A107" t="inlineStr">
        <is>
          <t>A 39505-2020</t>
        </is>
      </c>
      <c r="B107" s="1" t="n">
        <v>44064</v>
      </c>
      <c r="C107" s="1" t="n">
        <v>45755</v>
      </c>
      <c r="D107" t="inlineStr">
        <is>
          <t>ÖREBRO LÄN</t>
        </is>
      </c>
      <c r="E107" t="inlineStr">
        <is>
          <t>HÄLLEFORS</t>
        </is>
      </c>
      <c r="F107" t="inlineStr">
        <is>
          <t>Bergvik skog väst AB</t>
        </is>
      </c>
      <c r="G107" t="n">
        <v>3.9</v>
      </c>
      <c r="H107" t="n">
        <v>0</v>
      </c>
      <c r="I107" t="n">
        <v>0</v>
      </c>
      <c r="J107" t="n">
        <v>0</v>
      </c>
      <c r="K107" t="n">
        <v>0</v>
      </c>
      <c r="L107" t="n">
        <v>0</v>
      </c>
      <c r="M107" t="n">
        <v>0</v>
      </c>
      <c r="N107" t="n">
        <v>0</v>
      </c>
      <c r="O107" t="n">
        <v>0</v>
      </c>
      <c r="P107" t="n">
        <v>0</v>
      </c>
      <c r="Q107" t="n">
        <v>0</v>
      </c>
      <c r="R107" s="2" t="inlineStr"/>
    </row>
    <row r="108" ht="15" customHeight="1">
      <c r="A108" t="inlineStr">
        <is>
          <t>A 39512-2020</t>
        </is>
      </c>
      <c r="B108" s="1" t="n">
        <v>44064</v>
      </c>
      <c r="C108" s="1" t="n">
        <v>45755</v>
      </c>
      <c r="D108" t="inlineStr">
        <is>
          <t>ÖREBRO LÄN</t>
        </is>
      </c>
      <c r="E108" t="inlineStr">
        <is>
          <t>HÄLLEFORS</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39557-2020</t>
        </is>
      </c>
      <c r="B109" s="1" t="n">
        <v>44064</v>
      </c>
      <c r="C109" s="1" t="n">
        <v>45755</v>
      </c>
      <c r="D109" t="inlineStr">
        <is>
          <t>ÖREBRO LÄN</t>
        </is>
      </c>
      <c r="E109" t="inlineStr">
        <is>
          <t>HÄLLEFORS</t>
        </is>
      </c>
      <c r="F109" t="inlineStr">
        <is>
          <t>Bergvik skog väst AB</t>
        </is>
      </c>
      <c r="G109" t="n">
        <v>18.1</v>
      </c>
      <c r="H109" t="n">
        <v>0</v>
      </c>
      <c r="I109" t="n">
        <v>0</v>
      </c>
      <c r="J109" t="n">
        <v>0</v>
      </c>
      <c r="K109" t="n">
        <v>0</v>
      </c>
      <c r="L109" t="n">
        <v>0</v>
      </c>
      <c r="M109" t="n">
        <v>0</v>
      </c>
      <c r="N109" t="n">
        <v>0</v>
      </c>
      <c r="O109" t="n">
        <v>0</v>
      </c>
      <c r="P109" t="n">
        <v>0</v>
      </c>
      <c r="Q109" t="n">
        <v>0</v>
      </c>
      <c r="R109" s="2" t="inlineStr"/>
    </row>
    <row r="110" ht="15" customHeight="1">
      <c r="A110" t="inlineStr">
        <is>
          <t>A 39484-2020</t>
        </is>
      </c>
      <c r="B110" s="1" t="n">
        <v>44064</v>
      </c>
      <c r="C110" s="1" t="n">
        <v>45755</v>
      </c>
      <c r="D110" t="inlineStr">
        <is>
          <t>ÖREBRO LÄN</t>
        </is>
      </c>
      <c r="E110" t="inlineStr">
        <is>
          <t>HÄLLEFORS</t>
        </is>
      </c>
      <c r="F110" t="inlineStr">
        <is>
          <t>Bergvik skog väst AB</t>
        </is>
      </c>
      <c r="G110" t="n">
        <v>1.6</v>
      </c>
      <c r="H110" t="n">
        <v>0</v>
      </c>
      <c r="I110" t="n">
        <v>0</v>
      </c>
      <c r="J110" t="n">
        <v>0</v>
      </c>
      <c r="K110" t="n">
        <v>0</v>
      </c>
      <c r="L110" t="n">
        <v>0</v>
      </c>
      <c r="M110" t="n">
        <v>0</v>
      </c>
      <c r="N110" t="n">
        <v>0</v>
      </c>
      <c r="O110" t="n">
        <v>0</v>
      </c>
      <c r="P110" t="n">
        <v>0</v>
      </c>
      <c r="Q110" t="n">
        <v>0</v>
      </c>
      <c r="R110" s="2" t="inlineStr"/>
    </row>
    <row r="111" ht="15" customHeight="1">
      <c r="A111" t="inlineStr">
        <is>
          <t>A 39499-2020</t>
        </is>
      </c>
      <c r="B111" s="1" t="n">
        <v>44064</v>
      </c>
      <c r="C111" s="1" t="n">
        <v>45755</v>
      </c>
      <c r="D111" t="inlineStr">
        <is>
          <t>ÖREBRO LÄN</t>
        </is>
      </c>
      <c r="E111" t="inlineStr">
        <is>
          <t>HÄLLEFORS</t>
        </is>
      </c>
      <c r="F111" t="inlineStr">
        <is>
          <t>Bergvik skog väst AB</t>
        </is>
      </c>
      <c r="G111" t="n">
        <v>2</v>
      </c>
      <c r="H111" t="n">
        <v>0</v>
      </c>
      <c r="I111" t="n">
        <v>0</v>
      </c>
      <c r="J111" t="n">
        <v>0</v>
      </c>
      <c r="K111" t="n">
        <v>0</v>
      </c>
      <c r="L111" t="n">
        <v>0</v>
      </c>
      <c r="M111" t="n">
        <v>0</v>
      </c>
      <c r="N111" t="n">
        <v>0</v>
      </c>
      <c r="O111" t="n">
        <v>0</v>
      </c>
      <c r="P111" t="n">
        <v>0</v>
      </c>
      <c r="Q111" t="n">
        <v>0</v>
      </c>
      <c r="R111" s="2" t="inlineStr"/>
    </row>
    <row r="112" ht="15" customHeight="1">
      <c r="A112" t="inlineStr">
        <is>
          <t>A 39607-2020</t>
        </is>
      </c>
      <c r="B112" s="1" t="n">
        <v>44064</v>
      </c>
      <c r="C112" s="1" t="n">
        <v>45755</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39572-2020</t>
        </is>
      </c>
      <c r="B113" s="1" t="n">
        <v>44064</v>
      </c>
      <c r="C113" s="1" t="n">
        <v>45755</v>
      </c>
      <c r="D113" t="inlineStr">
        <is>
          <t>ÖREBRO LÄN</t>
        </is>
      </c>
      <c r="E113" t="inlineStr">
        <is>
          <t>HÄLLEFORS</t>
        </is>
      </c>
      <c r="F113" t="inlineStr">
        <is>
          <t>Bergvik skog väst AB</t>
        </is>
      </c>
      <c r="G113" t="n">
        <v>1.5</v>
      </c>
      <c r="H113" t="n">
        <v>0</v>
      </c>
      <c r="I113" t="n">
        <v>0</v>
      </c>
      <c r="J113" t="n">
        <v>0</v>
      </c>
      <c r="K113" t="n">
        <v>0</v>
      </c>
      <c r="L113" t="n">
        <v>0</v>
      </c>
      <c r="M113" t="n">
        <v>0</v>
      </c>
      <c r="N113" t="n">
        <v>0</v>
      </c>
      <c r="O113" t="n">
        <v>0</v>
      </c>
      <c r="P113" t="n">
        <v>0</v>
      </c>
      <c r="Q113" t="n">
        <v>0</v>
      </c>
      <c r="R113" s="2" t="inlineStr"/>
    </row>
    <row r="114" ht="15" customHeight="1">
      <c r="A114" t="inlineStr">
        <is>
          <t>A 39603-2020</t>
        </is>
      </c>
      <c r="B114" s="1" t="n">
        <v>44064</v>
      </c>
      <c r="C114" s="1" t="n">
        <v>45755</v>
      </c>
      <c r="D114" t="inlineStr">
        <is>
          <t>ÖREBRO LÄN</t>
        </is>
      </c>
      <c r="E114" t="inlineStr">
        <is>
          <t>HÄLLEFORS</t>
        </is>
      </c>
      <c r="F114" t="inlineStr">
        <is>
          <t>Bergvik skog väst AB</t>
        </is>
      </c>
      <c r="G114" t="n">
        <v>2.9</v>
      </c>
      <c r="H114" t="n">
        <v>0</v>
      </c>
      <c r="I114" t="n">
        <v>0</v>
      </c>
      <c r="J114" t="n">
        <v>0</v>
      </c>
      <c r="K114" t="n">
        <v>0</v>
      </c>
      <c r="L114" t="n">
        <v>0</v>
      </c>
      <c r="M114" t="n">
        <v>0</v>
      </c>
      <c r="N114" t="n">
        <v>0</v>
      </c>
      <c r="O114" t="n">
        <v>0</v>
      </c>
      <c r="P114" t="n">
        <v>0</v>
      </c>
      <c r="Q114" t="n">
        <v>0</v>
      </c>
      <c r="R114" s="2" t="inlineStr"/>
    </row>
    <row r="115" ht="15" customHeight="1">
      <c r="A115" t="inlineStr">
        <is>
          <t>A 39613-2020</t>
        </is>
      </c>
      <c r="B115" s="1" t="n">
        <v>44064</v>
      </c>
      <c r="C115" s="1" t="n">
        <v>45755</v>
      </c>
      <c r="D115" t="inlineStr">
        <is>
          <t>ÖREBRO LÄN</t>
        </is>
      </c>
      <c r="E115" t="inlineStr">
        <is>
          <t>HÄLLEFORS</t>
        </is>
      </c>
      <c r="F115" t="inlineStr">
        <is>
          <t>Bergvik skog väst AB</t>
        </is>
      </c>
      <c r="G115" t="n">
        <v>5</v>
      </c>
      <c r="H115" t="n">
        <v>0</v>
      </c>
      <c r="I115" t="n">
        <v>0</v>
      </c>
      <c r="J115" t="n">
        <v>0</v>
      </c>
      <c r="K115" t="n">
        <v>0</v>
      </c>
      <c r="L115" t="n">
        <v>0</v>
      </c>
      <c r="M115" t="n">
        <v>0</v>
      </c>
      <c r="N115" t="n">
        <v>0</v>
      </c>
      <c r="O115" t="n">
        <v>0</v>
      </c>
      <c r="P115" t="n">
        <v>0</v>
      </c>
      <c r="Q115" t="n">
        <v>0</v>
      </c>
      <c r="R115" s="2" t="inlineStr"/>
    </row>
    <row r="116" ht="15" customHeight="1">
      <c r="A116" t="inlineStr">
        <is>
          <t>A 39564-2020</t>
        </is>
      </c>
      <c r="B116" s="1" t="n">
        <v>44064</v>
      </c>
      <c r="C116" s="1" t="n">
        <v>45755</v>
      </c>
      <c r="D116" t="inlineStr">
        <is>
          <t>ÖREBRO LÄN</t>
        </is>
      </c>
      <c r="E116" t="inlineStr">
        <is>
          <t>HÄLLEFORS</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39914-2020</t>
        </is>
      </c>
      <c r="B117" s="1" t="n">
        <v>44067</v>
      </c>
      <c r="C117" s="1" t="n">
        <v>45755</v>
      </c>
      <c r="D117" t="inlineStr">
        <is>
          <t>ÖREBRO LÄN</t>
        </is>
      </c>
      <c r="E117" t="inlineStr">
        <is>
          <t>HÄLLEFORS</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39921-2020</t>
        </is>
      </c>
      <c r="B118" s="1" t="n">
        <v>44067</v>
      </c>
      <c r="C118" s="1" t="n">
        <v>45755</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40467-2020</t>
        </is>
      </c>
      <c r="B119" s="1" t="n">
        <v>44069</v>
      </c>
      <c r="C119" s="1" t="n">
        <v>45755</v>
      </c>
      <c r="D119" t="inlineStr">
        <is>
          <t>ÖREBRO LÄN</t>
        </is>
      </c>
      <c r="E119" t="inlineStr">
        <is>
          <t>HÄLLEFORS</t>
        </is>
      </c>
      <c r="G119" t="n">
        <v>0.5</v>
      </c>
      <c r="H119" t="n">
        <v>0</v>
      </c>
      <c r="I119" t="n">
        <v>0</v>
      </c>
      <c r="J119" t="n">
        <v>0</v>
      </c>
      <c r="K119" t="n">
        <v>0</v>
      </c>
      <c r="L119" t="n">
        <v>0</v>
      </c>
      <c r="M119" t="n">
        <v>0</v>
      </c>
      <c r="N119" t="n">
        <v>0</v>
      </c>
      <c r="O119" t="n">
        <v>0</v>
      </c>
      <c r="P119" t="n">
        <v>0</v>
      </c>
      <c r="Q119" t="n">
        <v>0</v>
      </c>
      <c r="R119" s="2" t="inlineStr"/>
    </row>
    <row r="120" ht="15" customHeight="1">
      <c r="A120" t="inlineStr">
        <is>
          <t>A 40935-2020</t>
        </is>
      </c>
      <c r="B120" s="1" t="n">
        <v>44070</v>
      </c>
      <c r="C120" s="1" t="n">
        <v>45755</v>
      </c>
      <c r="D120" t="inlineStr">
        <is>
          <t>ÖREBRO LÄN</t>
        </is>
      </c>
      <c r="E120" t="inlineStr">
        <is>
          <t>HÄLLEFORS</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42613-2020</t>
        </is>
      </c>
      <c r="B121" s="1" t="n">
        <v>44077</v>
      </c>
      <c r="C121" s="1" t="n">
        <v>45755</v>
      </c>
      <c r="D121" t="inlineStr">
        <is>
          <t>ÖREBRO LÄN</t>
        </is>
      </c>
      <c r="E121" t="inlineStr">
        <is>
          <t>HÄLLEFORS</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44924-2020</t>
        </is>
      </c>
      <c r="B122" s="1" t="n">
        <v>44083</v>
      </c>
      <c r="C122" s="1" t="n">
        <v>45755</v>
      </c>
      <c r="D122" t="inlineStr">
        <is>
          <t>ÖREBRO LÄN</t>
        </is>
      </c>
      <c r="E122" t="inlineStr">
        <is>
          <t>HÄLLEFORS</t>
        </is>
      </c>
      <c r="G122" t="n">
        <v>0.7</v>
      </c>
      <c r="H122" t="n">
        <v>0</v>
      </c>
      <c r="I122" t="n">
        <v>0</v>
      </c>
      <c r="J122" t="n">
        <v>0</v>
      </c>
      <c r="K122" t="n">
        <v>0</v>
      </c>
      <c r="L122" t="n">
        <v>0</v>
      </c>
      <c r="M122" t="n">
        <v>0</v>
      </c>
      <c r="N122" t="n">
        <v>0</v>
      </c>
      <c r="O122" t="n">
        <v>0</v>
      </c>
      <c r="P122" t="n">
        <v>0</v>
      </c>
      <c r="Q122" t="n">
        <v>0</v>
      </c>
      <c r="R122" s="2" t="inlineStr"/>
    </row>
    <row r="123" ht="15" customHeight="1">
      <c r="A123" t="inlineStr">
        <is>
          <t>A 44556-2020</t>
        </is>
      </c>
      <c r="B123" s="1" t="n">
        <v>44085</v>
      </c>
      <c r="C123" s="1" t="n">
        <v>45755</v>
      </c>
      <c r="D123" t="inlineStr">
        <is>
          <t>ÖREBRO LÄN</t>
        </is>
      </c>
      <c r="E123" t="inlineStr">
        <is>
          <t>HÄLLEFORS</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45459-2020</t>
        </is>
      </c>
      <c r="B124" s="1" t="n">
        <v>44089</v>
      </c>
      <c r="C124" s="1" t="n">
        <v>45755</v>
      </c>
      <c r="D124" t="inlineStr">
        <is>
          <t>ÖREBRO LÄN</t>
        </is>
      </c>
      <c r="E124" t="inlineStr">
        <is>
          <t>HÄLLEFORS</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47609-2020</t>
        </is>
      </c>
      <c r="B125" s="1" t="n">
        <v>44098</v>
      </c>
      <c r="C125" s="1" t="n">
        <v>45755</v>
      </c>
      <c r="D125" t="inlineStr">
        <is>
          <t>ÖREBRO LÄN</t>
        </is>
      </c>
      <c r="E125" t="inlineStr">
        <is>
          <t>HÄLLEFORS</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47702-2020</t>
        </is>
      </c>
      <c r="B126" s="1" t="n">
        <v>44098</v>
      </c>
      <c r="C126" s="1" t="n">
        <v>45755</v>
      </c>
      <c r="D126" t="inlineStr">
        <is>
          <t>ÖREBRO LÄN</t>
        </is>
      </c>
      <c r="E126" t="inlineStr">
        <is>
          <t>HÄLLEFORS</t>
        </is>
      </c>
      <c r="F126" t="inlineStr">
        <is>
          <t>Bergvik skog väst AB</t>
        </is>
      </c>
      <c r="G126" t="n">
        <v>1.6</v>
      </c>
      <c r="H126" t="n">
        <v>0</v>
      </c>
      <c r="I126" t="n">
        <v>0</v>
      </c>
      <c r="J126" t="n">
        <v>0</v>
      </c>
      <c r="K126" t="n">
        <v>0</v>
      </c>
      <c r="L126" t="n">
        <v>0</v>
      </c>
      <c r="M126" t="n">
        <v>0</v>
      </c>
      <c r="N126" t="n">
        <v>0</v>
      </c>
      <c r="O126" t="n">
        <v>0</v>
      </c>
      <c r="P126" t="n">
        <v>0</v>
      </c>
      <c r="Q126" t="n">
        <v>0</v>
      </c>
      <c r="R126" s="2" t="inlineStr"/>
    </row>
    <row r="127" ht="15" customHeight="1">
      <c r="A127" t="inlineStr">
        <is>
          <t>A 47614-2020</t>
        </is>
      </c>
      <c r="B127" s="1" t="n">
        <v>44098</v>
      </c>
      <c r="C127" s="1" t="n">
        <v>45755</v>
      </c>
      <c r="D127" t="inlineStr">
        <is>
          <t>ÖREBRO LÄN</t>
        </is>
      </c>
      <c r="E127" t="inlineStr">
        <is>
          <t>HÄLLEFORS</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47731-2020</t>
        </is>
      </c>
      <c r="B128" s="1" t="n">
        <v>44098</v>
      </c>
      <c r="C128" s="1" t="n">
        <v>45755</v>
      </c>
      <c r="D128" t="inlineStr">
        <is>
          <t>ÖREBRO LÄN</t>
        </is>
      </c>
      <c r="E128" t="inlineStr">
        <is>
          <t>HÄLLEFORS</t>
        </is>
      </c>
      <c r="F128" t="inlineStr">
        <is>
          <t>Bergvik skog väst AB</t>
        </is>
      </c>
      <c r="G128" t="n">
        <v>0.4</v>
      </c>
      <c r="H128" t="n">
        <v>0</v>
      </c>
      <c r="I128" t="n">
        <v>0</v>
      </c>
      <c r="J128" t="n">
        <v>0</v>
      </c>
      <c r="K128" t="n">
        <v>0</v>
      </c>
      <c r="L128" t="n">
        <v>0</v>
      </c>
      <c r="M128" t="n">
        <v>0</v>
      </c>
      <c r="N128" t="n">
        <v>0</v>
      </c>
      <c r="O128" t="n">
        <v>0</v>
      </c>
      <c r="P128" t="n">
        <v>0</v>
      </c>
      <c r="Q128" t="n">
        <v>0</v>
      </c>
      <c r="R128" s="2" t="inlineStr"/>
    </row>
    <row r="129" ht="15" customHeight="1">
      <c r="A129" t="inlineStr">
        <is>
          <t>A 48127-2020</t>
        </is>
      </c>
      <c r="B129" s="1" t="n">
        <v>44102</v>
      </c>
      <c r="C129" s="1" t="n">
        <v>45755</v>
      </c>
      <c r="D129" t="inlineStr">
        <is>
          <t>ÖREBRO LÄN</t>
        </is>
      </c>
      <c r="E129" t="inlineStr">
        <is>
          <t>HÄLLEFORS</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48316-2020</t>
        </is>
      </c>
      <c r="B130" s="1" t="n">
        <v>44102</v>
      </c>
      <c r="C130" s="1" t="n">
        <v>45755</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49640-2020</t>
        </is>
      </c>
      <c r="B131" s="1" t="n">
        <v>44106</v>
      </c>
      <c r="C131" s="1" t="n">
        <v>45755</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49719-2020</t>
        </is>
      </c>
      <c r="B132" s="1" t="n">
        <v>44106</v>
      </c>
      <c r="C132" s="1" t="n">
        <v>45755</v>
      </c>
      <c r="D132" t="inlineStr">
        <is>
          <t>ÖREBRO LÄN</t>
        </is>
      </c>
      <c r="E132" t="inlineStr">
        <is>
          <t>HÄLLEFORS</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49642-2020</t>
        </is>
      </c>
      <c r="B133" s="1" t="n">
        <v>44106</v>
      </c>
      <c r="C133" s="1" t="n">
        <v>45755</v>
      </c>
      <c r="D133" t="inlineStr">
        <is>
          <t>ÖREBRO LÄN</t>
        </is>
      </c>
      <c r="E133" t="inlineStr">
        <is>
          <t>HÄLLEFORS</t>
        </is>
      </c>
      <c r="F133" t="inlineStr">
        <is>
          <t>Bergvik skog väst AB</t>
        </is>
      </c>
      <c r="G133" t="n">
        <v>3.9</v>
      </c>
      <c r="H133" t="n">
        <v>0</v>
      </c>
      <c r="I133" t="n">
        <v>0</v>
      </c>
      <c r="J133" t="n">
        <v>0</v>
      </c>
      <c r="K133" t="n">
        <v>0</v>
      </c>
      <c r="L133" t="n">
        <v>0</v>
      </c>
      <c r="M133" t="n">
        <v>0</v>
      </c>
      <c r="N133" t="n">
        <v>0</v>
      </c>
      <c r="O133" t="n">
        <v>0</v>
      </c>
      <c r="P133" t="n">
        <v>0</v>
      </c>
      <c r="Q133" t="n">
        <v>0</v>
      </c>
      <c r="R133" s="2" t="inlineStr"/>
    </row>
    <row r="134" ht="15" customHeight="1">
      <c r="A134" t="inlineStr">
        <is>
          <t>A 49650-2020</t>
        </is>
      </c>
      <c r="B134" s="1" t="n">
        <v>44106</v>
      </c>
      <c r="C134" s="1" t="n">
        <v>45755</v>
      </c>
      <c r="D134" t="inlineStr">
        <is>
          <t>ÖREBRO LÄN</t>
        </is>
      </c>
      <c r="E134" t="inlineStr">
        <is>
          <t>HÄLLEFORS</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49882-2020</t>
        </is>
      </c>
      <c r="B135" s="1" t="n">
        <v>44108</v>
      </c>
      <c r="C135" s="1" t="n">
        <v>45755</v>
      </c>
      <c r="D135" t="inlineStr">
        <is>
          <t>ÖREBRO LÄN</t>
        </is>
      </c>
      <c r="E135" t="inlineStr">
        <is>
          <t>HÄLLEFORS</t>
        </is>
      </c>
      <c r="G135" t="n">
        <v>1.7</v>
      </c>
      <c r="H135" t="n">
        <v>0</v>
      </c>
      <c r="I135" t="n">
        <v>0</v>
      </c>
      <c r="J135" t="n">
        <v>0</v>
      </c>
      <c r="K135" t="n">
        <v>0</v>
      </c>
      <c r="L135" t="n">
        <v>0</v>
      </c>
      <c r="M135" t="n">
        <v>0</v>
      </c>
      <c r="N135" t="n">
        <v>0</v>
      </c>
      <c r="O135" t="n">
        <v>0</v>
      </c>
      <c r="P135" t="n">
        <v>0</v>
      </c>
      <c r="Q135" t="n">
        <v>0</v>
      </c>
      <c r="R135" s="2" t="inlineStr"/>
    </row>
    <row r="136" ht="15" customHeight="1">
      <c r="A136" t="inlineStr">
        <is>
          <t>A 50345-2020</t>
        </is>
      </c>
      <c r="B136" s="1" t="n">
        <v>44110</v>
      </c>
      <c r="C136" s="1" t="n">
        <v>45755</v>
      </c>
      <c r="D136" t="inlineStr">
        <is>
          <t>ÖREBRO LÄN</t>
        </is>
      </c>
      <c r="E136" t="inlineStr">
        <is>
          <t>HÄLLEFORS</t>
        </is>
      </c>
      <c r="F136" t="inlineStr">
        <is>
          <t>Bergvik skog väst AB</t>
        </is>
      </c>
      <c r="G136" t="n">
        <v>4</v>
      </c>
      <c r="H136" t="n">
        <v>0</v>
      </c>
      <c r="I136" t="n">
        <v>0</v>
      </c>
      <c r="J136" t="n">
        <v>0</v>
      </c>
      <c r="K136" t="n">
        <v>0</v>
      </c>
      <c r="L136" t="n">
        <v>0</v>
      </c>
      <c r="M136" t="n">
        <v>0</v>
      </c>
      <c r="N136" t="n">
        <v>0</v>
      </c>
      <c r="O136" t="n">
        <v>0</v>
      </c>
      <c r="P136" t="n">
        <v>0</v>
      </c>
      <c r="Q136" t="n">
        <v>0</v>
      </c>
      <c r="R136" s="2" t="inlineStr"/>
    </row>
    <row r="137" ht="15" customHeight="1">
      <c r="A137" t="inlineStr">
        <is>
          <t>A 58534-2020</t>
        </is>
      </c>
      <c r="B137" s="1" t="n">
        <v>44145</v>
      </c>
      <c r="C137" s="1" t="n">
        <v>45755</v>
      </c>
      <c r="D137" t="inlineStr">
        <is>
          <t>ÖREBRO LÄN</t>
        </is>
      </c>
      <c r="E137" t="inlineStr">
        <is>
          <t>HÄLLEFORS</t>
        </is>
      </c>
      <c r="G137" t="n">
        <v>3.1</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45755</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45755</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45755</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45755</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45755</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45755</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45755</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45755</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45755</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45755</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45755</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45755</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45755</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45755</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45755</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45755</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45755</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45755</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45755</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45755</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45755</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45755</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45755</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45755</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45755</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45755</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45755</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45755</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45755</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45755</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45755</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45755</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45755</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45755</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45755</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45755</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45755</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45755</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45755</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45755</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45755</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45755</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45755</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45755</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45755</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45755</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45755</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45755</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45755</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45755</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45755</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45755</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45755</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45755</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45755</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45755</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45755</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45755</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45755</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45755</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45755</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45755</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45755</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45755</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45755</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45755</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45755</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45755</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45755</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45755</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45755</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45755</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45755</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45755</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45755</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45755</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45755</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45755</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45755</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45755</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45755</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45755</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45755</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45755</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45755</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45755</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45755</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45755</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45755</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45755</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45755</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45755</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45755</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45755</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45755</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45755</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45755</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45755</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45755</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45755</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45755</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45755</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45755</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45755</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45755</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45755</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45755</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45755</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45755</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45755</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45755</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45755</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45755</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45755</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45755</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45755</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45755</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45755</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45755</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45755</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45755</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45755</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45755</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45755</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45755</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45755</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45755</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45755</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45755</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45755</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45755</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45755</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45755</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45755</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45755</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45755</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45755</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45755</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45755</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45755</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45755</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45755</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45755</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45755</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45755</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45755</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45755</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45755</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45755</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45755</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45755</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45755</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45755</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45755</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45755</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45755</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45755</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45755</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45755</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45755</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45755</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45755</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45755</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45755</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45755</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45755</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45755</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45755</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45755</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45755</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45755</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45755</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45755</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45755</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45755</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45755</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45755</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45755</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45755</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45755</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45755</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45755</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45755</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45755</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45755</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45755</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45755</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45755</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45755</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45755</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45755</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45755</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45755</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45755</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45755</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45755</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45755</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45755</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45755</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45755</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45755</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45755</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45755</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45755</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45755</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45755</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45755</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45755</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45755</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45755</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45755</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45755</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45755</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45755</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45755</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45755</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45755</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45755</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45755</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45755</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45755</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45755</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45755</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45755</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45755</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45755</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45755</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45755</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45755</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45755</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45755</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45755</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45755</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45755</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45755</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45755</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45755</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45755</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45755</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45755</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45755</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45755</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45755</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45755</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45755</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45755</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45755</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45755</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45755</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45755</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45755</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45755</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45755</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45755</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45755</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45755</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45755</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45755</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45755</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45755</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45755</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45755</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45755</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45755</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45755</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45755</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45755</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45755</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45755</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45755</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45755</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45755</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45755</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45755</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45755</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45755</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45755</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45755</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45755</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45755</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45755</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45755</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45755</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45755</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45755</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45755</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45755</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45755</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45755</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45755</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45755</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45755</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45755</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45755</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45755</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45755</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45755</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45755</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45755</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45755</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45755</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45755</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45755</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45755</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45755</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45755</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45755</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45755</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45755</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45755</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45755</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45755</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45755</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45755</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45755</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45755</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45755</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45755</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45755</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45755</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45755</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45755</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45755</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45755</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45755</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45755</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45755</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45755</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45755</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45755</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45755</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45755</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45755</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45755</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45755</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45755</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45755</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45755</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45755</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45755</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45755</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45755</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45755</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45755</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45755</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45755</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45755</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45755</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45755</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45755</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45755</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45755</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45755</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45755</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45755</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45755</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45755</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45755</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45755</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45755</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45755</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45755</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45755</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45755</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45755</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45755</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45755</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45755</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45755</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45755</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45755</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45755</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45755</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45755</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45755</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45755</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45755</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45755</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45755</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45755</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45755</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45755</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45755</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45755</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45755</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45755</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45755</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45755</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45755</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45755</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45755</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45755</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45755</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45755</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45755</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45755</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45755</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45755</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45755</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45755</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45755</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45755</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45755</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45755</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45755</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45755</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45755</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45755</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45755</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45755</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45755</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45755</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45755</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45755</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45755</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45755</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45755</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45755</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45755</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45755</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45755</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45755</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45755</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45755</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45755</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45755</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45755</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45755</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45755</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45755</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45755</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45755</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45755</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45755</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45755</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45755</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45755</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45755</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45755</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45755</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45755</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45755</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45755</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45755</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45755</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45755</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45755</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45755</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45755</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45755</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45755</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45755</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45755</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45755</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45755</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45755</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45755</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45755</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45755</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45755</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45755</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45755</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45755</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45755</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45755</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45755</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45755</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45755</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45755</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45755</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45755</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45755</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45755</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45755</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45755</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45755</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45755</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45755</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45755</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45755</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45755</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45755</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45755</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45755</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45755</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45755</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45755</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45755</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45755</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45755</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45755</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45755</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45755</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45755</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45755</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45755</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45755</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45755</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45755</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45755</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45755</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45755</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45755</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45755</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45755</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45755</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45755</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45755</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45755</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45755</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45755</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45755</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45755</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45755</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45755</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45755</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45755</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45755</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45755</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45755</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45755</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45755</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45755</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45755</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45755</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45755</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45755</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45755</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45755</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45755</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45755</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45755</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45755</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45755</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45755</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45755</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45755</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45755</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45755</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45755</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45755</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45755</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45755</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45755</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45755</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45755</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45755</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45755</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45755</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45755</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45755</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45755</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45755</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45755</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45755</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45755</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45755</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45755</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45755</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45755</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45755</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45755</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45755</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45755</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45755</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45755</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45755</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45755</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45755</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45755</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9536-2025</t>
        </is>
      </c>
      <c r="B708" s="1" t="n">
        <v>45715</v>
      </c>
      <c r="C708" s="1" t="n">
        <v>45755</v>
      </c>
      <c r="D708" t="inlineStr">
        <is>
          <t>ÖREBRO LÄN</t>
        </is>
      </c>
      <c r="E708" t="inlineStr">
        <is>
          <t>HÄLLEFORS</t>
        </is>
      </c>
      <c r="G708" t="n">
        <v>1.5</v>
      </c>
      <c r="H708" t="n">
        <v>0</v>
      </c>
      <c r="I708" t="n">
        <v>0</v>
      </c>
      <c r="J708" t="n">
        <v>0</v>
      </c>
      <c r="K708" t="n">
        <v>0</v>
      </c>
      <c r="L708" t="n">
        <v>0</v>
      </c>
      <c r="M708" t="n">
        <v>0</v>
      </c>
      <c r="N708" t="n">
        <v>0</v>
      </c>
      <c r="O708" t="n">
        <v>0</v>
      </c>
      <c r="P708" t="n">
        <v>0</v>
      </c>
      <c r="Q708" t="n">
        <v>0</v>
      </c>
      <c r="R708" s="2" t="inlineStr"/>
    </row>
    <row r="709" ht="15" customHeight="1">
      <c r="A709" t="inlineStr">
        <is>
          <t>A 9537-2025</t>
        </is>
      </c>
      <c r="B709" s="1" t="n">
        <v>45715</v>
      </c>
      <c r="C709" s="1" t="n">
        <v>45755</v>
      </c>
      <c r="D709" t="inlineStr">
        <is>
          <t>ÖREBRO LÄN</t>
        </is>
      </c>
      <c r="E709" t="inlineStr">
        <is>
          <t>HÄLLEFORS</t>
        </is>
      </c>
      <c r="G709" t="n">
        <v>2.7</v>
      </c>
      <c r="H709" t="n">
        <v>0</v>
      </c>
      <c r="I709" t="n">
        <v>0</v>
      </c>
      <c r="J709" t="n">
        <v>0</v>
      </c>
      <c r="K709" t="n">
        <v>0</v>
      </c>
      <c r="L709" t="n">
        <v>0</v>
      </c>
      <c r="M709" t="n">
        <v>0</v>
      </c>
      <c r="N709" t="n">
        <v>0</v>
      </c>
      <c r="O709" t="n">
        <v>0</v>
      </c>
      <c r="P709" t="n">
        <v>0</v>
      </c>
      <c r="Q709" t="n">
        <v>0</v>
      </c>
      <c r="R709" s="2" t="inlineStr"/>
    </row>
    <row r="710" ht="15" customHeight="1">
      <c r="A710" t="inlineStr">
        <is>
          <t>A 9539-2025</t>
        </is>
      </c>
      <c r="B710" s="1" t="n">
        <v>45715</v>
      </c>
      <c r="C710" s="1" t="n">
        <v>45755</v>
      </c>
      <c r="D710" t="inlineStr">
        <is>
          <t>ÖREBRO LÄN</t>
        </is>
      </c>
      <c r="E710" t="inlineStr">
        <is>
          <t>HÄLLEFORS</t>
        </is>
      </c>
      <c r="G710" t="n">
        <v>1.4</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45755</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12082-2025</t>
        </is>
      </c>
      <c r="B712" s="1" t="n">
        <v>45728</v>
      </c>
      <c r="C712" s="1" t="n">
        <v>45755</v>
      </c>
      <c r="D712" t="inlineStr">
        <is>
          <t>ÖREBRO LÄN</t>
        </is>
      </c>
      <c r="E712" t="inlineStr">
        <is>
          <t>HÄLLEFORS</t>
        </is>
      </c>
      <c r="F712" t="inlineStr">
        <is>
          <t>Bergvik skog väst AB</t>
        </is>
      </c>
      <c r="G712" t="n">
        <v>3.4</v>
      </c>
      <c r="H712" t="n">
        <v>0</v>
      </c>
      <c r="I712" t="n">
        <v>0</v>
      </c>
      <c r="J712" t="n">
        <v>0</v>
      </c>
      <c r="K712" t="n">
        <v>0</v>
      </c>
      <c r="L712" t="n">
        <v>0</v>
      </c>
      <c r="M712" t="n">
        <v>0</v>
      </c>
      <c r="N712" t="n">
        <v>0</v>
      </c>
      <c r="O712" t="n">
        <v>0</v>
      </c>
      <c r="P712" t="n">
        <v>0</v>
      </c>
      <c r="Q712" t="n">
        <v>0</v>
      </c>
      <c r="R712" s="2" t="inlineStr"/>
    </row>
    <row r="713" ht="15" customHeight="1">
      <c r="A713" t="inlineStr">
        <is>
          <t>A 11987-2025</t>
        </is>
      </c>
      <c r="B713" s="1" t="n">
        <v>45728</v>
      </c>
      <c r="C713" s="1" t="n">
        <v>45755</v>
      </c>
      <c r="D713" t="inlineStr">
        <is>
          <t>ÖREBRO LÄN</t>
        </is>
      </c>
      <c r="E713" t="inlineStr">
        <is>
          <t>HÄLLEFORS</t>
        </is>
      </c>
      <c r="F713" t="inlineStr">
        <is>
          <t>Bergvik skog väst AB</t>
        </is>
      </c>
      <c r="G713" t="n">
        <v>9.1</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45755</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12555-2025</t>
        </is>
      </c>
      <c r="B715" s="1" t="n">
        <v>45731</v>
      </c>
      <c r="C715" s="1" t="n">
        <v>45755</v>
      </c>
      <c r="D715" t="inlineStr">
        <is>
          <t>ÖREBRO LÄN</t>
        </is>
      </c>
      <c r="E715" t="inlineStr">
        <is>
          <t>HÄLLEFORS</t>
        </is>
      </c>
      <c r="G715" t="n">
        <v>4</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45755</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ht="15" customHeight="1">
      <c r="A717" t="inlineStr">
        <is>
          <t>A 12558-2025</t>
        </is>
      </c>
      <c r="B717" s="1" t="n">
        <v>45731</v>
      </c>
      <c r="C717" s="1" t="n">
        <v>45755</v>
      </c>
      <c r="D717" t="inlineStr">
        <is>
          <t>ÖREBRO LÄN</t>
        </is>
      </c>
      <c r="E717" t="inlineStr">
        <is>
          <t>HÄLLEFORS</t>
        </is>
      </c>
      <c r="G717" t="n">
        <v>2.2</v>
      </c>
      <c r="H717" t="n">
        <v>0</v>
      </c>
      <c r="I717" t="n">
        <v>0</v>
      </c>
      <c r="J717" t="n">
        <v>0</v>
      </c>
      <c r="K717" t="n">
        <v>0</v>
      </c>
      <c r="L717" t="n">
        <v>0</v>
      </c>
      <c r="M717" t="n">
        <v>0</v>
      </c>
      <c r="N717" t="n">
        <v>0</v>
      </c>
      <c r="O717" t="n">
        <v>0</v>
      </c>
      <c r="P717" t="n">
        <v>0</v>
      </c>
      <c r="Q717" t="n">
        <v>0</v>
      </c>
      <c r="R717" s="2" t="inlineStr"/>
    </row>
    <row r="718" ht="15" customHeight="1">
      <c r="A718" t="inlineStr">
        <is>
          <t>A 12648-2025</t>
        </is>
      </c>
      <c r="B718" s="1" t="n">
        <v>45733</v>
      </c>
      <c r="C718" s="1" t="n">
        <v>45755</v>
      </c>
      <c r="D718" t="inlineStr">
        <is>
          <t>ÖREBRO LÄN</t>
        </is>
      </c>
      <c r="E718" t="inlineStr">
        <is>
          <t>HÄLLEFORS</t>
        </is>
      </c>
      <c r="F718" t="inlineStr">
        <is>
          <t>Bergvik skog väst AB</t>
        </is>
      </c>
      <c r="G718" t="n">
        <v>5</v>
      </c>
      <c r="H718" t="n">
        <v>0</v>
      </c>
      <c r="I718" t="n">
        <v>0</v>
      </c>
      <c r="J718" t="n">
        <v>0</v>
      </c>
      <c r="K718" t="n">
        <v>0</v>
      </c>
      <c r="L718" t="n">
        <v>0</v>
      </c>
      <c r="M718" t="n">
        <v>0</v>
      </c>
      <c r="N718" t="n">
        <v>0</v>
      </c>
      <c r="O718" t="n">
        <v>0</v>
      </c>
      <c r="P718" t="n">
        <v>0</v>
      </c>
      <c r="Q718" t="n">
        <v>0</v>
      </c>
      <c r="R718" s="2" t="inlineStr"/>
    </row>
    <row r="719" ht="15" customHeight="1">
      <c r="A719" t="inlineStr">
        <is>
          <t>A 12649-2025</t>
        </is>
      </c>
      <c r="B719" s="1" t="n">
        <v>45733</v>
      </c>
      <c r="C719" s="1" t="n">
        <v>45755</v>
      </c>
      <c r="D719" t="inlineStr">
        <is>
          <t>ÖREBRO LÄN</t>
        </is>
      </c>
      <c r="E719" t="inlineStr">
        <is>
          <t>HÄLLEFORS</t>
        </is>
      </c>
      <c r="F719" t="inlineStr">
        <is>
          <t>Bergvik skog väst AB</t>
        </is>
      </c>
      <c r="G719" t="n">
        <v>3.1</v>
      </c>
      <c r="H719" t="n">
        <v>0</v>
      </c>
      <c r="I719" t="n">
        <v>0</v>
      </c>
      <c r="J719" t="n">
        <v>0</v>
      </c>
      <c r="K719" t="n">
        <v>0</v>
      </c>
      <c r="L719" t="n">
        <v>0</v>
      </c>
      <c r="M719" t="n">
        <v>0</v>
      </c>
      <c r="N719" t="n">
        <v>0</v>
      </c>
      <c r="O719" t="n">
        <v>0</v>
      </c>
      <c r="P719" t="n">
        <v>0</v>
      </c>
      <c r="Q719" t="n">
        <v>0</v>
      </c>
      <c r="R719" s="2" t="inlineStr"/>
    </row>
    <row r="720" ht="15" customHeight="1">
      <c r="A720" t="inlineStr">
        <is>
          <t>A 14669-2025</t>
        </is>
      </c>
      <c r="B720" s="1" t="n">
        <v>45742</v>
      </c>
      <c r="C720" s="1" t="n">
        <v>45755</v>
      </c>
      <c r="D720" t="inlineStr">
        <is>
          <t>ÖREBRO LÄN</t>
        </is>
      </c>
      <c r="E720" t="inlineStr">
        <is>
          <t>HÄLLEFORS</t>
        </is>
      </c>
      <c r="G720" t="n">
        <v>0.8</v>
      </c>
      <c r="H720" t="n">
        <v>0</v>
      </c>
      <c r="I720" t="n">
        <v>0</v>
      </c>
      <c r="J720" t="n">
        <v>0</v>
      </c>
      <c r="K720" t="n">
        <v>0</v>
      </c>
      <c r="L720" t="n">
        <v>0</v>
      </c>
      <c r="M720" t="n">
        <v>0</v>
      </c>
      <c r="N720" t="n">
        <v>0</v>
      </c>
      <c r="O720" t="n">
        <v>0</v>
      </c>
      <c r="P720" t="n">
        <v>0</v>
      </c>
      <c r="Q720" t="n">
        <v>0</v>
      </c>
      <c r="R720" s="2" t="inlineStr"/>
    </row>
    <row r="721" ht="15" customHeight="1">
      <c r="A721" t="inlineStr">
        <is>
          <t>A 15346-2025</t>
        </is>
      </c>
      <c r="B721" s="1" t="n">
        <v>45747</v>
      </c>
      <c r="C721" s="1" t="n">
        <v>45755</v>
      </c>
      <c r="D721" t="inlineStr">
        <is>
          <t>ÖREBRO LÄN</t>
        </is>
      </c>
      <c r="E721" t="inlineStr">
        <is>
          <t>HÄLLEFORS</t>
        </is>
      </c>
      <c r="G721" t="n">
        <v>3.3</v>
      </c>
      <c r="H721" t="n">
        <v>0</v>
      </c>
      <c r="I721" t="n">
        <v>0</v>
      </c>
      <c r="J721" t="n">
        <v>0</v>
      </c>
      <c r="K721" t="n">
        <v>0</v>
      </c>
      <c r="L721" t="n">
        <v>0</v>
      </c>
      <c r="M721" t="n">
        <v>0</v>
      </c>
      <c r="N721" t="n">
        <v>0</v>
      </c>
      <c r="O721" t="n">
        <v>0</v>
      </c>
      <c r="P721" t="n">
        <v>0</v>
      </c>
      <c r="Q721" t="n">
        <v>0</v>
      </c>
      <c r="R721" s="2" t="inlineStr"/>
    </row>
    <row r="722" ht="15" customHeight="1">
      <c r="A722" t="inlineStr">
        <is>
          <t>A 16135-2025</t>
        </is>
      </c>
      <c r="B722" s="1" t="n">
        <v>45750</v>
      </c>
      <c r="C722" s="1" t="n">
        <v>45755</v>
      </c>
      <c r="D722" t="inlineStr">
        <is>
          <t>ÖREBRO LÄN</t>
        </is>
      </c>
      <c r="E722" t="inlineStr">
        <is>
          <t>HÄLLEFORS</t>
        </is>
      </c>
      <c r="F722" t="inlineStr">
        <is>
          <t>Kyrkan</t>
        </is>
      </c>
      <c r="G722" t="n">
        <v>4.6</v>
      </c>
      <c r="H722" t="n">
        <v>0</v>
      </c>
      <c r="I722" t="n">
        <v>0</v>
      </c>
      <c r="J722" t="n">
        <v>0</v>
      </c>
      <c r="K722" t="n">
        <v>0</v>
      </c>
      <c r="L722" t="n">
        <v>0</v>
      </c>
      <c r="M722" t="n">
        <v>0</v>
      </c>
      <c r="N722" t="n">
        <v>0</v>
      </c>
      <c r="O722" t="n">
        <v>0</v>
      </c>
      <c r="P722" t="n">
        <v>0</v>
      </c>
      <c r="Q722" t="n">
        <v>0</v>
      </c>
      <c r="R722" s="2" t="inlineStr"/>
    </row>
    <row r="723" ht="15" customHeight="1">
      <c r="A723" t="inlineStr">
        <is>
          <t>A 16169-2025</t>
        </is>
      </c>
      <c r="B723" s="1" t="n">
        <v>45750</v>
      </c>
      <c r="C723" s="1" t="n">
        <v>45755</v>
      </c>
      <c r="D723" t="inlineStr">
        <is>
          <t>ÖREBRO LÄN</t>
        </is>
      </c>
      <c r="E723" t="inlineStr">
        <is>
          <t>HÄLLEFORS</t>
        </is>
      </c>
      <c r="F723" t="inlineStr">
        <is>
          <t>Kyrkan</t>
        </is>
      </c>
      <c r="G723" t="n">
        <v>2.1</v>
      </c>
      <c r="H723" t="n">
        <v>0</v>
      </c>
      <c r="I723" t="n">
        <v>0</v>
      </c>
      <c r="J723" t="n">
        <v>0</v>
      </c>
      <c r="K723" t="n">
        <v>0</v>
      </c>
      <c r="L723" t="n">
        <v>0</v>
      </c>
      <c r="M723" t="n">
        <v>0</v>
      </c>
      <c r="N723" t="n">
        <v>0</v>
      </c>
      <c r="O723" t="n">
        <v>0</v>
      </c>
      <c r="P723" t="n">
        <v>0</v>
      </c>
      <c r="Q723" t="n">
        <v>0</v>
      </c>
      <c r="R723" s="2" t="inlineStr"/>
    </row>
    <row r="724">
      <c r="A724" t="inlineStr">
        <is>
          <t>A 16796-2025</t>
        </is>
      </c>
      <c r="B724" s="1" t="n">
        <v>45754</v>
      </c>
      <c r="C724" s="1" t="n">
        <v>45755</v>
      </c>
      <c r="D724" t="inlineStr">
        <is>
          <t>ÖREBRO LÄN</t>
        </is>
      </c>
      <c r="E724" t="inlineStr">
        <is>
          <t>HÄLLEFORS</t>
        </is>
      </c>
      <c r="G724" t="n">
        <v>1.8</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2025-04-08T16:52:26Z</dcterms:created>
  <dcterms:modified xmlns:dcterms="http://purl.org/dc/terms/" xmlns:xsi="http://www.w3.org/2001/XMLSchema-instance" xsi:type="dcterms:W3CDTF">2025-04-08T16:52:26Z</dcterms:modified>
</cp:coreProperties>
</file>