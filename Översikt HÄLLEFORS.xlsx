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46112</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46112</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46112</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46112</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46112</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46112</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46112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61590-2024</t>
        </is>
      </c>
      <c r="B14" s="1" t="n">
        <v>45646.63039351852</v>
      </c>
      <c r="C14" s="1" t="n">
        <v>46112</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34050-2025</t>
        </is>
      </c>
      <c r="B15" s="1" t="n">
        <v>45845.40576388889</v>
      </c>
      <c r="C15" s="1" t="n">
        <v>46112</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44402-2025</t>
        </is>
      </c>
      <c r="B16" s="1" t="n">
        <v>45916.51012731482</v>
      </c>
      <c r="C16" s="1" t="n">
        <v>46112</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46112</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37259-2024</t>
        </is>
      </c>
      <c r="B18" s="1" t="n">
        <v>45540.37113425926</v>
      </c>
      <c r="C18" s="1" t="n">
        <v>46112</v>
      </c>
      <c r="D18" t="inlineStr">
        <is>
          <t>ÖREBRO LÄN</t>
        </is>
      </c>
      <c r="E18" t="inlineStr">
        <is>
          <t>HÄLLEFORS</t>
        </is>
      </c>
      <c r="F18" t="inlineStr">
        <is>
          <t>Bergvik skog väst AB</t>
        </is>
      </c>
      <c r="G18" t="n">
        <v>4.5</v>
      </c>
      <c r="H18" t="n">
        <v>2</v>
      </c>
      <c r="I18" t="n">
        <v>0</v>
      </c>
      <c r="J18" t="n">
        <v>1</v>
      </c>
      <c r="K18" t="n">
        <v>0</v>
      </c>
      <c r="L18" t="n">
        <v>0</v>
      </c>
      <c r="M18" t="n">
        <v>0</v>
      </c>
      <c r="N18" t="n">
        <v>0</v>
      </c>
      <c r="O18" t="n">
        <v>1</v>
      </c>
      <c r="P18" t="n">
        <v>0</v>
      </c>
      <c r="Q18" t="n">
        <v>2</v>
      </c>
      <c r="R18" s="2" t="inlineStr">
        <is>
          <t>Järpe
Tjäder</t>
        </is>
      </c>
      <c r="S18">
        <f>HYPERLINK("https://klasma.github.io/Logging_1863/artfynd/A 37259-2024 artfynd.xlsx", "A 37259-2024")</f>
        <v/>
      </c>
      <c r="T18">
        <f>HYPERLINK("https://klasma.github.io/Logging_1863/kartor/A 37259-2024 karta.png", "A 37259-2024")</f>
        <v/>
      </c>
      <c r="V18">
        <f>HYPERLINK("https://klasma.github.io/Logging_1863/klagomål/A 37259-2024 FSC-klagomål.docx", "A 37259-2024")</f>
        <v/>
      </c>
      <c r="W18">
        <f>HYPERLINK("https://klasma.github.io/Logging_1863/klagomålsmail/A 37259-2024 FSC-klagomål mail.docx", "A 37259-2024")</f>
        <v/>
      </c>
      <c r="X18">
        <f>HYPERLINK("https://klasma.github.io/Logging_1863/tillsyn/A 37259-2024 tillsynsbegäran.docx", "A 37259-2024")</f>
        <v/>
      </c>
      <c r="Y18">
        <f>HYPERLINK("https://klasma.github.io/Logging_1863/tillsynsmail/A 37259-2024 tillsynsbegäran mail.docx", "A 37259-2024")</f>
        <v/>
      </c>
      <c r="Z18">
        <f>HYPERLINK("https://klasma.github.io/Logging_1863/fåglar/A 37259-2024 prioriterade fågelarter.docx", "A 37259-2024")</f>
        <v/>
      </c>
    </row>
    <row r="19" ht="15" customHeight="1">
      <c r="A19" t="inlineStr">
        <is>
          <t>A 16932-2025</t>
        </is>
      </c>
      <c r="B19" s="1" t="n">
        <v>45755.40261574074</v>
      </c>
      <c r="C19" s="1" t="n">
        <v>46112</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46112</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46112</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46112</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46112</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46112</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46112</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46112</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5244-2025</t>
        </is>
      </c>
      <c r="B27" s="1" t="n">
        <v>45692</v>
      </c>
      <c r="C27" s="1" t="n">
        <v>46112</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46112</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18617-2025</t>
        </is>
      </c>
      <c r="B29" s="1" t="n">
        <v>45763.51037037037</v>
      </c>
      <c r="C29" s="1" t="n">
        <v>46112</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46112</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16923-2025</t>
        </is>
      </c>
      <c r="B31" s="1" t="n">
        <v>45755.38237268518</v>
      </c>
      <c r="C31" s="1" t="n">
        <v>46112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46112</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46112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46112</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55749-2024</t>
        </is>
      </c>
      <c r="B35" s="1" t="n">
        <v>45623.32523148148</v>
      </c>
      <c r="C35" s="1" t="n">
        <v>46112</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14985-2024</t>
        </is>
      </c>
      <c r="B36" s="1" t="n">
        <v>45399.34171296296</v>
      </c>
      <c r="C36" s="1" t="n">
        <v>46112</v>
      </c>
      <c r="D36" t="inlineStr">
        <is>
          <t>ÖREBRO LÄN</t>
        </is>
      </c>
      <c r="E36" t="inlineStr">
        <is>
          <t>HÄLLEFORS</t>
        </is>
      </c>
      <c r="F36" t="inlineStr">
        <is>
          <t>Bergvik skog väst AB</t>
        </is>
      </c>
      <c r="G36" t="n">
        <v>6.8</v>
      </c>
      <c r="H36" t="n">
        <v>1</v>
      </c>
      <c r="I36" t="n">
        <v>0</v>
      </c>
      <c r="J36" t="n">
        <v>0</v>
      </c>
      <c r="K36" t="n">
        <v>0</v>
      </c>
      <c r="L36" t="n">
        <v>0</v>
      </c>
      <c r="M36" t="n">
        <v>0</v>
      </c>
      <c r="N36" t="n">
        <v>0</v>
      </c>
      <c r="O36" t="n">
        <v>0</v>
      </c>
      <c r="P36" t="n">
        <v>0</v>
      </c>
      <c r="Q36" t="n">
        <v>1</v>
      </c>
      <c r="R36" s="2" t="inlineStr">
        <is>
          <t>Mattlummer</t>
        </is>
      </c>
      <c r="S36">
        <f>HYPERLINK("https://klasma.github.io/Logging_1863/artfynd/A 14985-2024 artfynd.xlsx", "A 14985-2024")</f>
        <v/>
      </c>
      <c r="T36">
        <f>HYPERLINK("https://klasma.github.io/Logging_1863/kartor/A 14985-2024 karta.png", "A 14985-2024")</f>
        <v/>
      </c>
      <c r="V36">
        <f>HYPERLINK("https://klasma.github.io/Logging_1863/klagomål/A 14985-2024 FSC-klagomål.docx", "A 14985-2024")</f>
        <v/>
      </c>
      <c r="W36">
        <f>HYPERLINK("https://klasma.github.io/Logging_1863/klagomålsmail/A 14985-2024 FSC-klagomål mail.docx", "A 14985-2024")</f>
        <v/>
      </c>
      <c r="X36">
        <f>HYPERLINK("https://klasma.github.io/Logging_1863/tillsyn/A 14985-2024 tillsynsbegäran.docx", "A 14985-2024")</f>
        <v/>
      </c>
      <c r="Y36">
        <f>HYPERLINK("https://klasma.github.io/Logging_1863/tillsynsmail/A 14985-2024 tillsynsbegäran mail.docx", "A 14985-2024")</f>
        <v/>
      </c>
    </row>
    <row r="37" ht="15" customHeight="1">
      <c r="A37" t="inlineStr">
        <is>
          <t>A 20354-2022</t>
        </is>
      </c>
      <c r="B37" s="1" t="n">
        <v>44699</v>
      </c>
      <c r="C37" s="1" t="n">
        <v>46112</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46112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46112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46112</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46112</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46112</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46112</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46112</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46112</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46112</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46112</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46112</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46112</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46112</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46112</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46112</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46112</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46112</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46112</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46112</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46112</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46112</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46112</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46112</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46112</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46112</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46112</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46112</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46112</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46112</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46112</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46112</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46112</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39869-2023</t>
        </is>
      </c>
      <c r="B81" s="1" t="n">
        <v>45168</v>
      </c>
      <c r="C81" s="1" t="n">
        <v>46112</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46112</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46112</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44052-2024</t>
        </is>
      </c>
      <c r="B84" s="1" t="n">
        <v>45572.59605324074</v>
      </c>
      <c r="C84" s="1" t="n">
        <v>46112</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13758-2023</t>
        </is>
      </c>
      <c r="B85" s="1" t="n">
        <v>45007.42528935185</v>
      </c>
      <c r="C85" s="1" t="n">
        <v>46112</v>
      </c>
      <c r="D85" t="inlineStr">
        <is>
          <t>ÖREBRO LÄN</t>
        </is>
      </c>
      <c r="E85" t="inlineStr">
        <is>
          <t>HÄLLEFORS</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74464-2021</t>
        </is>
      </c>
      <c r="B86" s="1" t="n">
        <v>44560.52915509259</v>
      </c>
      <c r="C86" s="1" t="n">
        <v>46112</v>
      </c>
      <c r="D86" t="inlineStr">
        <is>
          <t>ÖREBRO LÄN</t>
        </is>
      </c>
      <c r="E86" t="inlineStr">
        <is>
          <t>HÄLLEFORS</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46112</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46112</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46912-2023</t>
        </is>
      </c>
      <c r="B89" s="1" t="n">
        <v>45201</v>
      </c>
      <c r="C89" s="1" t="n">
        <v>46112</v>
      </c>
      <c r="D89" t="inlineStr">
        <is>
          <t>ÖREBRO LÄN</t>
        </is>
      </c>
      <c r="E89" t="inlineStr">
        <is>
          <t>HÄLLEFORS</t>
        </is>
      </c>
      <c r="G89" t="n">
        <v>1</v>
      </c>
      <c r="H89" t="n">
        <v>0</v>
      </c>
      <c r="I89" t="n">
        <v>0</v>
      </c>
      <c r="J89" t="n">
        <v>0</v>
      </c>
      <c r="K89" t="n">
        <v>0</v>
      </c>
      <c r="L89" t="n">
        <v>0</v>
      </c>
      <c r="M89" t="n">
        <v>0</v>
      </c>
      <c r="N89" t="n">
        <v>0</v>
      </c>
      <c r="O89" t="n">
        <v>0</v>
      </c>
      <c r="P89" t="n">
        <v>0</v>
      </c>
      <c r="Q89" t="n">
        <v>0</v>
      </c>
      <c r="R89" s="2" t="inlineStr"/>
    </row>
    <row r="90" ht="15" customHeight="1">
      <c r="A90" t="inlineStr">
        <is>
          <t>A 55453-2023</t>
        </is>
      </c>
      <c r="B90" s="1" t="n">
        <v>45238</v>
      </c>
      <c r="C90" s="1" t="n">
        <v>46112</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16053-2023</t>
        </is>
      </c>
      <c r="B91" s="1" t="n">
        <v>45027</v>
      </c>
      <c r="C91" s="1" t="n">
        <v>46112</v>
      </c>
      <c r="D91" t="inlineStr">
        <is>
          <t>ÖREBRO LÄN</t>
        </is>
      </c>
      <c r="E91" t="inlineStr">
        <is>
          <t>HÄLLEFORS</t>
        </is>
      </c>
      <c r="F91" t="inlineStr">
        <is>
          <t>Bergvik skog väst AB</t>
        </is>
      </c>
      <c r="G91" t="n">
        <v>14.7</v>
      </c>
      <c r="H91" t="n">
        <v>0</v>
      </c>
      <c r="I91" t="n">
        <v>0</v>
      </c>
      <c r="J91" t="n">
        <v>0</v>
      </c>
      <c r="K91" t="n">
        <v>0</v>
      </c>
      <c r="L91" t="n">
        <v>0</v>
      </c>
      <c r="M91" t="n">
        <v>0</v>
      </c>
      <c r="N91" t="n">
        <v>0</v>
      </c>
      <c r="O91" t="n">
        <v>0</v>
      </c>
      <c r="P91" t="n">
        <v>0</v>
      </c>
      <c r="Q91" t="n">
        <v>0</v>
      </c>
      <c r="R91" s="2" t="inlineStr"/>
    </row>
    <row r="92" ht="15" customHeight="1">
      <c r="A92" t="inlineStr">
        <is>
          <t>A 29340-2024</t>
        </is>
      </c>
      <c r="B92" s="1" t="n">
        <v>45483.46465277778</v>
      </c>
      <c r="C92" s="1" t="n">
        <v>46112</v>
      </c>
      <c r="D92" t="inlineStr">
        <is>
          <t>ÖREBRO LÄN</t>
        </is>
      </c>
      <c r="E92" t="inlineStr">
        <is>
          <t>HÄLLEFORS</t>
        </is>
      </c>
      <c r="G92" t="n">
        <v>1.7</v>
      </c>
      <c r="H92" t="n">
        <v>0</v>
      </c>
      <c r="I92" t="n">
        <v>0</v>
      </c>
      <c r="J92" t="n">
        <v>0</v>
      </c>
      <c r="K92" t="n">
        <v>0</v>
      </c>
      <c r="L92" t="n">
        <v>0</v>
      </c>
      <c r="M92" t="n">
        <v>0</v>
      </c>
      <c r="N92" t="n">
        <v>0</v>
      </c>
      <c r="O92" t="n">
        <v>0</v>
      </c>
      <c r="P92" t="n">
        <v>0</v>
      </c>
      <c r="Q92" t="n">
        <v>0</v>
      </c>
      <c r="R92" s="2" t="inlineStr"/>
    </row>
    <row r="93" ht="15" customHeight="1">
      <c r="A93" t="inlineStr">
        <is>
          <t>A 71766-2021</t>
        </is>
      </c>
      <c r="B93" s="1" t="n">
        <v>44543</v>
      </c>
      <c r="C93" s="1" t="n">
        <v>46112</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37027-2022</t>
        </is>
      </c>
      <c r="B94" s="1" t="n">
        <v>44806</v>
      </c>
      <c r="C94" s="1" t="n">
        <v>46112</v>
      </c>
      <c r="D94" t="inlineStr">
        <is>
          <t>ÖREBRO LÄN</t>
        </is>
      </c>
      <c r="E94" t="inlineStr">
        <is>
          <t>HÄLLEFORS</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35191-2023</t>
        </is>
      </c>
      <c r="B95" s="1" t="n">
        <v>45145.61096064815</v>
      </c>
      <c r="C95" s="1" t="n">
        <v>46112</v>
      </c>
      <c r="D95" t="inlineStr">
        <is>
          <t>ÖREBRO LÄN</t>
        </is>
      </c>
      <c r="E95" t="inlineStr">
        <is>
          <t>HÄLLEFORS</t>
        </is>
      </c>
      <c r="F95" t="inlineStr">
        <is>
          <t>Bergvik skog väst AB</t>
        </is>
      </c>
      <c r="G95" t="n">
        <v>3.8</v>
      </c>
      <c r="H95" t="n">
        <v>0</v>
      </c>
      <c r="I95" t="n">
        <v>0</v>
      </c>
      <c r="J95" t="n">
        <v>0</v>
      </c>
      <c r="K95" t="n">
        <v>0</v>
      </c>
      <c r="L95" t="n">
        <v>0</v>
      </c>
      <c r="M95" t="n">
        <v>0</v>
      </c>
      <c r="N95" t="n">
        <v>0</v>
      </c>
      <c r="O95" t="n">
        <v>0</v>
      </c>
      <c r="P95" t="n">
        <v>0</v>
      </c>
      <c r="Q95" t="n">
        <v>0</v>
      </c>
      <c r="R95" s="2" t="inlineStr"/>
    </row>
    <row r="96" ht="15" customHeight="1">
      <c r="A96" t="inlineStr">
        <is>
          <t>A 23037-2024</t>
        </is>
      </c>
      <c r="B96" s="1" t="n">
        <v>45450.3955787037</v>
      </c>
      <c r="C96" s="1" t="n">
        <v>46112</v>
      </c>
      <c r="D96" t="inlineStr">
        <is>
          <t>ÖREBRO LÄN</t>
        </is>
      </c>
      <c r="E96" t="inlineStr">
        <is>
          <t>HÄLLEFORS</t>
        </is>
      </c>
      <c r="G96" t="n">
        <v>2.4</v>
      </c>
      <c r="H96" t="n">
        <v>0</v>
      </c>
      <c r="I96" t="n">
        <v>0</v>
      </c>
      <c r="J96" t="n">
        <v>0</v>
      </c>
      <c r="K96" t="n">
        <v>0</v>
      </c>
      <c r="L96" t="n">
        <v>0</v>
      </c>
      <c r="M96" t="n">
        <v>0</v>
      </c>
      <c r="N96" t="n">
        <v>0</v>
      </c>
      <c r="O96" t="n">
        <v>0</v>
      </c>
      <c r="P96" t="n">
        <v>0</v>
      </c>
      <c r="Q96" t="n">
        <v>0</v>
      </c>
      <c r="R96" s="2" t="inlineStr"/>
    </row>
    <row r="97" ht="15" customHeight="1">
      <c r="A97" t="inlineStr">
        <is>
          <t>A 35188-2023</t>
        </is>
      </c>
      <c r="B97" s="1" t="n">
        <v>45145.60365740741</v>
      </c>
      <c r="C97" s="1" t="n">
        <v>46112</v>
      </c>
      <c r="D97" t="inlineStr">
        <is>
          <t>ÖREBRO LÄN</t>
        </is>
      </c>
      <c r="E97" t="inlineStr">
        <is>
          <t>HÄLLEFORS</t>
        </is>
      </c>
      <c r="F97" t="inlineStr">
        <is>
          <t>Bergvik skog väst AB</t>
        </is>
      </c>
      <c r="G97" t="n">
        <v>12.9</v>
      </c>
      <c r="H97" t="n">
        <v>0</v>
      </c>
      <c r="I97" t="n">
        <v>0</v>
      </c>
      <c r="J97" t="n">
        <v>0</v>
      </c>
      <c r="K97" t="n">
        <v>0</v>
      </c>
      <c r="L97" t="n">
        <v>0</v>
      </c>
      <c r="M97" t="n">
        <v>0</v>
      </c>
      <c r="N97" t="n">
        <v>0</v>
      </c>
      <c r="O97" t="n">
        <v>0</v>
      </c>
      <c r="P97" t="n">
        <v>0</v>
      </c>
      <c r="Q97" t="n">
        <v>0</v>
      </c>
      <c r="R97" s="2" t="inlineStr"/>
    </row>
    <row r="98" ht="15" customHeight="1">
      <c r="A98" t="inlineStr">
        <is>
          <t>A 41089-2022</t>
        </is>
      </c>
      <c r="B98" s="1" t="n">
        <v>44825.64613425926</v>
      </c>
      <c r="C98" s="1" t="n">
        <v>46112</v>
      </c>
      <c r="D98" t="inlineStr">
        <is>
          <t>ÖREBRO LÄN</t>
        </is>
      </c>
      <c r="E98" t="inlineStr">
        <is>
          <t>HÄLLEFORS</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29662-2022</t>
        </is>
      </c>
      <c r="B99" s="1" t="n">
        <v>44754</v>
      </c>
      <c r="C99" s="1" t="n">
        <v>46112</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49709-2023</t>
        </is>
      </c>
      <c r="B100" s="1" t="n">
        <v>45212</v>
      </c>
      <c r="C100" s="1" t="n">
        <v>46112</v>
      </c>
      <c r="D100" t="inlineStr">
        <is>
          <t>ÖREBRO LÄN</t>
        </is>
      </c>
      <c r="E100" t="inlineStr">
        <is>
          <t>HÄLLEFORS</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44088-2024</t>
        </is>
      </c>
      <c r="B101" s="1" t="n">
        <v>45572.61984953703</v>
      </c>
      <c r="C101" s="1" t="n">
        <v>46112</v>
      </c>
      <c r="D101" t="inlineStr">
        <is>
          <t>ÖREBRO LÄN</t>
        </is>
      </c>
      <c r="E101" t="inlineStr">
        <is>
          <t>HÄLLEFORS</t>
        </is>
      </c>
      <c r="G101" t="n">
        <v>4</v>
      </c>
      <c r="H101" t="n">
        <v>0</v>
      </c>
      <c r="I101" t="n">
        <v>0</v>
      </c>
      <c r="J101" t="n">
        <v>0</v>
      </c>
      <c r="K101" t="n">
        <v>0</v>
      </c>
      <c r="L101" t="n">
        <v>0</v>
      </c>
      <c r="M101" t="n">
        <v>0</v>
      </c>
      <c r="N101" t="n">
        <v>0</v>
      </c>
      <c r="O101" t="n">
        <v>0</v>
      </c>
      <c r="P101" t="n">
        <v>0</v>
      </c>
      <c r="Q101" t="n">
        <v>0</v>
      </c>
      <c r="R101" s="2" t="inlineStr"/>
    </row>
    <row r="102" ht="15" customHeight="1">
      <c r="A102" t="inlineStr">
        <is>
          <t>A 20170-2023</t>
        </is>
      </c>
      <c r="B102" s="1" t="n">
        <v>45055</v>
      </c>
      <c r="C102" s="1" t="n">
        <v>46112</v>
      </c>
      <c r="D102" t="inlineStr">
        <is>
          <t>ÖREBRO LÄN</t>
        </is>
      </c>
      <c r="E102" t="inlineStr">
        <is>
          <t>HÄLLEFORS</t>
        </is>
      </c>
      <c r="G102" t="n">
        <v>1.1</v>
      </c>
      <c r="H102" t="n">
        <v>0</v>
      </c>
      <c r="I102" t="n">
        <v>0</v>
      </c>
      <c r="J102" t="n">
        <v>0</v>
      </c>
      <c r="K102" t="n">
        <v>0</v>
      </c>
      <c r="L102" t="n">
        <v>0</v>
      </c>
      <c r="M102" t="n">
        <v>0</v>
      </c>
      <c r="N102" t="n">
        <v>0</v>
      </c>
      <c r="O102" t="n">
        <v>0</v>
      </c>
      <c r="P102" t="n">
        <v>0</v>
      </c>
      <c r="Q102" t="n">
        <v>0</v>
      </c>
      <c r="R102" s="2" t="inlineStr"/>
    </row>
    <row r="103" ht="15" customHeight="1">
      <c r="A103" t="inlineStr">
        <is>
          <t>A 38010-2024</t>
        </is>
      </c>
      <c r="B103" s="1" t="n">
        <v>45544.62276620371</v>
      </c>
      <c r="C103" s="1" t="n">
        <v>46112</v>
      </c>
      <c r="D103" t="inlineStr">
        <is>
          <t>ÖREBRO LÄN</t>
        </is>
      </c>
      <c r="E103" t="inlineStr">
        <is>
          <t>HÄLLEFORS</t>
        </is>
      </c>
      <c r="G103" t="n">
        <v>22.7</v>
      </c>
      <c r="H103" t="n">
        <v>0</v>
      </c>
      <c r="I103" t="n">
        <v>0</v>
      </c>
      <c r="J103" t="n">
        <v>0</v>
      </c>
      <c r="K103" t="n">
        <v>0</v>
      </c>
      <c r="L103" t="n">
        <v>0</v>
      </c>
      <c r="M103" t="n">
        <v>0</v>
      </c>
      <c r="N103" t="n">
        <v>0</v>
      </c>
      <c r="O103" t="n">
        <v>0</v>
      </c>
      <c r="P103" t="n">
        <v>0</v>
      </c>
      <c r="Q103" t="n">
        <v>0</v>
      </c>
      <c r="R103" s="2" t="inlineStr"/>
    </row>
    <row r="104" ht="15" customHeight="1">
      <c r="A104" t="inlineStr">
        <is>
          <t>A 15073-2022</t>
        </is>
      </c>
      <c r="B104" s="1" t="n">
        <v>44657</v>
      </c>
      <c r="C104" s="1" t="n">
        <v>46112</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3643-2025</t>
        </is>
      </c>
      <c r="B105" s="1" t="n">
        <v>45681</v>
      </c>
      <c r="C105" s="1" t="n">
        <v>46112</v>
      </c>
      <c r="D105" t="inlineStr">
        <is>
          <t>ÖREBRO LÄN</t>
        </is>
      </c>
      <c r="E105" t="inlineStr">
        <is>
          <t>HÄLLEFORS</t>
        </is>
      </c>
      <c r="G105" t="n">
        <v>20.8</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46112</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67843-2021</t>
        </is>
      </c>
      <c r="B107" s="1" t="n">
        <v>44525.47178240741</v>
      </c>
      <c r="C107" s="1" t="n">
        <v>46112</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12511-2025</t>
        </is>
      </c>
      <c r="B108" s="1" t="n">
        <v>45730.6371412037</v>
      </c>
      <c r="C108" s="1" t="n">
        <v>46112</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17764-2023</t>
        </is>
      </c>
      <c r="B109" s="1" t="n">
        <v>45037.50085648148</v>
      </c>
      <c r="C109" s="1" t="n">
        <v>46112</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28024-2025</t>
        </is>
      </c>
      <c r="B110" s="1" t="n">
        <v>45817.62070601852</v>
      </c>
      <c r="C110" s="1" t="n">
        <v>46112</v>
      </c>
      <c r="D110" t="inlineStr">
        <is>
          <t>ÖREBRO LÄN</t>
        </is>
      </c>
      <c r="E110" t="inlineStr">
        <is>
          <t>HÄLLEFORS</t>
        </is>
      </c>
      <c r="G110" t="n">
        <v>1.7</v>
      </c>
      <c r="H110" t="n">
        <v>0</v>
      </c>
      <c r="I110" t="n">
        <v>0</v>
      </c>
      <c r="J110" t="n">
        <v>0</v>
      </c>
      <c r="K110" t="n">
        <v>0</v>
      </c>
      <c r="L110" t="n">
        <v>0</v>
      </c>
      <c r="M110" t="n">
        <v>0</v>
      </c>
      <c r="N110" t="n">
        <v>0</v>
      </c>
      <c r="O110" t="n">
        <v>0</v>
      </c>
      <c r="P110" t="n">
        <v>0</v>
      </c>
      <c r="Q110" t="n">
        <v>0</v>
      </c>
      <c r="R110" s="2" t="inlineStr"/>
    </row>
    <row r="111" ht="15" customHeight="1">
      <c r="A111" t="inlineStr">
        <is>
          <t>A 65054-2021</t>
        </is>
      </c>
      <c r="B111" s="1" t="n">
        <v>44515.35802083334</v>
      </c>
      <c r="C111" s="1" t="n">
        <v>46112</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43941-2023</t>
        </is>
      </c>
      <c r="B112" s="1" t="n">
        <v>45187</v>
      </c>
      <c r="C112" s="1" t="n">
        <v>46112</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50754-2023</t>
        </is>
      </c>
      <c r="B113" s="1" t="n">
        <v>45217</v>
      </c>
      <c r="C113" s="1" t="n">
        <v>46112</v>
      </c>
      <c r="D113" t="inlineStr">
        <is>
          <t>ÖREBRO LÄN</t>
        </is>
      </c>
      <c r="E113" t="inlineStr">
        <is>
          <t>HÄLLEFORS</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42918-2024</t>
        </is>
      </c>
      <c r="B114" s="1" t="n">
        <v>45567.27908564815</v>
      </c>
      <c r="C114" s="1" t="n">
        <v>46112</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28975-2025</t>
        </is>
      </c>
      <c r="B115" s="1" t="n">
        <v>45821</v>
      </c>
      <c r="C115" s="1" t="n">
        <v>46112</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38429-2023</t>
        </is>
      </c>
      <c r="B116" s="1" t="n">
        <v>45162</v>
      </c>
      <c r="C116" s="1" t="n">
        <v>46112</v>
      </c>
      <c r="D116" t="inlineStr">
        <is>
          <t>ÖREBRO LÄN</t>
        </is>
      </c>
      <c r="E116" t="inlineStr">
        <is>
          <t>HÄLLEFORS</t>
        </is>
      </c>
      <c r="F116" t="inlineStr">
        <is>
          <t>Bergvik skog väst AB</t>
        </is>
      </c>
      <c r="G116" t="n">
        <v>6</v>
      </c>
      <c r="H116" t="n">
        <v>0</v>
      </c>
      <c r="I116" t="n">
        <v>0</v>
      </c>
      <c r="J116" t="n">
        <v>0</v>
      </c>
      <c r="K116" t="n">
        <v>0</v>
      </c>
      <c r="L116" t="n">
        <v>0</v>
      </c>
      <c r="M116" t="n">
        <v>0</v>
      </c>
      <c r="N116" t="n">
        <v>0</v>
      </c>
      <c r="O116" t="n">
        <v>0</v>
      </c>
      <c r="P116" t="n">
        <v>0</v>
      </c>
      <c r="Q116" t="n">
        <v>0</v>
      </c>
      <c r="R116" s="2" t="inlineStr"/>
    </row>
    <row r="117" ht="15" customHeight="1">
      <c r="A117" t="inlineStr">
        <is>
          <t>A 39183-2025</t>
        </is>
      </c>
      <c r="B117" s="1" t="n">
        <v>45888.6637962963</v>
      </c>
      <c r="C117" s="1" t="n">
        <v>46112</v>
      </c>
      <c r="D117" t="inlineStr">
        <is>
          <t>ÖREBRO LÄN</t>
        </is>
      </c>
      <c r="E117" t="inlineStr">
        <is>
          <t>HÄLLEFORS</t>
        </is>
      </c>
      <c r="F117" t="inlineStr">
        <is>
          <t>Bergvik skog väst AB</t>
        </is>
      </c>
      <c r="G117" t="n">
        <v>6</v>
      </c>
      <c r="H117" t="n">
        <v>0</v>
      </c>
      <c r="I117" t="n">
        <v>0</v>
      </c>
      <c r="J117" t="n">
        <v>0</v>
      </c>
      <c r="K117" t="n">
        <v>0</v>
      </c>
      <c r="L117" t="n">
        <v>0</v>
      </c>
      <c r="M117" t="n">
        <v>0</v>
      </c>
      <c r="N117" t="n">
        <v>0</v>
      </c>
      <c r="O117" t="n">
        <v>0</v>
      </c>
      <c r="P117" t="n">
        <v>0</v>
      </c>
      <c r="Q117" t="n">
        <v>0</v>
      </c>
      <c r="R117" s="2" t="inlineStr"/>
    </row>
    <row r="118" ht="15" customHeight="1">
      <c r="A118" t="inlineStr">
        <is>
          <t>A 28979-2025</t>
        </is>
      </c>
      <c r="B118" s="1" t="n">
        <v>45821.35136574074</v>
      </c>
      <c r="C118" s="1" t="n">
        <v>46112</v>
      </c>
      <c r="D118" t="inlineStr">
        <is>
          <t>ÖREBRO LÄN</t>
        </is>
      </c>
      <c r="E118" t="inlineStr">
        <is>
          <t>HÄLLEFORS</t>
        </is>
      </c>
      <c r="G118" t="n">
        <v>2.9</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46112</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50714-2022</t>
        </is>
      </c>
      <c r="B120" s="1" t="n">
        <v>44867.35501157407</v>
      </c>
      <c r="C120" s="1" t="n">
        <v>46112</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42863-2022</t>
        </is>
      </c>
      <c r="B121" s="1" t="n">
        <v>44832.73646990741</v>
      </c>
      <c r="C121" s="1" t="n">
        <v>46112</v>
      </c>
      <c r="D121" t="inlineStr">
        <is>
          <t>ÖREBRO LÄN</t>
        </is>
      </c>
      <c r="E121" t="inlineStr">
        <is>
          <t>HÄLLEFORS</t>
        </is>
      </c>
      <c r="G121" t="n">
        <v>7.2</v>
      </c>
      <c r="H121" t="n">
        <v>0</v>
      </c>
      <c r="I121" t="n">
        <v>0</v>
      </c>
      <c r="J121" t="n">
        <v>0</v>
      </c>
      <c r="K121" t="n">
        <v>0</v>
      </c>
      <c r="L121" t="n">
        <v>0</v>
      </c>
      <c r="M121" t="n">
        <v>0</v>
      </c>
      <c r="N121" t="n">
        <v>0</v>
      </c>
      <c r="O121" t="n">
        <v>0</v>
      </c>
      <c r="P121" t="n">
        <v>0</v>
      </c>
      <c r="Q121" t="n">
        <v>0</v>
      </c>
      <c r="R121" s="2" t="inlineStr"/>
    </row>
    <row r="122" ht="15" customHeight="1">
      <c r="A122" t="inlineStr">
        <is>
          <t>A 4353-2023</t>
        </is>
      </c>
      <c r="B122" s="1" t="n">
        <v>44954.27407407408</v>
      </c>
      <c r="C122" s="1" t="n">
        <v>46112</v>
      </c>
      <c r="D122" t="inlineStr">
        <is>
          <t>ÖREBRO LÄN</t>
        </is>
      </c>
      <c r="E122" t="inlineStr">
        <is>
          <t>HÄLLEFORS</t>
        </is>
      </c>
      <c r="G122" t="n">
        <v>0.5</v>
      </c>
      <c r="H122" t="n">
        <v>0</v>
      </c>
      <c r="I122" t="n">
        <v>0</v>
      </c>
      <c r="J122" t="n">
        <v>0</v>
      </c>
      <c r="K122" t="n">
        <v>0</v>
      </c>
      <c r="L122" t="n">
        <v>0</v>
      </c>
      <c r="M122" t="n">
        <v>0</v>
      </c>
      <c r="N122" t="n">
        <v>0</v>
      </c>
      <c r="O122" t="n">
        <v>0</v>
      </c>
      <c r="P122" t="n">
        <v>0</v>
      </c>
      <c r="Q122" t="n">
        <v>0</v>
      </c>
      <c r="R122" s="2" t="inlineStr"/>
    </row>
    <row r="123" ht="15" customHeight="1">
      <c r="A123" t="inlineStr">
        <is>
          <t>A 30282-2023</t>
        </is>
      </c>
      <c r="B123" s="1" t="n">
        <v>45110.90550925926</v>
      </c>
      <c r="C123" s="1" t="n">
        <v>46112</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39926-2025</t>
        </is>
      </c>
      <c r="B124" s="1" t="n">
        <v>45891.68451388889</v>
      </c>
      <c r="C124" s="1" t="n">
        <v>46112</v>
      </c>
      <c r="D124" t="inlineStr">
        <is>
          <t>ÖREBRO LÄN</t>
        </is>
      </c>
      <c r="E124" t="inlineStr">
        <is>
          <t>HÄLLEFORS</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16135-2025</t>
        </is>
      </c>
      <c r="B125" s="1" t="n">
        <v>45750.44355324074</v>
      </c>
      <c r="C125" s="1" t="n">
        <v>46112</v>
      </c>
      <c r="D125" t="inlineStr">
        <is>
          <t>ÖREBRO LÄN</t>
        </is>
      </c>
      <c r="E125" t="inlineStr">
        <is>
          <t>HÄLLEFORS</t>
        </is>
      </c>
      <c r="F125" t="inlineStr">
        <is>
          <t>Kyrkan</t>
        </is>
      </c>
      <c r="G125" t="n">
        <v>4.6</v>
      </c>
      <c r="H125" t="n">
        <v>0</v>
      </c>
      <c r="I125" t="n">
        <v>0</v>
      </c>
      <c r="J125" t="n">
        <v>0</v>
      </c>
      <c r="K125" t="n">
        <v>0</v>
      </c>
      <c r="L125" t="n">
        <v>0</v>
      </c>
      <c r="M125" t="n">
        <v>0</v>
      </c>
      <c r="N125" t="n">
        <v>0</v>
      </c>
      <c r="O125" t="n">
        <v>0</v>
      </c>
      <c r="P125" t="n">
        <v>0</v>
      </c>
      <c r="Q125" t="n">
        <v>0</v>
      </c>
      <c r="R125" s="2" t="inlineStr"/>
    </row>
    <row r="126" ht="15" customHeight="1">
      <c r="A126" t="inlineStr">
        <is>
          <t>A 16999-2024</t>
        </is>
      </c>
      <c r="B126" s="1" t="n">
        <v>45412.35543981481</v>
      </c>
      <c r="C126" s="1" t="n">
        <v>46112</v>
      </c>
      <c r="D126" t="inlineStr">
        <is>
          <t>ÖREBRO LÄN</t>
        </is>
      </c>
      <c r="E126" t="inlineStr">
        <is>
          <t>HÄLLEFORS</t>
        </is>
      </c>
      <c r="G126" t="n">
        <v>3.5</v>
      </c>
      <c r="H126" t="n">
        <v>0</v>
      </c>
      <c r="I126" t="n">
        <v>0</v>
      </c>
      <c r="J126" t="n">
        <v>0</v>
      </c>
      <c r="K126" t="n">
        <v>0</v>
      </c>
      <c r="L126" t="n">
        <v>0</v>
      </c>
      <c r="M126" t="n">
        <v>0</v>
      </c>
      <c r="N126" t="n">
        <v>0</v>
      </c>
      <c r="O126" t="n">
        <v>0</v>
      </c>
      <c r="P126" t="n">
        <v>0</v>
      </c>
      <c r="Q126" t="n">
        <v>0</v>
      </c>
      <c r="R126" s="2" t="inlineStr"/>
    </row>
    <row r="127" ht="15" customHeight="1">
      <c r="A127" t="inlineStr">
        <is>
          <t>A 59955-2024</t>
        </is>
      </c>
      <c r="B127" s="1" t="n">
        <v>45642.34987268518</v>
      </c>
      <c r="C127" s="1" t="n">
        <v>46112</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39327-2022</t>
        </is>
      </c>
      <c r="B128" s="1" t="n">
        <v>44817</v>
      </c>
      <c r="C128" s="1" t="n">
        <v>46112</v>
      </c>
      <c r="D128" t="inlineStr">
        <is>
          <t>ÖREBRO LÄN</t>
        </is>
      </c>
      <c r="E128" t="inlineStr">
        <is>
          <t>HÄLLEFORS</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46112</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30747-2025</t>
        </is>
      </c>
      <c r="B130" s="1" t="n">
        <v>45831.58487268518</v>
      </c>
      <c r="C130" s="1" t="n">
        <v>46112</v>
      </c>
      <c r="D130" t="inlineStr">
        <is>
          <t>ÖREBRO LÄN</t>
        </is>
      </c>
      <c r="E130" t="inlineStr">
        <is>
          <t>HÄLLEFORS</t>
        </is>
      </c>
      <c r="G130" t="n">
        <v>2.9</v>
      </c>
      <c r="H130" t="n">
        <v>0</v>
      </c>
      <c r="I130" t="n">
        <v>0</v>
      </c>
      <c r="J130" t="n">
        <v>0</v>
      </c>
      <c r="K130" t="n">
        <v>0</v>
      </c>
      <c r="L130" t="n">
        <v>0</v>
      </c>
      <c r="M130" t="n">
        <v>0</v>
      </c>
      <c r="N130" t="n">
        <v>0</v>
      </c>
      <c r="O130" t="n">
        <v>0</v>
      </c>
      <c r="P130" t="n">
        <v>0</v>
      </c>
      <c r="Q130" t="n">
        <v>0</v>
      </c>
      <c r="R130" s="2" t="inlineStr"/>
    </row>
    <row r="131" ht="15" customHeight="1">
      <c r="A131" t="inlineStr">
        <is>
          <t>A 9518-2023</t>
        </is>
      </c>
      <c r="B131" s="1" t="n">
        <v>44981</v>
      </c>
      <c r="C131" s="1" t="n">
        <v>46112</v>
      </c>
      <c r="D131" t="inlineStr">
        <is>
          <t>ÖREBRO LÄN</t>
        </is>
      </c>
      <c r="E131" t="inlineStr">
        <is>
          <t>HÄLLEFORS</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40485-2025</t>
        </is>
      </c>
      <c r="B132" s="1" t="n">
        <v>45895.85320601852</v>
      </c>
      <c r="C132" s="1" t="n">
        <v>46112</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18889-2024</t>
        </is>
      </c>
      <c r="B133" s="1" t="n">
        <v>45427.26467592592</v>
      </c>
      <c r="C133" s="1" t="n">
        <v>46112</v>
      </c>
      <c r="D133" t="inlineStr">
        <is>
          <t>ÖREBRO LÄN</t>
        </is>
      </c>
      <c r="E133" t="inlineStr">
        <is>
          <t>HÄLLEFORS</t>
        </is>
      </c>
      <c r="G133" t="n">
        <v>8.5</v>
      </c>
      <c r="H133" t="n">
        <v>0</v>
      </c>
      <c r="I133" t="n">
        <v>0</v>
      </c>
      <c r="J133" t="n">
        <v>0</v>
      </c>
      <c r="K133" t="n">
        <v>0</v>
      </c>
      <c r="L133" t="n">
        <v>0</v>
      </c>
      <c r="M133" t="n">
        <v>0</v>
      </c>
      <c r="N133" t="n">
        <v>0</v>
      </c>
      <c r="O133" t="n">
        <v>0</v>
      </c>
      <c r="P133" t="n">
        <v>0</v>
      </c>
      <c r="Q133" t="n">
        <v>0</v>
      </c>
      <c r="R133" s="2" t="inlineStr"/>
    </row>
    <row r="134" ht="15" customHeight="1">
      <c r="A134" t="inlineStr">
        <is>
          <t>A 41152-2025</t>
        </is>
      </c>
      <c r="B134" s="1" t="n">
        <v>45898.5128587963</v>
      </c>
      <c r="C134" s="1" t="n">
        <v>46112</v>
      </c>
      <c r="D134" t="inlineStr">
        <is>
          <t>ÖREBRO LÄN</t>
        </is>
      </c>
      <c r="E134" t="inlineStr">
        <is>
          <t>HÄLLEFORS</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32217-2025</t>
        </is>
      </c>
      <c r="B135" s="1" t="n">
        <v>45835.58846064815</v>
      </c>
      <c r="C135" s="1" t="n">
        <v>46112</v>
      </c>
      <c r="D135" t="inlineStr">
        <is>
          <t>ÖREBRO LÄN</t>
        </is>
      </c>
      <c r="E135" t="inlineStr">
        <is>
          <t>HÄLLEFORS</t>
        </is>
      </c>
      <c r="F135" t="inlineStr">
        <is>
          <t>Bergvik skog väst AB</t>
        </is>
      </c>
      <c r="G135" t="n">
        <v>4.4</v>
      </c>
      <c r="H135" t="n">
        <v>0</v>
      </c>
      <c r="I135" t="n">
        <v>0</v>
      </c>
      <c r="J135" t="n">
        <v>0</v>
      </c>
      <c r="K135" t="n">
        <v>0</v>
      </c>
      <c r="L135" t="n">
        <v>0</v>
      </c>
      <c r="M135" t="n">
        <v>0</v>
      </c>
      <c r="N135" t="n">
        <v>0</v>
      </c>
      <c r="O135" t="n">
        <v>0</v>
      </c>
      <c r="P135" t="n">
        <v>0</v>
      </c>
      <c r="Q135" t="n">
        <v>0</v>
      </c>
      <c r="R135" s="2" t="inlineStr"/>
    </row>
    <row r="136" ht="15" customHeight="1">
      <c r="A136" t="inlineStr">
        <is>
          <t>A 9537-2025</t>
        </is>
      </c>
      <c r="B136" s="1" t="n">
        <v>45715.57903935185</v>
      </c>
      <c r="C136" s="1" t="n">
        <v>46112</v>
      </c>
      <c r="D136" t="inlineStr">
        <is>
          <t>ÖREBRO LÄN</t>
        </is>
      </c>
      <c r="E136" t="inlineStr">
        <is>
          <t>HÄLLEFORS</t>
        </is>
      </c>
      <c r="G136" t="n">
        <v>2.7</v>
      </c>
      <c r="H136" t="n">
        <v>0</v>
      </c>
      <c r="I136" t="n">
        <v>0</v>
      </c>
      <c r="J136" t="n">
        <v>0</v>
      </c>
      <c r="K136" t="n">
        <v>0</v>
      </c>
      <c r="L136" t="n">
        <v>0</v>
      </c>
      <c r="M136" t="n">
        <v>0</v>
      </c>
      <c r="N136" t="n">
        <v>0</v>
      </c>
      <c r="O136" t="n">
        <v>0</v>
      </c>
      <c r="P136" t="n">
        <v>0</v>
      </c>
      <c r="Q136" t="n">
        <v>0</v>
      </c>
      <c r="R136" s="2" t="inlineStr"/>
    </row>
    <row r="137" ht="15" customHeight="1">
      <c r="A137" t="inlineStr">
        <is>
          <t>A 20128-2024</t>
        </is>
      </c>
      <c r="B137" s="1" t="n">
        <v>45434.5571412037</v>
      </c>
      <c r="C137" s="1" t="n">
        <v>46112</v>
      </c>
      <c r="D137" t="inlineStr">
        <is>
          <t>ÖREBRO LÄN</t>
        </is>
      </c>
      <c r="E137" t="inlineStr">
        <is>
          <t>HÄLLEFORS</t>
        </is>
      </c>
      <c r="G137" t="n">
        <v>2.4</v>
      </c>
      <c r="H137" t="n">
        <v>0</v>
      </c>
      <c r="I137" t="n">
        <v>0</v>
      </c>
      <c r="J137" t="n">
        <v>0</v>
      </c>
      <c r="K137" t="n">
        <v>0</v>
      </c>
      <c r="L137" t="n">
        <v>0</v>
      </c>
      <c r="M137" t="n">
        <v>0</v>
      </c>
      <c r="N137" t="n">
        <v>0</v>
      </c>
      <c r="O137" t="n">
        <v>0</v>
      </c>
      <c r="P137" t="n">
        <v>0</v>
      </c>
      <c r="Q137" t="n">
        <v>0</v>
      </c>
      <c r="R137" s="2" t="inlineStr"/>
    </row>
    <row r="138" ht="15" customHeight="1">
      <c r="A138" t="inlineStr">
        <is>
          <t>A 32808-2025</t>
        </is>
      </c>
      <c r="B138" s="1" t="n">
        <v>45839.50719907408</v>
      </c>
      <c r="C138" s="1" t="n">
        <v>46112</v>
      </c>
      <c r="D138" t="inlineStr">
        <is>
          <t>ÖREBRO LÄN</t>
        </is>
      </c>
      <c r="E138" t="inlineStr">
        <is>
          <t>HÄLLEFORS</t>
        </is>
      </c>
      <c r="G138" t="n">
        <v>4.3</v>
      </c>
      <c r="H138" t="n">
        <v>0</v>
      </c>
      <c r="I138" t="n">
        <v>0</v>
      </c>
      <c r="J138" t="n">
        <v>0</v>
      </c>
      <c r="K138" t="n">
        <v>0</v>
      </c>
      <c r="L138" t="n">
        <v>0</v>
      </c>
      <c r="M138" t="n">
        <v>0</v>
      </c>
      <c r="N138" t="n">
        <v>0</v>
      </c>
      <c r="O138" t="n">
        <v>0</v>
      </c>
      <c r="P138" t="n">
        <v>0</v>
      </c>
      <c r="Q138" t="n">
        <v>0</v>
      </c>
      <c r="R138" s="2" t="inlineStr"/>
    </row>
    <row r="139" ht="15" customHeight="1">
      <c r="A139" t="inlineStr">
        <is>
          <t>A 15771-2022</t>
        </is>
      </c>
      <c r="B139" s="1" t="n">
        <v>44663.63033564815</v>
      </c>
      <c r="C139" s="1" t="n">
        <v>46112</v>
      </c>
      <c r="D139" t="inlineStr">
        <is>
          <t>ÖREBRO LÄN</t>
        </is>
      </c>
      <c r="E139" t="inlineStr">
        <is>
          <t>HÄLLEFORS</t>
        </is>
      </c>
      <c r="F139" t="inlineStr">
        <is>
          <t>Bergvik skog väst AB</t>
        </is>
      </c>
      <c r="G139" t="n">
        <v>4.4</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46112</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46112</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51159-2023</t>
        </is>
      </c>
      <c r="B142" s="1" t="n">
        <v>45219.37791666666</v>
      </c>
      <c r="C142" s="1" t="n">
        <v>46112</v>
      </c>
      <c r="D142" t="inlineStr">
        <is>
          <t>ÖREBRO LÄN</t>
        </is>
      </c>
      <c r="E142" t="inlineStr">
        <is>
          <t>HÄLLEFORS</t>
        </is>
      </c>
      <c r="G142" t="n">
        <v>0.4</v>
      </c>
      <c r="H142" t="n">
        <v>0</v>
      </c>
      <c r="I142" t="n">
        <v>0</v>
      </c>
      <c r="J142" t="n">
        <v>0</v>
      </c>
      <c r="K142" t="n">
        <v>0</v>
      </c>
      <c r="L142" t="n">
        <v>0</v>
      </c>
      <c r="M142" t="n">
        <v>0</v>
      </c>
      <c r="N142" t="n">
        <v>0</v>
      </c>
      <c r="O142" t="n">
        <v>0</v>
      </c>
      <c r="P142" t="n">
        <v>0</v>
      </c>
      <c r="Q142" t="n">
        <v>0</v>
      </c>
      <c r="R142" s="2" t="inlineStr"/>
    </row>
    <row r="143" ht="15" customHeight="1">
      <c r="A143" t="inlineStr">
        <is>
          <t>A 39513-2024</t>
        </is>
      </c>
      <c r="B143" s="1" t="n">
        <v>45551</v>
      </c>
      <c r="C143" s="1" t="n">
        <v>46112</v>
      </c>
      <c r="D143" t="inlineStr">
        <is>
          <t>ÖREBRO LÄN</t>
        </is>
      </c>
      <c r="E143" t="inlineStr">
        <is>
          <t>HÄLLEFORS</t>
        </is>
      </c>
      <c r="G143" t="n">
        <v>0.7</v>
      </c>
      <c r="H143" t="n">
        <v>0</v>
      </c>
      <c r="I143" t="n">
        <v>0</v>
      </c>
      <c r="J143" t="n">
        <v>0</v>
      </c>
      <c r="K143" t="n">
        <v>0</v>
      </c>
      <c r="L143" t="n">
        <v>0</v>
      </c>
      <c r="M143" t="n">
        <v>0</v>
      </c>
      <c r="N143" t="n">
        <v>0</v>
      </c>
      <c r="O143" t="n">
        <v>0</v>
      </c>
      <c r="P143" t="n">
        <v>0</v>
      </c>
      <c r="Q143" t="n">
        <v>0</v>
      </c>
      <c r="R143" s="2" t="inlineStr"/>
    </row>
    <row r="144" ht="15" customHeight="1">
      <c r="A144" t="inlineStr">
        <is>
          <t>A 1018-2025</t>
        </is>
      </c>
      <c r="B144" s="1" t="n">
        <v>45666.49185185185</v>
      </c>
      <c r="C144" s="1" t="n">
        <v>46112</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62265-2022</t>
        </is>
      </c>
      <c r="B145" s="1" t="n">
        <v>44923</v>
      </c>
      <c r="C145" s="1" t="n">
        <v>46112</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34033-2025</t>
        </is>
      </c>
      <c r="B146" s="1" t="n">
        <v>45845.36700231482</v>
      </c>
      <c r="C146" s="1" t="n">
        <v>46112</v>
      </c>
      <c r="D146" t="inlineStr">
        <is>
          <t>ÖREBRO LÄN</t>
        </is>
      </c>
      <c r="E146" t="inlineStr">
        <is>
          <t>HÄLLEFORS</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34037-2025</t>
        </is>
      </c>
      <c r="B147" s="1" t="n">
        <v>45845.37002314815</v>
      </c>
      <c r="C147" s="1" t="n">
        <v>46112</v>
      </c>
      <c r="D147" t="inlineStr">
        <is>
          <t>ÖREBRO LÄN</t>
        </is>
      </c>
      <c r="E147" t="inlineStr">
        <is>
          <t>HÄLLEFORS</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34018-2025</t>
        </is>
      </c>
      <c r="B148" s="1" t="n">
        <v>45845.34341435185</v>
      </c>
      <c r="C148" s="1" t="n">
        <v>46112</v>
      </c>
      <c r="D148" t="inlineStr">
        <is>
          <t>ÖREBRO LÄN</t>
        </is>
      </c>
      <c r="E148" t="inlineStr">
        <is>
          <t>HÄLLEFORS</t>
        </is>
      </c>
      <c r="G148" t="n">
        <v>6.4</v>
      </c>
      <c r="H148" t="n">
        <v>0</v>
      </c>
      <c r="I148" t="n">
        <v>0</v>
      </c>
      <c r="J148" t="n">
        <v>0</v>
      </c>
      <c r="K148" t="n">
        <v>0</v>
      </c>
      <c r="L148" t="n">
        <v>0</v>
      </c>
      <c r="M148" t="n">
        <v>0</v>
      </c>
      <c r="N148" t="n">
        <v>0</v>
      </c>
      <c r="O148" t="n">
        <v>0</v>
      </c>
      <c r="P148" t="n">
        <v>0</v>
      </c>
      <c r="Q148" t="n">
        <v>0</v>
      </c>
      <c r="R148" s="2" t="inlineStr"/>
    </row>
    <row r="149" ht="15" customHeight="1">
      <c r="A149" t="inlineStr">
        <is>
          <t>A 34020-2025</t>
        </is>
      </c>
      <c r="B149" s="1" t="n">
        <v>45845.34695601852</v>
      </c>
      <c r="C149" s="1" t="n">
        <v>46112</v>
      </c>
      <c r="D149" t="inlineStr">
        <is>
          <t>ÖREBRO LÄN</t>
        </is>
      </c>
      <c r="E149" t="inlineStr">
        <is>
          <t>HÄLLEFORS</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34042-2025</t>
        </is>
      </c>
      <c r="B150" s="1" t="n">
        <v>45845.37733796296</v>
      </c>
      <c r="C150" s="1" t="n">
        <v>46112</v>
      </c>
      <c r="D150" t="inlineStr">
        <is>
          <t>ÖREBRO LÄN</t>
        </is>
      </c>
      <c r="E150" t="inlineStr">
        <is>
          <t>HÄLLEFORS</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34045-2025</t>
        </is>
      </c>
      <c r="B151" s="1" t="n">
        <v>45845.38480324074</v>
      </c>
      <c r="C151" s="1" t="n">
        <v>46112</v>
      </c>
      <c r="D151" t="inlineStr">
        <is>
          <t>ÖREBRO LÄN</t>
        </is>
      </c>
      <c r="E151" t="inlineStr">
        <is>
          <t>HÄLLEFORS</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34052-2025</t>
        </is>
      </c>
      <c r="B152" s="1" t="n">
        <v>45845.40813657407</v>
      </c>
      <c r="C152" s="1" t="n">
        <v>46112</v>
      </c>
      <c r="D152" t="inlineStr">
        <is>
          <t>ÖREBRO LÄN</t>
        </is>
      </c>
      <c r="E152" t="inlineStr">
        <is>
          <t>HÄLLEFORS</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34059-2025</t>
        </is>
      </c>
      <c r="B153" s="1" t="n">
        <v>45845.41988425926</v>
      </c>
      <c r="C153" s="1" t="n">
        <v>46112</v>
      </c>
      <c r="D153" t="inlineStr">
        <is>
          <t>ÖREBRO LÄN</t>
        </is>
      </c>
      <c r="E153" t="inlineStr">
        <is>
          <t>HÄLLEFORS</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11178-2026</t>
        </is>
      </c>
      <c r="B154" s="1" t="n">
        <v>46080.39054398148</v>
      </c>
      <c r="C154" s="1" t="n">
        <v>46112</v>
      </c>
      <c r="D154" t="inlineStr">
        <is>
          <t>ÖREBRO LÄN</t>
        </is>
      </c>
      <c r="E154" t="inlineStr">
        <is>
          <t>HÄLLEFORS</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34023-2025</t>
        </is>
      </c>
      <c r="B155" s="1" t="n">
        <v>45845.35355324074</v>
      </c>
      <c r="C155" s="1" t="n">
        <v>46112</v>
      </c>
      <c r="D155" t="inlineStr">
        <is>
          <t>ÖREBRO LÄN</t>
        </is>
      </c>
      <c r="E155" t="inlineStr">
        <is>
          <t>HÄLLEFORS</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34057-2025</t>
        </is>
      </c>
      <c r="B156" s="1" t="n">
        <v>45845.41581018519</v>
      </c>
      <c r="C156" s="1" t="n">
        <v>46112</v>
      </c>
      <c r="D156" t="inlineStr">
        <is>
          <t>ÖREBRO LÄN</t>
        </is>
      </c>
      <c r="E156" t="inlineStr">
        <is>
          <t>HÄLLEFORS</t>
        </is>
      </c>
      <c r="G156" t="n">
        <v>2.1</v>
      </c>
      <c r="H156" t="n">
        <v>0</v>
      </c>
      <c r="I156" t="n">
        <v>0</v>
      </c>
      <c r="J156" t="n">
        <v>0</v>
      </c>
      <c r="K156" t="n">
        <v>0</v>
      </c>
      <c r="L156" t="n">
        <v>0</v>
      </c>
      <c r="M156" t="n">
        <v>0</v>
      </c>
      <c r="N156" t="n">
        <v>0</v>
      </c>
      <c r="O156" t="n">
        <v>0</v>
      </c>
      <c r="P156" t="n">
        <v>0</v>
      </c>
      <c r="Q156" t="n">
        <v>0</v>
      </c>
      <c r="R156" s="2" t="inlineStr"/>
    </row>
    <row r="157" ht="15" customHeight="1">
      <c r="A157" t="inlineStr">
        <is>
          <t>A 34029-2025</t>
        </is>
      </c>
      <c r="B157" s="1" t="n">
        <v>45845.36309027778</v>
      </c>
      <c r="C157" s="1" t="n">
        <v>46112</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34022-2025</t>
        </is>
      </c>
      <c r="B158" s="1" t="n">
        <v>45845.34983796296</v>
      </c>
      <c r="C158" s="1" t="n">
        <v>46112</v>
      </c>
      <c r="D158" t="inlineStr">
        <is>
          <t>ÖREBRO LÄN</t>
        </is>
      </c>
      <c r="E158" t="inlineStr">
        <is>
          <t>HÄLLEFORS</t>
        </is>
      </c>
      <c r="F158" t="inlineStr">
        <is>
          <t>Bergvik skog väst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34025-2025</t>
        </is>
      </c>
      <c r="B159" s="1" t="n">
        <v>45845.35546296297</v>
      </c>
      <c r="C159" s="1" t="n">
        <v>46112</v>
      </c>
      <c r="D159" t="inlineStr">
        <is>
          <t>ÖREBRO LÄN</t>
        </is>
      </c>
      <c r="E159" t="inlineStr">
        <is>
          <t>HÄLLEFORS</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34093-2025</t>
        </is>
      </c>
      <c r="B160" s="1" t="n">
        <v>45845.47775462963</v>
      </c>
      <c r="C160" s="1" t="n">
        <v>46112</v>
      </c>
      <c r="D160" t="inlineStr">
        <is>
          <t>ÖREBRO LÄN</t>
        </is>
      </c>
      <c r="E160" t="inlineStr">
        <is>
          <t>HÄLLEFORS</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34062-2025</t>
        </is>
      </c>
      <c r="B161" s="1" t="n">
        <v>45845.4264699074</v>
      </c>
      <c r="C161" s="1" t="n">
        <v>46112</v>
      </c>
      <c r="D161" t="inlineStr">
        <is>
          <t>ÖREBRO LÄN</t>
        </is>
      </c>
      <c r="E161" t="inlineStr">
        <is>
          <t>HÄLLEFORS</t>
        </is>
      </c>
      <c r="G161" t="n">
        <v>1.3</v>
      </c>
      <c r="H161" t="n">
        <v>0</v>
      </c>
      <c r="I161" t="n">
        <v>0</v>
      </c>
      <c r="J161" t="n">
        <v>0</v>
      </c>
      <c r="K161" t="n">
        <v>0</v>
      </c>
      <c r="L161" t="n">
        <v>0</v>
      </c>
      <c r="M161" t="n">
        <v>0</v>
      </c>
      <c r="N161" t="n">
        <v>0</v>
      </c>
      <c r="O161" t="n">
        <v>0</v>
      </c>
      <c r="P161" t="n">
        <v>0</v>
      </c>
      <c r="Q161" t="n">
        <v>0</v>
      </c>
      <c r="R161" s="2" t="inlineStr"/>
    </row>
    <row r="162" ht="15" customHeight="1">
      <c r="A162" t="inlineStr">
        <is>
          <t>A 12082-2025</t>
        </is>
      </c>
      <c r="B162" s="1" t="n">
        <v>45728</v>
      </c>
      <c r="C162" s="1" t="n">
        <v>46112</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60518-2021</t>
        </is>
      </c>
      <c r="B163" s="1" t="n">
        <v>44496.5028125</v>
      </c>
      <c r="C163" s="1" t="n">
        <v>46112</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21901-2023</t>
        </is>
      </c>
      <c r="B164" s="1" t="n">
        <v>45068.53265046296</v>
      </c>
      <c r="C164" s="1" t="n">
        <v>46112</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3837-2026</t>
        </is>
      </c>
      <c r="B165" s="1" t="n">
        <v>46043.59318287037</v>
      </c>
      <c r="C165" s="1" t="n">
        <v>46112</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17075-2025</t>
        </is>
      </c>
      <c r="B166" s="1" t="n">
        <v>45755.62278935185</v>
      </c>
      <c r="C166" s="1" t="n">
        <v>46112</v>
      </c>
      <c r="D166" t="inlineStr">
        <is>
          <t>ÖREBRO LÄN</t>
        </is>
      </c>
      <c r="E166" t="inlineStr">
        <is>
          <t>HÄLLEFORS</t>
        </is>
      </c>
      <c r="F166" t="inlineStr">
        <is>
          <t>Bergvik skog väst AB</t>
        </is>
      </c>
      <c r="G166" t="n">
        <v>3.2</v>
      </c>
      <c r="H166" t="n">
        <v>0</v>
      </c>
      <c r="I166" t="n">
        <v>0</v>
      </c>
      <c r="J166" t="n">
        <v>0</v>
      </c>
      <c r="K166" t="n">
        <v>0</v>
      </c>
      <c r="L166" t="n">
        <v>0</v>
      </c>
      <c r="M166" t="n">
        <v>0</v>
      </c>
      <c r="N166" t="n">
        <v>0</v>
      </c>
      <c r="O166" t="n">
        <v>0</v>
      </c>
      <c r="P166" t="n">
        <v>0</v>
      </c>
      <c r="Q166" t="n">
        <v>0</v>
      </c>
      <c r="R166" s="2" t="inlineStr"/>
    </row>
    <row r="167" ht="15" customHeight="1">
      <c r="A167" t="inlineStr">
        <is>
          <t>A 29027-2024</t>
        </is>
      </c>
      <c r="B167" s="1" t="n">
        <v>45481.58833333333</v>
      </c>
      <c r="C167" s="1" t="n">
        <v>46112</v>
      </c>
      <c r="D167" t="inlineStr">
        <is>
          <t>ÖREBRO LÄN</t>
        </is>
      </c>
      <c r="E167" t="inlineStr">
        <is>
          <t>HÄLLEFORS</t>
        </is>
      </c>
      <c r="G167" t="n">
        <v>1.5</v>
      </c>
      <c r="H167" t="n">
        <v>0</v>
      </c>
      <c r="I167" t="n">
        <v>0</v>
      </c>
      <c r="J167" t="n">
        <v>0</v>
      </c>
      <c r="K167" t="n">
        <v>0</v>
      </c>
      <c r="L167" t="n">
        <v>0</v>
      </c>
      <c r="M167" t="n">
        <v>0</v>
      </c>
      <c r="N167" t="n">
        <v>0</v>
      </c>
      <c r="O167" t="n">
        <v>0</v>
      </c>
      <c r="P167" t="n">
        <v>0</v>
      </c>
      <c r="Q167" t="n">
        <v>0</v>
      </c>
      <c r="R167" s="2" t="inlineStr"/>
    </row>
    <row r="168" ht="15" customHeight="1">
      <c r="A168" t="inlineStr">
        <is>
          <t>A 5033-2025</t>
        </is>
      </c>
      <c r="B168" s="1" t="n">
        <v>45691.425625</v>
      </c>
      <c r="C168" s="1" t="n">
        <v>46112</v>
      </c>
      <c r="D168" t="inlineStr">
        <is>
          <t>ÖREBRO LÄN</t>
        </is>
      </c>
      <c r="E168" t="inlineStr">
        <is>
          <t>HÄLLEFORS</t>
        </is>
      </c>
      <c r="F168" t="inlineStr">
        <is>
          <t>Bergvik skog väst AB</t>
        </is>
      </c>
      <c r="G168" t="n">
        <v>5.6</v>
      </c>
      <c r="H168" t="n">
        <v>0</v>
      </c>
      <c r="I168" t="n">
        <v>0</v>
      </c>
      <c r="J168" t="n">
        <v>0</v>
      </c>
      <c r="K168" t="n">
        <v>0</v>
      </c>
      <c r="L168" t="n">
        <v>0</v>
      </c>
      <c r="M168" t="n">
        <v>0</v>
      </c>
      <c r="N168" t="n">
        <v>0</v>
      </c>
      <c r="O168" t="n">
        <v>0</v>
      </c>
      <c r="P168" t="n">
        <v>0</v>
      </c>
      <c r="Q168" t="n">
        <v>0</v>
      </c>
      <c r="R168" s="2" t="inlineStr"/>
    </row>
    <row r="169" ht="15" customHeight="1">
      <c r="A169" t="inlineStr">
        <is>
          <t>A 17350-2025</t>
        </is>
      </c>
      <c r="B169" s="1" t="n">
        <v>45756.68074074074</v>
      </c>
      <c r="C169" s="1" t="n">
        <v>46112</v>
      </c>
      <c r="D169" t="inlineStr">
        <is>
          <t>ÖREBRO LÄN</t>
        </is>
      </c>
      <c r="E169" t="inlineStr">
        <is>
          <t>HÄLLEFORS</t>
        </is>
      </c>
      <c r="F169" t="inlineStr">
        <is>
          <t>Bergvik skog väst AB</t>
        </is>
      </c>
      <c r="G169" t="n">
        <v>6.9</v>
      </c>
      <c r="H169" t="n">
        <v>0</v>
      </c>
      <c r="I169" t="n">
        <v>0</v>
      </c>
      <c r="J169" t="n">
        <v>0</v>
      </c>
      <c r="K169" t="n">
        <v>0</v>
      </c>
      <c r="L169" t="n">
        <v>0</v>
      </c>
      <c r="M169" t="n">
        <v>0</v>
      </c>
      <c r="N169" t="n">
        <v>0</v>
      </c>
      <c r="O169" t="n">
        <v>0</v>
      </c>
      <c r="P169" t="n">
        <v>0</v>
      </c>
      <c r="Q169" t="n">
        <v>0</v>
      </c>
      <c r="R169" s="2" t="inlineStr"/>
    </row>
    <row r="170" ht="15" customHeight="1">
      <c r="A170" t="inlineStr">
        <is>
          <t>A 9411-2022</t>
        </is>
      </c>
      <c r="B170" s="1" t="n">
        <v>44616</v>
      </c>
      <c r="C170" s="1" t="n">
        <v>46112</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5684-2025</t>
        </is>
      </c>
      <c r="B171" s="1" t="n">
        <v>45694</v>
      </c>
      <c r="C171" s="1" t="n">
        <v>46112</v>
      </c>
      <c r="D171" t="inlineStr">
        <is>
          <t>ÖREBRO LÄN</t>
        </is>
      </c>
      <c r="E171" t="inlineStr">
        <is>
          <t>HÄLLEFORS</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9539-2025</t>
        </is>
      </c>
      <c r="B172" s="1" t="n">
        <v>45715.57984953704</v>
      </c>
      <c r="C172" s="1" t="n">
        <v>46112</v>
      </c>
      <c r="D172" t="inlineStr">
        <is>
          <t>ÖREBRO LÄN</t>
        </is>
      </c>
      <c r="E172" t="inlineStr">
        <is>
          <t>HÄLLEFORS</t>
        </is>
      </c>
      <c r="G172" t="n">
        <v>1.4</v>
      </c>
      <c r="H172" t="n">
        <v>0</v>
      </c>
      <c r="I172" t="n">
        <v>0</v>
      </c>
      <c r="J172" t="n">
        <v>0</v>
      </c>
      <c r="K172" t="n">
        <v>0</v>
      </c>
      <c r="L172" t="n">
        <v>0</v>
      </c>
      <c r="M172" t="n">
        <v>0</v>
      </c>
      <c r="N172" t="n">
        <v>0</v>
      </c>
      <c r="O172" t="n">
        <v>0</v>
      </c>
      <c r="P172" t="n">
        <v>0</v>
      </c>
      <c r="Q172" t="n">
        <v>0</v>
      </c>
      <c r="R172" s="2" t="inlineStr"/>
    </row>
    <row r="173" ht="15" customHeight="1">
      <c r="A173" t="inlineStr">
        <is>
          <t>A 33944-2024</t>
        </is>
      </c>
      <c r="B173" s="1" t="n">
        <v>45523</v>
      </c>
      <c r="C173" s="1" t="n">
        <v>46112</v>
      </c>
      <c r="D173" t="inlineStr">
        <is>
          <t>ÖREBRO LÄN</t>
        </is>
      </c>
      <c r="E173" t="inlineStr">
        <is>
          <t>HÄLLEFORS</t>
        </is>
      </c>
      <c r="G173" t="n">
        <v>5.9</v>
      </c>
      <c r="H173" t="n">
        <v>0</v>
      </c>
      <c r="I173" t="n">
        <v>0</v>
      </c>
      <c r="J173" t="n">
        <v>0</v>
      </c>
      <c r="K173" t="n">
        <v>0</v>
      </c>
      <c r="L173" t="n">
        <v>0</v>
      </c>
      <c r="M173" t="n">
        <v>0</v>
      </c>
      <c r="N173" t="n">
        <v>0</v>
      </c>
      <c r="O173" t="n">
        <v>0</v>
      </c>
      <c r="P173" t="n">
        <v>0</v>
      </c>
      <c r="Q173" t="n">
        <v>0</v>
      </c>
      <c r="R173" s="2" t="inlineStr"/>
    </row>
    <row r="174" ht="15" customHeight="1">
      <c r="A174" t="inlineStr">
        <is>
          <t>A 3365-2026</t>
        </is>
      </c>
      <c r="B174" s="1" t="n">
        <v>46042.33357638889</v>
      </c>
      <c r="C174" s="1" t="n">
        <v>46112</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44905-2021</t>
        </is>
      </c>
      <c r="B175" s="1" t="n">
        <v>44438.65045138889</v>
      </c>
      <c r="C175" s="1" t="n">
        <v>46112</v>
      </c>
      <c r="D175" t="inlineStr">
        <is>
          <t>ÖREBRO LÄN</t>
        </is>
      </c>
      <c r="E175" t="inlineStr">
        <is>
          <t>HÄLLEFORS</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46112</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29884-2022</t>
        </is>
      </c>
      <c r="B177" s="1" t="n">
        <v>44756</v>
      </c>
      <c r="C177" s="1" t="n">
        <v>46112</v>
      </c>
      <c r="D177" t="inlineStr">
        <is>
          <t>ÖREBRO LÄN</t>
        </is>
      </c>
      <c r="E177" t="inlineStr">
        <is>
          <t>HÄLLEFORS</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35183-2023</t>
        </is>
      </c>
      <c r="B178" s="1" t="n">
        <v>45145.59578703704</v>
      </c>
      <c r="C178" s="1" t="n">
        <v>46112</v>
      </c>
      <c r="D178" t="inlineStr">
        <is>
          <t>ÖREBRO LÄN</t>
        </is>
      </c>
      <c r="E178" t="inlineStr">
        <is>
          <t>HÄLLEFORS</t>
        </is>
      </c>
      <c r="F178" t="inlineStr">
        <is>
          <t>Bergvik skog väst AB</t>
        </is>
      </c>
      <c r="G178" t="n">
        <v>6.6</v>
      </c>
      <c r="H178" t="n">
        <v>0</v>
      </c>
      <c r="I178" t="n">
        <v>0</v>
      </c>
      <c r="J178" t="n">
        <v>0</v>
      </c>
      <c r="K178" t="n">
        <v>0</v>
      </c>
      <c r="L178" t="n">
        <v>0</v>
      </c>
      <c r="M178" t="n">
        <v>0</v>
      </c>
      <c r="N178" t="n">
        <v>0</v>
      </c>
      <c r="O178" t="n">
        <v>0</v>
      </c>
      <c r="P178" t="n">
        <v>0</v>
      </c>
      <c r="Q178" t="n">
        <v>0</v>
      </c>
      <c r="R178" s="2" t="inlineStr"/>
    </row>
    <row r="179" ht="15" customHeight="1">
      <c r="A179" t="inlineStr">
        <is>
          <t>A 5256-2025</t>
        </is>
      </c>
      <c r="B179" s="1" t="n">
        <v>45692.36032407408</v>
      </c>
      <c r="C179" s="1" t="n">
        <v>46112</v>
      </c>
      <c r="D179" t="inlineStr">
        <is>
          <t>ÖREBRO LÄN</t>
        </is>
      </c>
      <c r="E179" t="inlineStr">
        <is>
          <t>HÄLLEFORS</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2079-2024</t>
        </is>
      </c>
      <c r="B180" s="1" t="n">
        <v>45309</v>
      </c>
      <c r="C180" s="1" t="n">
        <v>46112</v>
      </c>
      <c r="D180" t="inlineStr">
        <is>
          <t>ÖREBRO LÄN</t>
        </is>
      </c>
      <c r="E180" t="inlineStr">
        <is>
          <t>HÄLLEFORS</t>
        </is>
      </c>
      <c r="G180" t="n">
        <v>0.4</v>
      </c>
      <c r="H180" t="n">
        <v>0</v>
      </c>
      <c r="I180" t="n">
        <v>0</v>
      </c>
      <c r="J180" t="n">
        <v>0</v>
      </c>
      <c r="K180" t="n">
        <v>0</v>
      </c>
      <c r="L180" t="n">
        <v>0</v>
      </c>
      <c r="M180" t="n">
        <v>0</v>
      </c>
      <c r="N180" t="n">
        <v>0</v>
      </c>
      <c r="O180" t="n">
        <v>0</v>
      </c>
      <c r="P180" t="n">
        <v>0</v>
      </c>
      <c r="Q180" t="n">
        <v>0</v>
      </c>
      <c r="R180" s="2" t="inlineStr"/>
    </row>
    <row r="181" ht="15" customHeight="1">
      <c r="A181" t="inlineStr">
        <is>
          <t>A 17045-2025</t>
        </is>
      </c>
      <c r="B181" s="1" t="n">
        <v>45755.59307870371</v>
      </c>
      <c r="C181" s="1" t="n">
        <v>46112</v>
      </c>
      <c r="D181" t="inlineStr">
        <is>
          <t>ÖREBRO LÄN</t>
        </is>
      </c>
      <c r="E181" t="inlineStr">
        <is>
          <t>HÄLLEFORS</t>
        </is>
      </c>
      <c r="F181" t="inlineStr">
        <is>
          <t>Bergvik skog väst AB</t>
        </is>
      </c>
      <c r="G181" t="n">
        <v>4.8</v>
      </c>
      <c r="H181" t="n">
        <v>0</v>
      </c>
      <c r="I181" t="n">
        <v>0</v>
      </c>
      <c r="J181" t="n">
        <v>0</v>
      </c>
      <c r="K181" t="n">
        <v>0</v>
      </c>
      <c r="L181" t="n">
        <v>0</v>
      </c>
      <c r="M181" t="n">
        <v>0</v>
      </c>
      <c r="N181" t="n">
        <v>0</v>
      </c>
      <c r="O181" t="n">
        <v>0</v>
      </c>
      <c r="P181" t="n">
        <v>0</v>
      </c>
      <c r="Q181" t="n">
        <v>0</v>
      </c>
      <c r="R181" s="2" t="inlineStr"/>
    </row>
    <row r="182" ht="15" customHeight="1">
      <c r="A182" t="inlineStr">
        <is>
          <t>A 3863-2026</t>
        </is>
      </c>
      <c r="B182" s="1" t="n">
        <v>46043.62747685185</v>
      </c>
      <c r="C182" s="1" t="n">
        <v>46112</v>
      </c>
      <c r="D182" t="inlineStr">
        <is>
          <t>ÖREBRO LÄN</t>
        </is>
      </c>
      <c r="E182" t="inlineStr">
        <is>
          <t>HÄLLEFORS</t>
        </is>
      </c>
      <c r="G182" t="n">
        <v>2.7</v>
      </c>
      <c r="H182" t="n">
        <v>0</v>
      </c>
      <c r="I182" t="n">
        <v>0</v>
      </c>
      <c r="J182" t="n">
        <v>0</v>
      </c>
      <c r="K182" t="n">
        <v>0</v>
      </c>
      <c r="L182" t="n">
        <v>0</v>
      </c>
      <c r="M182" t="n">
        <v>0</v>
      </c>
      <c r="N182" t="n">
        <v>0</v>
      </c>
      <c r="O182" t="n">
        <v>0</v>
      </c>
      <c r="P182" t="n">
        <v>0</v>
      </c>
      <c r="Q182" t="n">
        <v>0</v>
      </c>
      <c r="R182" s="2" t="inlineStr"/>
    </row>
    <row r="183" ht="15" customHeight="1">
      <c r="A183" t="inlineStr">
        <is>
          <t>A 6761-2025</t>
        </is>
      </c>
      <c r="B183" s="1" t="n">
        <v>45700.62762731482</v>
      </c>
      <c r="C183" s="1" t="n">
        <v>46112</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12558-2025</t>
        </is>
      </c>
      <c r="B184" s="1" t="n">
        <v>45731.46960648148</v>
      </c>
      <c r="C184" s="1" t="n">
        <v>46112</v>
      </c>
      <c r="D184" t="inlineStr">
        <is>
          <t>ÖREBRO LÄN</t>
        </is>
      </c>
      <c r="E184" t="inlineStr">
        <is>
          <t>HÄLLEFORS</t>
        </is>
      </c>
      <c r="G184" t="n">
        <v>2.2</v>
      </c>
      <c r="H184" t="n">
        <v>0</v>
      </c>
      <c r="I184" t="n">
        <v>0</v>
      </c>
      <c r="J184" t="n">
        <v>0</v>
      </c>
      <c r="K184" t="n">
        <v>0</v>
      </c>
      <c r="L184" t="n">
        <v>0</v>
      </c>
      <c r="M184" t="n">
        <v>0</v>
      </c>
      <c r="N184" t="n">
        <v>0</v>
      </c>
      <c r="O184" t="n">
        <v>0</v>
      </c>
      <c r="P184" t="n">
        <v>0</v>
      </c>
      <c r="Q184" t="n">
        <v>0</v>
      </c>
      <c r="R184" s="2" t="inlineStr"/>
    </row>
    <row r="185" ht="15" customHeight="1">
      <c r="A185" t="inlineStr">
        <is>
          <t>A 23561-2023</t>
        </is>
      </c>
      <c r="B185" s="1" t="n">
        <v>45077.39368055556</v>
      </c>
      <c r="C185" s="1" t="n">
        <v>46112</v>
      </c>
      <c r="D185" t="inlineStr">
        <is>
          <t>ÖREBRO LÄN</t>
        </is>
      </c>
      <c r="E185" t="inlineStr">
        <is>
          <t>HÄLLEFORS</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51088-2022</t>
        </is>
      </c>
      <c r="B186" s="1" t="n">
        <v>44868.3935300926</v>
      </c>
      <c r="C186" s="1" t="n">
        <v>46112</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45916-2025</t>
        </is>
      </c>
      <c r="B187" s="1" t="n">
        <v>45923.83761574074</v>
      </c>
      <c r="C187" s="1" t="n">
        <v>46112</v>
      </c>
      <c r="D187" t="inlineStr">
        <is>
          <t>ÖREBRO LÄN</t>
        </is>
      </c>
      <c r="E187" t="inlineStr">
        <is>
          <t>HÄLLEFORS</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5245-2025</t>
        </is>
      </c>
      <c r="B188" s="1" t="n">
        <v>45692</v>
      </c>
      <c r="C188" s="1" t="n">
        <v>46112</v>
      </c>
      <c r="D188" t="inlineStr">
        <is>
          <t>ÖREBRO LÄN</t>
        </is>
      </c>
      <c r="E188" t="inlineStr">
        <is>
          <t>HÄLLEFORS</t>
        </is>
      </c>
      <c r="F188" t="inlineStr">
        <is>
          <t>Bergvik skog väst AB</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37232-2025</t>
        </is>
      </c>
      <c r="B189" s="1" t="n">
        <v>45876.34452546296</v>
      </c>
      <c r="C189" s="1" t="n">
        <v>46112</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46667-2025</t>
        </is>
      </c>
      <c r="B190" s="1" t="n">
        <v>45926.52738425926</v>
      </c>
      <c r="C190" s="1" t="n">
        <v>46112</v>
      </c>
      <c r="D190" t="inlineStr">
        <is>
          <t>ÖREBRO LÄN</t>
        </is>
      </c>
      <c r="E190" t="inlineStr">
        <is>
          <t>HÄLLEFORS</t>
        </is>
      </c>
      <c r="G190" t="n">
        <v>3.9</v>
      </c>
      <c r="H190" t="n">
        <v>0</v>
      </c>
      <c r="I190" t="n">
        <v>0</v>
      </c>
      <c r="J190" t="n">
        <v>0</v>
      </c>
      <c r="K190" t="n">
        <v>0</v>
      </c>
      <c r="L190" t="n">
        <v>0</v>
      </c>
      <c r="M190" t="n">
        <v>0</v>
      </c>
      <c r="N190" t="n">
        <v>0</v>
      </c>
      <c r="O190" t="n">
        <v>0</v>
      </c>
      <c r="P190" t="n">
        <v>0</v>
      </c>
      <c r="Q190" t="n">
        <v>0</v>
      </c>
      <c r="R190" s="2" t="inlineStr"/>
    </row>
    <row r="191" ht="15" customHeight="1">
      <c r="A191" t="inlineStr">
        <is>
          <t>A 4125-2026</t>
        </is>
      </c>
      <c r="B191" s="1" t="n">
        <v>46044.61620370371</v>
      </c>
      <c r="C191" s="1" t="n">
        <v>46112</v>
      </c>
      <c r="D191" t="inlineStr">
        <is>
          <t>ÖREBRO LÄN</t>
        </is>
      </c>
      <c r="E191" t="inlineStr">
        <is>
          <t>HÄLLEFORS</t>
        </is>
      </c>
      <c r="G191" t="n">
        <v>3.5</v>
      </c>
      <c r="H191" t="n">
        <v>0</v>
      </c>
      <c r="I191" t="n">
        <v>0</v>
      </c>
      <c r="J191" t="n">
        <v>0</v>
      </c>
      <c r="K191" t="n">
        <v>0</v>
      </c>
      <c r="L191" t="n">
        <v>0</v>
      </c>
      <c r="M191" t="n">
        <v>0</v>
      </c>
      <c r="N191" t="n">
        <v>0</v>
      </c>
      <c r="O191" t="n">
        <v>0</v>
      </c>
      <c r="P191" t="n">
        <v>0</v>
      </c>
      <c r="Q191" t="n">
        <v>0</v>
      </c>
      <c r="R191" s="2" t="inlineStr"/>
    </row>
    <row r="192" ht="15" customHeight="1">
      <c r="A192" t="inlineStr">
        <is>
          <t>A 8615-2025</t>
        </is>
      </c>
      <c r="B192" s="1" t="n">
        <v>45710.81305555555</v>
      </c>
      <c r="C192" s="1" t="n">
        <v>46112</v>
      </c>
      <c r="D192" t="inlineStr">
        <is>
          <t>ÖREBRO LÄN</t>
        </is>
      </c>
      <c r="E192" t="inlineStr">
        <is>
          <t>HÄLLEFORS</t>
        </is>
      </c>
      <c r="G192" t="n">
        <v>6.2</v>
      </c>
      <c r="H192" t="n">
        <v>0</v>
      </c>
      <c r="I192" t="n">
        <v>0</v>
      </c>
      <c r="J192" t="n">
        <v>0</v>
      </c>
      <c r="K192" t="n">
        <v>0</v>
      </c>
      <c r="L192" t="n">
        <v>0</v>
      </c>
      <c r="M192" t="n">
        <v>0</v>
      </c>
      <c r="N192" t="n">
        <v>0</v>
      </c>
      <c r="O192" t="n">
        <v>0</v>
      </c>
      <c r="P192" t="n">
        <v>0</v>
      </c>
      <c r="Q192" t="n">
        <v>0</v>
      </c>
      <c r="R192" s="2" t="inlineStr"/>
    </row>
    <row r="193" ht="15" customHeight="1">
      <c r="A193" t="inlineStr">
        <is>
          <t>A 44693-2025</t>
        </is>
      </c>
      <c r="B193" s="1" t="n">
        <v>45917</v>
      </c>
      <c r="C193" s="1" t="n">
        <v>46112</v>
      </c>
      <c r="D193" t="inlineStr">
        <is>
          <t>ÖREBRO LÄN</t>
        </is>
      </c>
      <c r="E193" t="inlineStr">
        <is>
          <t>HÄLLEFORS</t>
        </is>
      </c>
      <c r="G193" t="n">
        <v>10.3</v>
      </c>
      <c r="H193" t="n">
        <v>0</v>
      </c>
      <c r="I193" t="n">
        <v>0</v>
      </c>
      <c r="J193" t="n">
        <v>0</v>
      </c>
      <c r="K193" t="n">
        <v>0</v>
      </c>
      <c r="L193" t="n">
        <v>0</v>
      </c>
      <c r="M193" t="n">
        <v>0</v>
      </c>
      <c r="N193" t="n">
        <v>0</v>
      </c>
      <c r="O193" t="n">
        <v>0</v>
      </c>
      <c r="P193" t="n">
        <v>0</v>
      </c>
      <c r="Q193" t="n">
        <v>0</v>
      </c>
      <c r="R193" s="2" t="inlineStr"/>
    </row>
    <row r="194" ht="15" customHeight="1">
      <c r="A194" t="inlineStr">
        <is>
          <t>A 47847-2025</t>
        </is>
      </c>
      <c r="B194" s="1" t="n">
        <v>45932.38244212963</v>
      </c>
      <c r="C194" s="1" t="n">
        <v>46112</v>
      </c>
      <c r="D194" t="inlineStr">
        <is>
          <t>ÖREBRO LÄN</t>
        </is>
      </c>
      <c r="E194" t="inlineStr">
        <is>
          <t>HÄLLEFORS</t>
        </is>
      </c>
      <c r="F194" t="inlineStr">
        <is>
          <t>Bergvik skog väst AB</t>
        </is>
      </c>
      <c r="G194" t="n">
        <v>11.5</v>
      </c>
      <c r="H194" t="n">
        <v>0</v>
      </c>
      <c r="I194" t="n">
        <v>0</v>
      </c>
      <c r="J194" t="n">
        <v>0</v>
      </c>
      <c r="K194" t="n">
        <v>0</v>
      </c>
      <c r="L194" t="n">
        <v>0</v>
      </c>
      <c r="M194" t="n">
        <v>0</v>
      </c>
      <c r="N194" t="n">
        <v>0</v>
      </c>
      <c r="O194" t="n">
        <v>0</v>
      </c>
      <c r="P194" t="n">
        <v>0</v>
      </c>
      <c r="Q194" t="n">
        <v>0</v>
      </c>
      <c r="R194" s="2" t="inlineStr"/>
    </row>
    <row r="195" ht="15" customHeight="1">
      <c r="A195" t="inlineStr">
        <is>
          <t>A 47862-2025</t>
        </is>
      </c>
      <c r="B195" s="1" t="n">
        <v>45932.42637731481</v>
      </c>
      <c r="C195" s="1" t="n">
        <v>46112</v>
      </c>
      <c r="D195" t="inlineStr">
        <is>
          <t>ÖREBRO LÄN</t>
        </is>
      </c>
      <c r="E195" t="inlineStr">
        <is>
          <t>HÄLLEFORS</t>
        </is>
      </c>
      <c r="F195" t="inlineStr">
        <is>
          <t>Bergvik skog väst AB</t>
        </is>
      </c>
      <c r="G195" t="n">
        <v>6.3</v>
      </c>
      <c r="H195" t="n">
        <v>0</v>
      </c>
      <c r="I195" t="n">
        <v>0</v>
      </c>
      <c r="J195" t="n">
        <v>0</v>
      </c>
      <c r="K195" t="n">
        <v>0</v>
      </c>
      <c r="L195" t="n">
        <v>0</v>
      </c>
      <c r="M195" t="n">
        <v>0</v>
      </c>
      <c r="N195" t="n">
        <v>0</v>
      </c>
      <c r="O195" t="n">
        <v>0</v>
      </c>
      <c r="P195" t="n">
        <v>0</v>
      </c>
      <c r="Q195" t="n">
        <v>0</v>
      </c>
      <c r="R195" s="2" t="inlineStr"/>
    </row>
    <row r="196" ht="15" customHeight="1">
      <c r="A196" t="inlineStr">
        <is>
          <t>A 18503-2025</t>
        </is>
      </c>
      <c r="B196" s="1" t="n">
        <v>45763.37480324074</v>
      </c>
      <c r="C196" s="1" t="n">
        <v>46112</v>
      </c>
      <c r="D196" t="inlineStr">
        <is>
          <t>ÖREBRO LÄN</t>
        </is>
      </c>
      <c r="E196" t="inlineStr">
        <is>
          <t>HÄLLEFORS</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38148-2025</t>
        </is>
      </c>
      <c r="B197" s="1" t="n">
        <v>45882.58855324074</v>
      </c>
      <c r="C197" s="1" t="n">
        <v>46112</v>
      </c>
      <c r="D197" t="inlineStr">
        <is>
          <t>ÖREBRO LÄN</t>
        </is>
      </c>
      <c r="E197" t="inlineStr">
        <is>
          <t>HÄLLEFORS</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47854-2025</t>
        </is>
      </c>
      <c r="B198" s="1" t="n">
        <v>45932.39532407407</v>
      </c>
      <c r="C198" s="1" t="n">
        <v>46112</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47852-2025</t>
        </is>
      </c>
      <c r="B199" s="1" t="n">
        <v>45932.38914351852</v>
      </c>
      <c r="C199" s="1" t="n">
        <v>46112</v>
      </c>
      <c r="D199" t="inlineStr">
        <is>
          <t>ÖREBRO LÄN</t>
        </is>
      </c>
      <c r="E199" t="inlineStr">
        <is>
          <t>HÄLLEFORS</t>
        </is>
      </c>
      <c r="F199" t="inlineStr">
        <is>
          <t>Bergvik skog väst AB</t>
        </is>
      </c>
      <c r="G199" t="n">
        <v>12.9</v>
      </c>
      <c r="H199" t="n">
        <v>0</v>
      </c>
      <c r="I199" t="n">
        <v>0</v>
      </c>
      <c r="J199" t="n">
        <v>0</v>
      </c>
      <c r="K199" t="n">
        <v>0</v>
      </c>
      <c r="L199" t="n">
        <v>0</v>
      </c>
      <c r="M199" t="n">
        <v>0</v>
      </c>
      <c r="N199" t="n">
        <v>0</v>
      </c>
      <c r="O199" t="n">
        <v>0</v>
      </c>
      <c r="P199" t="n">
        <v>0</v>
      </c>
      <c r="Q199" t="n">
        <v>0</v>
      </c>
      <c r="R199" s="2" t="inlineStr"/>
    </row>
    <row r="200" ht="15" customHeight="1">
      <c r="A200" t="inlineStr">
        <is>
          <t>A 47856-2025</t>
        </is>
      </c>
      <c r="B200" s="1" t="n">
        <v>45932.40252314815</v>
      </c>
      <c r="C200" s="1" t="n">
        <v>46112</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48961-2025</t>
        </is>
      </c>
      <c r="B201" s="1" t="n">
        <v>45936</v>
      </c>
      <c r="C201" s="1" t="n">
        <v>46112</v>
      </c>
      <c r="D201" t="inlineStr">
        <is>
          <t>ÖREBRO LÄN</t>
        </is>
      </c>
      <c r="E201" t="inlineStr">
        <is>
          <t>HÄLLEFORS</t>
        </is>
      </c>
      <c r="G201" t="n">
        <v>3.7</v>
      </c>
      <c r="H201" t="n">
        <v>0</v>
      </c>
      <c r="I201" t="n">
        <v>0</v>
      </c>
      <c r="J201" t="n">
        <v>0</v>
      </c>
      <c r="K201" t="n">
        <v>0</v>
      </c>
      <c r="L201" t="n">
        <v>0</v>
      </c>
      <c r="M201" t="n">
        <v>0</v>
      </c>
      <c r="N201" t="n">
        <v>0</v>
      </c>
      <c r="O201" t="n">
        <v>0</v>
      </c>
      <c r="P201" t="n">
        <v>0</v>
      </c>
      <c r="Q201" t="n">
        <v>0</v>
      </c>
      <c r="R201" s="2" t="inlineStr"/>
    </row>
    <row r="202" ht="15" customHeight="1">
      <c r="A202" t="inlineStr">
        <is>
          <t>A 29280-2025</t>
        </is>
      </c>
      <c r="B202" s="1" t="n">
        <v>45824</v>
      </c>
      <c r="C202" s="1" t="n">
        <v>46112</v>
      </c>
      <c r="D202" t="inlineStr">
        <is>
          <t>ÖREBRO LÄN</t>
        </is>
      </c>
      <c r="E202" t="inlineStr">
        <is>
          <t>HÄLLEFORS</t>
        </is>
      </c>
      <c r="F202" t="inlineStr">
        <is>
          <t>Bergvik skog väst AB</t>
        </is>
      </c>
      <c r="G202" t="n">
        <v>2.9</v>
      </c>
      <c r="H202" t="n">
        <v>0</v>
      </c>
      <c r="I202" t="n">
        <v>0</v>
      </c>
      <c r="J202" t="n">
        <v>0</v>
      </c>
      <c r="K202" t="n">
        <v>0</v>
      </c>
      <c r="L202" t="n">
        <v>0</v>
      </c>
      <c r="M202" t="n">
        <v>0</v>
      </c>
      <c r="N202" t="n">
        <v>0</v>
      </c>
      <c r="O202" t="n">
        <v>0</v>
      </c>
      <c r="P202" t="n">
        <v>0</v>
      </c>
      <c r="Q202" t="n">
        <v>0</v>
      </c>
      <c r="R202" s="2" t="inlineStr"/>
    </row>
    <row r="203" ht="15" customHeight="1">
      <c r="A203" t="inlineStr">
        <is>
          <t>A 36635-2022</t>
        </is>
      </c>
      <c r="B203" s="1" t="n">
        <v>44804.70893518518</v>
      </c>
      <c r="C203" s="1" t="n">
        <v>46112</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46980-2023</t>
        </is>
      </c>
      <c r="B204" s="1" t="n">
        <v>45201</v>
      </c>
      <c r="C204" s="1" t="n">
        <v>46112</v>
      </c>
      <c r="D204" t="inlineStr">
        <is>
          <t>ÖREBRO LÄN</t>
        </is>
      </c>
      <c r="E204" t="inlineStr">
        <is>
          <t>HÄLLEFORS</t>
        </is>
      </c>
      <c r="F204" t="inlineStr">
        <is>
          <t>Bergvik skog väst AB</t>
        </is>
      </c>
      <c r="G204" t="n">
        <v>7.5</v>
      </c>
      <c r="H204" t="n">
        <v>0</v>
      </c>
      <c r="I204" t="n">
        <v>0</v>
      </c>
      <c r="J204" t="n">
        <v>0</v>
      </c>
      <c r="K204" t="n">
        <v>0</v>
      </c>
      <c r="L204" t="n">
        <v>0</v>
      </c>
      <c r="M204" t="n">
        <v>0</v>
      </c>
      <c r="N204" t="n">
        <v>0</v>
      </c>
      <c r="O204" t="n">
        <v>0</v>
      </c>
      <c r="P204" t="n">
        <v>0</v>
      </c>
      <c r="Q204" t="n">
        <v>0</v>
      </c>
      <c r="R204" s="2" t="inlineStr"/>
    </row>
    <row r="205" ht="15" customHeight="1">
      <c r="A205" t="inlineStr">
        <is>
          <t>A 9009-2023</t>
        </is>
      </c>
      <c r="B205" s="1" t="n">
        <v>44979</v>
      </c>
      <c r="C205" s="1" t="n">
        <v>46112</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5657-2024</t>
        </is>
      </c>
      <c r="B206" s="1" t="n">
        <v>45334</v>
      </c>
      <c r="C206" s="1" t="n">
        <v>46112</v>
      </c>
      <c r="D206" t="inlineStr">
        <is>
          <t>ÖREBRO LÄN</t>
        </is>
      </c>
      <c r="E206" t="inlineStr">
        <is>
          <t>HÄLLEFORS</t>
        </is>
      </c>
      <c r="G206" t="n">
        <v>0.3</v>
      </c>
      <c r="H206" t="n">
        <v>0</v>
      </c>
      <c r="I206" t="n">
        <v>0</v>
      </c>
      <c r="J206" t="n">
        <v>0</v>
      </c>
      <c r="K206" t="n">
        <v>0</v>
      </c>
      <c r="L206" t="n">
        <v>0</v>
      </c>
      <c r="M206" t="n">
        <v>0</v>
      </c>
      <c r="N206" t="n">
        <v>0</v>
      </c>
      <c r="O206" t="n">
        <v>0</v>
      </c>
      <c r="P206" t="n">
        <v>0</v>
      </c>
      <c r="Q206" t="n">
        <v>0</v>
      </c>
      <c r="R206" s="2" t="inlineStr"/>
    </row>
    <row r="207" ht="15" customHeight="1">
      <c r="A207" t="inlineStr">
        <is>
          <t>A 18927-2025</t>
        </is>
      </c>
      <c r="B207" s="1" t="n">
        <v>45764.4846412037</v>
      </c>
      <c r="C207" s="1" t="n">
        <v>46112</v>
      </c>
      <c r="D207" t="inlineStr">
        <is>
          <t>ÖREBRO LÄN</t>
        </is>
      </c>
      <c r="E207" t="inlineStr">
        <is>
          <t>HÄLLEFORS</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18941-2025</t>
        </is>
      </c>
      <c r="B208" s="1" t="n">
        <v>45764.495625</v>
      </c>
      <c r="C208" s="1" t="n">
        <v>46112</v>
      </c>
      <c r="D208" t="inlineStr">
        <is>
          <t>ÖREBRO LÄN</t>
        </is>
      </c>
      <c r="E208" t="inlineStr">
        <is>
          <t>HÄLLEFORS</t>
        </is>
      </c>
      <c r="F208" t="inlineStr">
        <is>
          <t>Bergvik skog väst AB</t>
        </is>
      </c>
      <c r="G208" t="n">
        <v>3.7</v>
      </c>
      <c r="H208" t="n">
        <v>0</v>
      </c>
      <c r="I208" t="n">
        <v>0</v>
      </c>
      <c r="J208" t="n">
        <v>0</v>
      </c>
      <c r="K208" t="n">
        <v>0</v>
      </c>
      <c r="L208" t="n">
        <v>0</v>
      </c>
      <c r="M208" t="n">
        <v>0</v>
      </c>
      <c r="N208" t="n">
        <v>0</v>
      </c>
      <c r="O208" t="n">
        <v>0</v>
      </c>
      <c r="P208" t="n">
        <v>0</v>
      </c>
      <c r="Q208" t="n">
        <v>0</v>
      </c>
      <c r="R208" s="2" t="inlineStr"/>
    </row>
    <row r="209" ht="15" customHeight="1">
      <c r="A209" t="inlineStr">
        <is>
          <t>A 18582-2025</t>
        </is>
      </c>
      <c r="B209" s="1" t="n">
        <v>45763</v>
      </c>
      <c r="C209" s="1" t="n">
        <v>46112</v>
      </c>
      <c r="D209" t="inlineStr">
        <is>
          <t>ÖREBRO LÄN</t>
        </is>
      </c>
      <c r="E209" t="inlineStr">
        <is>
          <t>HÄLLEFORS</t>
        </is>
      </c>
      <c r="F209" t="inlineStr">
        <is>
          <t>Bergvik skog väst AB</t>
        </is>
      </c>
      <c r="G209" t="n">
        <v>4.1</v>
      </c>
      <c r="H209" t="n">
        <v>0</v>
      </c>
      <c r="I209" t="n">
        <v>0</v>
      </c>
      <c r="J209" t="n">
        <v>0</v>
      </c>
      <c r="K209" t="n">
        <v>0</v>
      </c>
      <c r="L209" t="n">
        <v>0</v>
      </c>
      <c r="M209" t="n">
        <v>0</v>
      </c>
      <c r="N209" t="n">
        <v>0</v>
      </c>
      <c r="O209" t="n">
        <v>0</v>
      </c>
      <c r="P209" t="n">
        <v>0</v>
      </c>
      <c r="Q209" t="n">
        <v>0</v>
      </c>
      <c r="R209" s="2" t="inlineStr"/>
    </row>
    <row r="210" ht="15" customHeight="1">
      <c r="A210" t="inlineStr">
        <is>
          <t>A 48765-2025</t>
        </is>
      </c>
      <c r="B210" s="1" t="n">
        <v>45936.85859953704</v>
      </c>
      <c r="C210" s="1" t="n">
        <v>46112</v>
      </c>
      <c r="D210" t="inlineStr">
        <is>
          <t>ÖREBRO LÄN</t>
        </is>
      </c>
      <c r="E210" t="inlineStr">
        <is>
          <t>HÄLLEFORS</t>
        </is>
      </c>
      <c r="F210" t="inlineStr">
        <is>
          <t>Bergvik skog väst AB</t>
        </is>
      </c>
      <c r="G210" t="n">
        <v>17.6</v>
      </c>
      <c r="H210" t="n">
        <v>0</v>
      </c>
      <c r="I210" t="n">
        <v>0</v>
      </c>
      <c r="J210" t="n">
        <v>0</v>
      </c>
      <c r="K210" t="n">
        <v>0</v>
      </c>
      <c r="L210" t="n">
        <v>0</v>
      </c>
      <c r="M210" t="n">
        <v>0</v>
      </c>
      <c r="N210" t="n">
        <v>0</v>
      </c>
      <c r="O210" t="n">
        <v>0</v>
      </c>
      <c r="P210" t="n">
        <v>0</v>
      </c>
      <c r="Q210" t="n">
        <v>0</v>
      </c>
      <c r="R210" s="2" t="inlineStr"/>
    </row>
    <row r="211" ht="15" customHeight="1">
      <c r="A211" t="inlineStr">
        <is>
          <t>A 38532-2025</t>
        </is>
      </c>
      <c r="B211" s="1" t="n">
        <v>45884</v>
      </c>
      <c r="C211" s="1" t="n">
        <v>46112</v>
      </c>
      <c r="D211" t="inlineStr">
        <is>
          <t>ÖREBRO LÄN</t>
        </is>
      </c>
      <c r="E211" t="inlineStr">
        <is>
          <t>HÄLLEFORS</t>
        </is>
      </c>
      <c r="F211" t="inlineStr">
        <is>
          <t>Bergvik skog väst AB</t>
        </is>
      </c>
      <c r="G211" t="n">
        <v>6.6</v>
      </c>
      <c r="H211" t="n">
        <v>0</v>
      </c>
      <c r="I211" t="n">
        <v>0</v>
      </c>
      <c r="J211" t="n">
        <v>0</v>
      </c>
      <c r="K211" t="n">
        <v>0</v>
      </c>
      <c r="L211" t="n">
        <v>0</v>
      </c>
      <c r="M211" t="n">
        <v>0</v>
      </c>
      <c r="N211" t="n">
        <v>0</v>
      </c>
      <c r="O211" t="n">
        <v>0</v>
      </c>
      <c r="P211" t="n">
        <v>0</v>
      </c>
      <c r="Q211" t="n">
        <v>0</v>
      </c>
      <c r="R211" s="2" t="inlineStr"/>
    </row>
    <row r="212" ht="15" customHeight="1">
      <c r="A212" t="inlineStr">
        <is>
          <t>A 5263-2025</t>
        </is>
      </c>
      <c r="B212" s="1" t="n">
        <v>45692.37509259259</v>
      </c>
      <c r="C212" s="1" t="n">
        <v>46112</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47190-2022</t>
        </is>
      </c>
      <c r="B213" s="1" t="n">
        <v>44852</v>
      </c>
      <c r="C213" s="1" t="n">
        <v>46112</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34478-2022</t>
        </is>
      </c>
      <c r="B214" s="1" t="n">
        <v>44792.64494212963</v>
      </c>
      <c r="C214" s="1" t="n">
        <v>46112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12673-2026</t>
        </is>
      </c>
      <c r="B215" s="1" t="n">
        <v>46090.30780092593</v>
      </c>
      <c r="C215" s="1" t="n">
        <v>46112</v>
      </c>
      <c r="D215" t="inlineStr">
        <is>
          <t>ÖREBRO LÄN</t>
        </is>
      </c>
      <c r="E215" t="inlineStr">
        <is>
          <t>HÄLLEFORS</t>
        </is>
      </c>
      <c r="G215" t="n">
        <v>13.1</v>
      </c>
      <c r="H215" t="n">
        <v>0</v>
      </c>
      <c r="I215" t="n">
        <v>0</v>
      </c>
      <c r="J215" t="n">
        <v>0</v>
      </c>
      <c r="K215" t="n">
        <v>0</v>
      </c>
      <c r="L215" t="n">
        <v>0</v>
      </c>
      <c r="M215" t="n">
        <v>0</v>
      </c>
      <c r="N215" t="n">
        <v>0</v>
      </c>
      <c r="O215" t="n">
        <v>0</v>
      </c>
      <c r="P215" t="n">
        <v>0</v>
      </c>
      <c r="Q215" t="n">
        <v>0</v>
      </c>
      <c r="R215" s="2" t="inlineStr"/>
    </row>
    <row r="216" ht="15" customHeight="1">
      <c r="A216" t="inlineStr">
        <is>
          <t>A 15013-2024</t>
        </is>
      </c>
      <c r="B216" s="1" t="n">
        <v>45399</v>
      </c>
      <c r="C216" s="1" t="n">
        <v>46112</v>
      </c>
      <c r="D216" t="inlineStr">
        <is>
          <t>ÖREBRO LÄN</t>
        </is>
      </c>
      <c r="E216" t="inlineStr">
        <is>
          <t>HÄLLEFORS</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46980-2023</t>
        </is>
      </c>
      <c r="B217" s="1" t="n">
        <v>45201</v>
      </c>
      <c r="C217" s="1" t="n">
        <v>46112</v>
      </c>
      <c r="D217" t="inlineStr">
        <is>
          <t>ÖREBRO LÄN</t>
        </is>
      </c>
      <c r="E217" t="inlineStr">
        <is>
          <t>HÄLLEFORS</t>
        </is>
      </c>
      <c r="F217" t="inlineStr">
        <is>
          <t>Bergvik skog väst AB</t>
        </is>
      </c>
      <c r="G217" t="n">
        <v>7.5</v>
      </c>
      <c r="H217" t="n">
        <v>0</v>
      </c>
      <c r="I217" t="n">
        <v>0</v>
      </c>
      <c r="J217" t="n">
        <v>0</v>
      </c>
      <c r="K217" t="n">
        <v>0</v>
      </c>
      <c r="L217" t="n">
        <v>0</v>
      </c>
      <c r="M217" t="n">
        <v>0</v>
      </c>
      <c r="N217" t="n">
        <v>0</v>
      </c>
      <c r="O217" t="n">
        <v>0</v>
      </c>
      <c r="P217" t="n">
        <v>0</v>
      </c>
      <c r="Q217" t="n">
        <v>0</v>
      </c>
      <c r="R217" s="2" t="inlineStr"/>
    </row>
    <row r="218" ht="15" customHeight="1">
      <c r="A218" t="inlineStr">
        <is>
          <t>A 50881-2025</t>
        </is>
      </c>
      <c r="B218" s="1" t="n">
        <v>45946.62914351852</v>
      </c>
      <c r="C218" s="1" t="n">
        <v>46112</v>
      </c>
      <c r="D218" t="inlineStr">
        <is>
          <t>ÖREBRO LÄN</t>
        </is>
      </c>
      <c r="E218" t="inlineStr">
        <is>
          <t>HÄLLEFORS</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50794-2025</t>
        </is>
      </c>
      <c r="B219" s="1" t="n">
        <v>45946.47722222222</v>
      </c>
      <c r="C219" s="1" t="n">
        <v>46112</v>
      </c>
      <c r="D219" t="inlineStr">
        <is>
          <t>ÖREBRO LÄN</t>
        </is>
      </c>
      <c r="E219" t="inlineStr">
        <is>
          <t>HÄLLEFORS</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50798-2025</t>
        </is>
      </c>
      <c r="B220" s="1" t="n">
        <v>45946.48537037037</v>
      </c>
      <c r="C220" s="1" t="n">
        <v>46112</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1019-2025</t>
        </is>
      </c>
      <c r="B221" s="1" t="n">
        <v>45666.49216435185</v>
      </c>
      <c r="C221" s="1" t="n">
        <v>46112</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55747-2024</t>
        </is>
      </c>
      <c r="B222" s="1" t="n">
        <v>45623.32141203704</v>
      </c>
      <c r="C222" s="1" t="n">
        <v>46112</v>
      </c>
      <c r="D222" t="inlineStr">
        <is>
          <t>ÖREBRO LÄN</t>
        </is>
      </c>
      <c r="E222" t="inlineStr">
        <is>
          <t>HÄLLEFORS</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39171-2024</t>
        </is>
      </c>
      <c r="B223" s="1" t="n">
        <v>45548</v>
      </c>
      <c r="C223" s="1" t="n">
        <v>46112</v>
      </c>
      <c r="D223" t="inlineStr">
        <is>
          <t>ÖREBRO LÄN</t>
        </is>
      </c>
      <c r="E223" t="inlineStr">
        <is>
          <t>HÄLLEFORS</t>
        </is>
      </c>
      <c r="G223" t="n">
        <v>3.8</v>
      </c>
      <c r="H223" t="n">
        <v>0</v>
      </c>
      <c r="I223" t="n">
        <v>0</v>
      </c>
      <c r="J223" t="n">
        <v>0</v>
      </c>
      <c r="K223" t="n">
        <v>0</v>
      </c>
      <c r="L223" t="n">
        <v>0</v>
      </c>
      <c r="M223" t="n">
        <v>0</v>
      </c>
      <c r="N223" t="n">
        <v>0</v>
      </c>
      <c r="O223" t="n">
        <v>0</v>
      </c>
      <c r="P223" t="n">
        <v>0</v>
      </c>
      <c r="Q223" t="n">
        <v>0</v>
      </c>
      <c r="R223" s="2" t="inlineStr"/>
    </row>
    <row r="224" ht="15" customHeight="1">
      <c r="A224" t="inlineStr">
        <is>
          <t>A 55397-2023</t>
        </is>
      </c>
      <c r="B224" s="1" t="n">
        <v>45238</v>
      </c>
      <c r="C224" s="1" t="n">
        <v>46112</v>
      </c>
      <c r="D224" t="inlineStr">
        <is>
          <t>ÖREBRO LÄN</t>
        </is>
      </c>
      <c r="E224" t="inlineStr">
        <is>
          <t>HÄLLEFORS</t>
        </is>
      </c>
      <c r="G224" t="n">
        <v>1.3</v>
      </c>
      <c r="H224" t="n">
        <v>0</v>
      </c>
      <c r="I224" t="n">
        <v>0</v>
      </c>
      <c r="J224" t="n">
        <v>0</v>
      </c>
      <c r="K224" t="n">
        <v>0</v>
      </c>
      <c r="L224" t="n">
        <v>0</v>
      </c>
      <c r="M224" t="n">
        <v>0</v>
      </c>
      <c r="N224" t="n">
        <v>0</v>
      </c>
      <c r="O224" t="n">
        <v>0</v>
      </c>
      <c r="P224" t="n">
        <v>0</v>
      </c>
      <c r="Q224" t="n">
        <v>0</v>
      </c>
      <c r="R224" s="2" t="inlineStr"/>
    </row>
    <row r="225" ht="15" customHeight="1">
      <c r="A225" t="inlineStr">
        <is>
          <t>A 17050-2025</t>
        </is>
      </c>
      <c r="B225" s="1" t="n">
        <v>45755.5997337963</v>
      </c>
      <c r="C225" s="1" t="n">
        <v>46112</v>
      </c>
      <c r="D225" t="inlineStr">
        <is>
          <t>ÖREBRO LÄN</t>
        </is>
      </c>
      <c r="E225" t="inlineStr">
        <is>
          <t>HÄLLEFORS</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52125-2025</t>
        </is>
      </c>
      <c r="B226" s="1" t="n">
        <v>45952.72060185186</v>
      </c>
      <c r="C226" s="1" t="n">
        <v>46112</v>
      </c>
      <c r="D226" t="inlineStr">
        <is>
          <t>ÖREBRO LÄN</t>
        </is>
      </c>
      <c r="E226" t="inlineStr">
        <is>
          <t>HÄLLEFORS</t>
        </is>
      </c>
      <c r="G226" t="n">
        <v>4</v>
      </c>
      <c r="H226" t="n">
        <v>0</v>
      </c>
      <c r="I226" t="n">
        <v>0</v>
      </c>
      <c r="J226" t="n">
        <v>0</v>
      </c>
      <c r="K226" t="n">
        <v>0</v>
      </c>
      <c r="L226" t="n">
        <v>0</v>
      </c>
      <c r="M226" t="n">
        <v>0</v>
      </c>
      <c r="N226" t="n">
        <v>0</v>
      </c>
      <c r="O226" t="n">
        <v>0</v>
      </c>
      <c r="P226" t="n">
        <v>0</v>
      </c>
      <c r="Q226" t="n">
        <v>0</v>
      </c>
      <c r="R226" s="2" t="inlineStr"/>
    </row>
    <row r="227" ht="15" customHeight="1">
      <c r="A227" t="inlineStr">
        <is>
          <t>A 16169-2025</t>
        </is>
      </c>
      <c r="B227" s="1" t="n">
        <v>45750</v>
      </c>
      <c r="C227" s="1" t="n">
        <v>46112</v>
      </c>
      <c r="D227" t="inlineStr">
        <is>
          <t>ÖREBRO LÄN</t>
        </is>
      </c>
      <c r="E227" t="inlineStr">
        <is>
          <t>HÄLLEFORS</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26537-2021</t>
        </is>
      </c>
      <c r="B228" s="1" t="n">
        <v>44348</v>
      </c>
      <c r="C228" s="1" t="n">
        <v>46112</v>
      </c>
      <c r="D228" t="inlineStr">
        <is>
          <t>ÖREBRO LÄN</t>
        </is>
      </c>
      <c r="E228" t="inlineStr">
        <is>
          <t>HÄLLEFORS</t>
        </is>
      </c>
      <c r="F228" t="inlineStr">
        <is>
          <t>Bergvik skog väst AB</t>
        </is>
      </c>
      <c r="G228" t="n">
        <v>0.3</v>
      </c>
      <c r="H228" t="n">
        <v>0</v>
      </c>
      <c r="I228" t="n">
        <v>0</v>
      </c>
      <c r="J228" t="n">
        <v>0</v>
      </c>
      <c r="K228" t="n">
        <v>0</v>
      </c>
      <c r="L228" t="n">
        <v>0</v>
      </c>
      <c r="M228" t="n">
        <v>0</v>
      </c>
      <c r="N228" t="n">
        <v>0</v>
      </c>
      <c r="O228" t="n">
        <v>0</v>
      </c>
      <c r="P228" t="n">
        <v>0</v>
      </c>
      <c r="Q228" t="n">
        <v>0</v>
      </c>
      <c r="R228" s="2" t="inlineStr"/>
    </row>
    <row r="229" ht="15" customHeight="1">
      <c r="A229" t="inlineStr">
        <is>
          <t>A 52449-2025</t>
        </is>
      </c>
      <c r="B229" s="1" t="n">
        <v>45954.41862268518</v>
      </c>
      <c r="C229" s="1" t="n">
        <v>46112</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52453-2025</t>
        </is>
      </c>
      <c r="B230" s="1" t="n">
        <v>45954.42596064815</v>
      </c>
      <c r="C230" s="1" t="n">
        <v>46112</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18664-2025</t>
        </is>
      </c>
      <c r="B231" s="1" t="n">
        <v>45763.58991898148</v>
      </c>
      <c r="C231" s="1" t="n">
        <v>46112</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46599-2024</t>
        </is>
      </c>
      <c r="B232" s="1" t="n">
        <v>45582</v>
      </c>
      <c r="C232" s="1" t="n">
        <v>46112</v>
      </c>
      <c r="D232" t="inlineStr">
        <is>
          <t>ÖREBRO LÄN</t>
        </is>
      </c>
      <c r="E232" t="inlineStr">
        <is>
          <t>HÄLLEFORS</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53335-2025</t>
        </is>
      </c>
      <c r="B233" s="1" t="n">
        <v>45959.38943287037</v>
      </c>
      <c r="C233" s="1" t="n">
        <v>46112</v>
      </c>
      <c r="D233" t="inlineStr">
        <is>
          <t>ÖREBRO LÄN</t>
        </is>
      </c>
      <c r="E233" t="inlineStr">
        <is>
          <t>HÄLLEFORS</t>
        </is>
      </c>
      <c r="G233" t="n">
        <v>2</v>
      </c>
      <c r="H233" t="n">
        <v>0</v>
      </c>
      <c r="I233" t="n">
        <v>0</v>
      </c>
      <c r="J233" t="n">
        <v>0</v>
      </c>
      <c r="K233" t="n">
        <v>0</v>
      </c>
      <c r="L233" t="n">
        <v>0</v>
      </c>
      <c r="M233" t="n">
        <v>0</v>
      </c>
      <c r="N233" t="n">
        <v>0</v>
      </c>
      <c r="O233" t="n">
        <v>0</v>
      </c>
      <c r="P233" t="n">
        <v>0</v>
      </c>
      <c r="Q233" t="n">
        <v>0</v>
      </c>
      <c r="R233" s="2" t="inlineStr"/>
    </row>
    <row r="234" ht="15" customHeight="1">
      <c r="A234" t="inlineStr">
        <is>
          <t>A 53337-2025</t>
        </is>
      </c>
      <c r="B234" s="1" t="n">
        <v>45959.40310185185</v>
      </c>
      <c r="C234" s="1" t="n">
        <v>46112</v>
      </c>
      <c r="D234" t="inlineStr">
        <is>
          <t>ÖREBRO LÄN</t>
        </is>
      </c>
      <c r="E234" t="inlineStr">
        <is>
          <t>HÄLLEFORS</t>
        </is>
      </c>
      <c r="G234" t="n">
        <v>4.8</v>
      </c>
      <c r="H234" t="n">
        <v>0</v>
      </c>
      <c r="I234" t="n">
        <v>0</v>
      </c>
      <c r="J234" t="n">
        <v>0</v>
      </c>
      <c r="K234" t="n">
        <v>0</v>
      </c>
      <c r="L234" t="n">
        <v>0</v>
      </c>
      <c r="M234" t="n">
        <v>0</v>
      </c>
      <c r="N234" t="n">
        <v>0</v>
      </c>
      <c r="O234" t="n">
        <v>0</v>
      </c>
      <c r="P234" t="n">
        <v>0</v>
      </c>
      <c r="Q234" t="n">
        <v>0</v>
      </c>
      <c r="R234" s="2" t="inlineStr"/>
    </row>
    <row r="235" ht="15" customHeight="1">
      <c r="A235" t="inlineStr">
        <is>
          <t>A 623-2023</t>
        </is>
      </c>
      <c r="B235" s="1" t="n">
        <v>44930</v>
      </c>
      <c r="C235" s="1" t="n">
        <v>46112</v>
      </c>
      <c r="D235" t="inlineStr">
        <is>
          <t>ÖREBRO LÄN</t>
        </is>
      </c>
      <c r="E235" t="inlineStr">
        <is>
          <t>HÄLLEFORS</t>
        </is>
      </c>
      <c r="G235" t="n">
        <v>1.4</v>
      </c>
      <c r="H235" t="n">
        <v>0</v>
      </c>
      <c r="I235" t="n">
        <v>0</v>
      </c>
      <c r="J235" t="n">
        <v>0</v>
      </c>
      <c r="K235" t="n">
        <v>0</v>
      </c>
      <c r="L235" t="n">
        <v>0</v>
      </c>
      <c r="M235" t="n">
        <v>0</v>
      </c>
      <c r="N235" t="n">
        <v>0</v>
      </c>
      <c r="O235" t="n">
        <v>0</v>
      </c>
      <c r="P235" t="n">
        <v>0</v>
      </c>
      <c r="Q235" t="n">
        <v>0</v>
      </c>
      <c r="R235" s="2" t="inlineStr"/>
    </row>
    <row r="236" ht="15" customHeight="1">
      <c r="A236" t="inlineStr">
        <is>
          <t>A 53341-2025</t>
        </is>
      </c>
      <c r="B236" s="1" t="n">
        <v>45959.41048611111</v>
      </c>
      <c r="C236" s="1" t="n">
        <v>46112</v>
      </c>
      <c r="D236" t="inlineStr">
        <is>
          <t>ÖREBRO LÄN</t>
        </is>
      </c>
      <c r="E236" t="inlineStr">
        <is>
          <t>HÄLLEFORS</t>
        </is>
      </c>
      <c r="G236" t="n">
        <v>1</v>
      </c>
      <c r="H236" t="n">
        <v>0</v>
      </c>
      <c r="I236" t="n">
        <v>0</v>
      </c>
      <c r="J236" t="n">
        <v>0</v>
      </c>
      <c r="K236" t="n">
        <v>0</v>
      </c>
      <c r="L236" t="n">
        <v>0</v>
      </c>
      <c r="M236" t="n">
        <v>0</v>
      </c>
      <c r="N236" t="n">
        <v>0</v>
      </c>
      <c r="O236" t="n">
        <v>0</v>
      </c>
      <c r="P236" t="n">
        <v>0</v>
      </c>
      <c r="Q236" t="n">
        <v>0</v>
      </c>
      <c r="R236" s="2" t="inlineStr"/>
    </row>
    <row r="237" ht="15" customHeight="1">
      <c r="A237" t="inlineStr">
        <is>
          <t>A 53952-2025</t>
        </is>
      </c>
      <c r="B237" s="1" t="n">
        <v>45961.5049537037</v>
      </c>
      <c r="C237" s="1" t="n">
        <v>46112</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60303-2024</t>
        </is>
      </c>
      <c r="B238" s="1" t="n">
        <v>45643</v>
      </c>
      <c r="C238" s="1" t="n">
        <v>46112</v>
      </c>
      <c r="D238" t="inlineStr">
        <is>
          <t>ÖREBRO LÄN</t>
        </is>
      </c>
      <c r="E238" t="inlineStr">
        <is>
          <t>HÄLLEFORS</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53331-2025</t>
        </is>
      </c>
      <c r="B239" s="1" t="n">
        <v>45959.37532407408</v>
      </c>
      <c r="C239" s="1" t="n">
        <v>46112</v>
      </c>
      <c r="D239" t="inlineStr">
        <is>
          <t>ÖREBRO LÄN</t>
        </is>
      </c>
      <c r="E239" t="inlineStr">
        <is>
          <t>HÄLLEFORS</t>
        </is>
      </c>
      <c r="G239" t="n">
        <v>3.2</v>
      </c>
      <c r="H239" t="n">
        <v>0</v>
      </c>
      <c r="I239" t="n">
        <v>0</v>
      </c>
      <c r="J239" t="n">
        <v>0</v>
      </c>
      <c r="K239" t="n">
        <v>0</v>
      </c>
      <c r="L239" t="n">
        <v>0</v>
      </c>
      <c r="M239" t="n">
        <v>0</v>
      </c>
      <c r="N239" t="n">
        <v>0</v>
      </c>
      <c r="O239" t="n">
        <v>0</v>
      </c>
      <c r="P239" t="n">
        <v>0</v>
      </c>
      <c r="Q239" t="n">
        <v>0</v>
      </c>
      <c r="R239" s="2" t="inlineStr"/>
    </row>
    <row r="240" ht="15" customHeight="1">
      <c r="A240" t="inlineStr">
        <is>
          <t>A 6126-2026</t>
        </is>
      </c>
      <c r="B240" s="1" t="n">
        <v>46053.93969907407</v>
      </c>
      <c r="C240" s="1" t="n">
        <v>46112</v>
      </c>
      <c r="D240" t="inlineStr">
        <is>
          <t>ÖREBRO LÄN</t>
        </is>
      </c>
      <c r="E240" t="inlineStr">
        <is>
          <t>HÄLLEFORS</t>
        </is>
      </c>
      <c r="G240" t="n">
        <v>2</v>
      </c>
      <c r="H240" t="n">
        <v>0</v>
      </c>
      <c r="I240" t="n">
        <v>0</v>
      </c>
      <c r="J240" t="n">
        <v>0</v>
      </c>
      <c r="K240" t="n">
        <v>0</v>
      </c>
      <c r="L240" t="n">
        <v>0</v>
      </c>
      <c r="M240" t="n">
        <v>0</v>
      </c>
      <c r="N240" t="n">
        <v>0</v>
      </c>
      <c r="O240" t="n">
        <v>0</v>
      </c>
      <c r="P240" t="n">
        <v>0</v>
      </c>
      <c r="Q240" t="n">
        <v>0</v>
      </c>
      <c r="R240" s="2" t="inlineStr"/>
    </row>
    <row r="241" ht="15" customHeight="1">
      <c r="A241" t="inlineStr">
        <is>
          <t>A 8503-2022</t>
        </is>
      </c>
      <c r="B241" s="1" t="n">
        <v>44613</v>
      </c>
      <c r="C241" s="1" t="n">
        <v>46112</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6127-2026</t>
        </is>
      </c>
      <c r="B242" s="1" t="n">
        <v>46053.99731481481</v>
      </c>
      <c r="C242" s="1" t="n">
        <v>46112</v>
      </c>
      <c r="D242" t="inlineStr">
        <is>
          <t>ÖREBRO LÄN</t>
        </is>
      </c>
      <c r="E242" t="inlineStr">
        <is>
          <t>HÄLLEFORS</t>
        </is>
      </c>
      <c r="G242" t="n">
        <v>7.6</v>
      </c>
      <c r="H242" t="n">
        <v>0</v>
      </c>
      <c r="I242" t="n">
        <v>0</v>
      </c>
      <c r="J242" t="n">
        <v>0</v>
      </c>
      <c r="K242" t="n">
        <v>0</v>
      </c>
      <c r="L242" t="n">
        <v>0</v>
      </c>
      <c r="M242" t="n">
        <v>0</v>
      </c>
      <c r="N242" t="n">
        <v>0</v>
      </c>
      <c r="O242" t="n">
        <v>0</v>
      </c>
      <c r="P242" t="n">
        <v>0</v>
      </c>
      <c r="Q242" t="n">
        <v>0</v>
      </c>
      <c r="R242" s="2" t="inlineStr"/>
    </row>
    <row r="243" ht="15" customHeight="1">
      <c r="A243" t="inlineStr">
        <is>
          <t>A 42920-2024</t>
        </is>
      </c>
      <c r="B243" s="1" t="n">
        <v>45567.29131944444</v>
      </c>
      <c r="C243" s="1" t="n">
        <v>46112</v>
      </c>
      <c r="D243" t="inlineStr">
        <is>
          <t>ÖREBRO LÄN</t>
        </is>
      </c>
      <c r="E243" t="inlineStr">
        <is>
          <t>HÄLLEFORS</t>
        </is>
      </c>
      <c r="F243" t="inlineStr">
        <is>
          <t>Bergvik skog väst AB</t>
        </is>
      </c>
      <c r="G243" t="n">
        <v>5.5</v>
      </c>
      <c r="H243" t="n">
        <v>0</v>
      </c>
      <c r="I243" t="n">
        <v>0</v>
      </c>
      <c r="J243" t="n">
        <v>0</v>
      </c>
      <c r="K243" t="n">
        <v>0</v>
      </c>
      <c r="L243" t="n">
        <v>0</v>
      </c>
      <c r="M243" t="n">
        <v>0</v>
      </c>
      <c r="N243" t="n">
        <v>0</v>
      </c>
      <c r="O243" t="n">
        <v>0</v>
      </c>
      <c r="P243" t="n">
        <v>0</v>
      </c>
      <c r="Q243" t="n">
        <v>0</v>
      </c>
      <c r="R243" s="2" t="inlineStr"/>
    </row>
    <row r="244" ht="15" customHeight="1">
      <c r="A244" t="inlineStr">
        <is>
          <t>A 17041-2025</t>
        </is>
      </c>
      <c r="B244" s="1" t="n">
        <v>45755.58488425926</v>
      </c>
      <c r="C244" s="1" t="n">
        <v>46112</v>
      </c>
      <c r="D244" t="inlineStr">
        <is>
          <t>ÖREBRO LÄN</t>
        </is>
      </c>
      <c r="E244" t="inlineStr">
        <is>
          <t>HÄLLEFORS</t>
        </is>
      </c>
      <c r="F244" t="inlineStr">
        <is>
          <t>Bergvik skog väst AB</t>
        </is>
      </c>
      <c r="G244" t="n">
        <v>3.7</v>
      </c>
      <c r="H244" t="n">
        <v>0</v>
      </c>
      <c r="I244" t="n">
        <v>0</v>
      </c>
      <c r="J244" t="n">
        <v>0</v>
      </c>
      <c r="K244" t="n">
        <v>0</v>
      </c>
      <c r="L244" t="n">
        <v>0</v>
      </c>
      <c r="M244" t="n">
        <v>0</v>
      </c>
      <c r="N244" t="n">
        <v>0</v>
      </c>
      <c r="O244" t="n">
        <v>0</v>
      </c>
      <c r="P244" t="n">
        <v>0</v>
      </c>
      <c r="Q244" t="n">
        <v>0</v>
      </c>
      <c r="R244" s="2" t="inlineStr"/>
    </row>
    <row r="245" ht="15" customHeight="1">
      <c r="A245" t="inlineStr">
        <is>
          <t>A 8513-2022</t>
        </is>
      </c>
      <c r="B245" s="1" t="n">
        <v>44613</v>
      </c>
      <c r="C245" s="1" t="n">
        <v>46112</v>
      </c>
      <c r="D245" t="inlineStr">
        <is>
          <t>ÖREBRO LÄN</t>
        </is>
      </c>
      <c r="E245" t="inlineStr">
        <is>
          <t>HÄLLEFORS</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55183-2025</t>
        </is>
      </c>
      <c r="B246" s="1" t="n">
        <v>45968.533125</v>
      </c>
      <c r="C246" s="1" t="n">
        <v>46112</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11467-2024</t>
        </is>
      </c>
      <c r="B247" s="1" t="n">
        <v>45372.59753472222</v>
      </c>
      <c r="C247" s="1" t="n">
        <v>46112</v>
      </c>
      <c r="D247" t="inlineStr">
        <is>
          <t>ÖREBRO LÄN</t>
        </is>
      </c>
      <c r="E247" t="inlineStr">
        <is>
          <t>HÄLLEFORS</t>
        </is>
      </c>
      <c r="G247" t="n">
        <v>1</v>
      </c>
      <c r="H247" t="n">
        <v>0</v>
      </c>
      <c r="I247" t="n">
        <v>0</v>
      </c>
      <c r="J247" t="n">
        <v>0</v>
      </c>
      <c r="K247" t="n">
        <v>0</v>
      </c>
      <c r="L247" t="n">
        <v>0</v>
      </c>
      <c r="M247" t="n">
        <v>0</v>
      </c>
      <c r="N247" t="n">
        <v>0</v>
      </c>
      <c r="O247" t="n">
        <v>0</v>
      </c>
      <c r="P247" t="n">
        <v>0</v>
      </c>
      <c r="Q247" t="n">
        <v>0</v>
      </c>
      <c r="R247" s="2" t="inlineStr"/>
    </row>
    <row r="248" ht="15" customHeight="1">
      <c r="A248" t="inlineStr">
        <is>
          <t>A 30592-2024</t>
        </is>
      </c>
      <c r="B248" s="1" t="n">
        <v>45493.31666666667</v>
      </c>
      <c r="C248" s="1" t="n">
        <v>46112</v>
      </c>
      <c r="D248" t="inlineStr">
        <is>
          <t>ÖREBRO LÄN</t>
        </is>
      </c>
      <c r="E248" t="inlineStr">
        <is>
          <t>HÄLLEFORS</t>
        </is>
      </c>
      <c r="G248" t="n">
        <v>7.1</v>
      </c>
      <c r="H248" t="n">
        <v>0</v>
      </c>
      <c r="I248" t="n">
        <v>0</v>
      </c>
      <c r="J248" t="n">
        <v>0</v>
      </c>
      <c r="K248" t="n">
        <v>0</v>
      </c>
      <c r="L248" t="n">
        <v>0</v>
      </c>
      <c r="M248" t="n">
        <v>0</v>
      </c>
      <c r="N248" t="n">
        <v>0</v>
      </c>
      <c r="O248" t="n">
        <v>0</v>
      </c>
      <c r="P248" t="n">
        <v>0</v>
      </c>
      <c r="Q248" t="n">
        <v>0</v>
      </c>
      <c r="R248" s="2" t="inlineStr"/>
    </row>
    <row r="249" ht="15" customHeight="1">
      <c r="A249" t="inlineStr">
        <is>
          <t>A 46987-2023</t>
        </is>
      </c>
      <c r="B249" s="1" t="n">
        <v>45201</v>
      </c>
      <c r="C249" s="1" t="n">
        <v>46112</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6774-2026</t>
        </is>
      </c>
      <c r="B250" s="1" t="n">
        <v>46057.29586805555</v>
      </c>
      <c r="C250" s="1" t="n">
        <v>46112</v>
      </c>
      <c r="D250" t="inlineStr">
        <is>
          <t>ÖREBRO LÄN</t>
        </is>
      </c>
      <c r="E250" t="inlineStr">
        <is>
          <t>HÄLLEFORS</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35243-2022</t>
        </is>
      </c>
      <c r="B251" s="1" t="n">
        <v>44798</v>
      </c>
      <c r="C251" s="1" t="n">
        <v>46112</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57494-2025</t>
        </is>
      </c>
      <c r="B252" s="1" t="n">
        <v>45980.5859375</v>
      </c>
      <c r="C252" s="1" t="n">
        <v>46112</v>
      </c>
      <c r="D252" t="inlineStr">
        <is>
          <t>ÖREBRO LÄN</t>
        </is>
      </c>
      <c r="E252" t="inlineStr">
        <is>
          <t>HÄLLEFORS</t>
        </is>
      </c>
      <c r="G252" t="n">
        <v>2.3</v>
      </c>
      <c r="H252" t="n">
        <v>0</v>
      </c>
      <c r="I252" t="n">
        <v>0</v>
      </c>
      <c r="J252" t="n">
        <v>0</v>
      </c>
      <c r="K252" t="n">
        <v>0</v>
      </c>
      <c r="L252" t="n">
        <v>0</v>
      </c>
      <c r="M252" t="n">
        <v>0</v>
      </c>
      <c r="N252" t="n">
        <v>0</v>
      </c>
      <c r="O252" t="n">
        <v>0</v>
      </c>
      <c r="P252" t="n">
        <v>0</v>
      </c>
      <c r="Q252" t="n">
        <v>0</v>
      </c>
      <c r="R252" s="2" t="inlineStr"/>
    </row>
    <row r="253" ht="15" customHeight="1">
      <c r="A253" t="inlineStr">
        <is>
          <t>A 57421-2025</t>
        </is>
      </c>
      <c r="B253" s="1" t="n">
        <v>45980.45798611111</v>
      </c>
      <c r="C253" s="1" t="n">
        <v>46112</v>
      </c>
      <c r="D253" t="inlineStr">
        <is>
          <t>ÖREBRO LÄN</t>
        </is>
      </c>
      <c r="E253" t="inlineStr">
        <is>
          <t>HÄLLEFORS</t>
        </is>
      </c>
      <c r="G253" t="n">
        <v>2.5</v>
      </c>
      <c r="H253" t="n">
        <v>0</v>
      </c>
      <c r="I253" t="n">
        <v>0</v>
      </c>
      <c r="J253" t="n">
        <v>0</v>
      </c>
      <c r="K253" t="n">
        <v>0</v>
      </c>
      <c r="L253" t="n">
        <v>0</v>
      </c>
      <c r="M253" t="n">
        <v>0</v>
      </c>
      <c r="N253" t="n">
        <v>0</v>
      </c>
      <c r="O253" t="n">
        <v>0</v>
      </c>
      <c r="P253" t="n">
        <v>0</v>
      </c>
      <c r="Q253" t="n">
        <v>0</v>
      </c>
      <c r="R253" s="2" t="inlineStr"/>
    </row>
    <row r="254" ht="15" customHeight="1">
      <c r="A254" t="inlineStr">
        <is>
          <t>A 18627-2025</t>
        </is>
      </c>
      <c r="B254" s="1" t="n">
        <v>45763.53284722222</v>
      </c>
      <c r="C254" s="1" t="n">
        <v>46112</v>
      </c>
      <c r="D254" t="inlineStr">
        <is>
          <t>ÖREBRO LÄN</t>
        </is>
      </c>
      <c r="E254" t="inlineStr">
        <is>
          <t>HÄLLEFORS</t>
        </is>
      </c>
      <c r="F254" t="inlineStr">
        <is>
          <t>Bergvik skog väst AB</t>
        </is>
      </c>
      <c r="G254" t="n">
        <v>5.3</v>
      </c>
      <c r="H254" t="n">
        <v>0</v>
      </c>
      <c r="I254" t="n">
        <v>0</v>
      </c>
      <c r="J254" t="n">
        <v>0</v>
      </c>
      <c r="K254" t="n">
        <v>0</v>
      </c>
      <c r="L254" t="n">
        <v>0</v>
      </c>
      <c r="M254" t="n">
        <v>0</v>
      </c>
      <c r="N254" t="n">
        <v>0</v>
      </c>
      <c r="O254" t="n">
        <v>0</v>
      </c>
      <c r="P254" t="n">
        <v>0</v>
      </c>
      <c r="Q254" t="n">
        <v>0</v>
      </c>
      <c r="R254" s="2" t="inlineStr"/>
    </row>
    <row r="255" ht="15" customHeight="1">
      <c r="A255" t="inlineStr">
        <is>
          <t>A 27513-2021</t>
        </is>
      </c>
      <c r="B255" s="1" t="n">
        <v>44351</v>
      </c>
      <c r="C255" s="1" t="n">
        <v>46112</v>
      </c>
      <c r="D255" t="inlineStr">
        <is>
          <t>ÖREBRO LÄN</t>
        </is>
      </c>
      <c r="E255" t="inlineStr">
        <is>
          <t>HÄLLEFORS</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3057-2024</t>
        </is>
      </c>
      <c r="B256" s="1" t="n">
        <v>45316</v>
      </c>
      <c r="C256" s="1" t="n">
        <v>46112</v>
      </c>
      <c r="D256" t="inlineStr">
        <is>
          <t>ÖREBRO LÄN</t>
        </is>
      </c>
      <c r="E256" t="inlineStr">
        <is>
          <t>HÄLLEFORS</t>
        </is>
      </c>
      <c r="F256" t="inlineStr">
        <is>
          <t>Bergvik skog väst AB</t>
        </is>
      </c>
      <c r="G256" t="n">
        <v>12.2</v>
      </c>
      <c r="H256" t="n">
        <v>0</v>
      </c>
      <c r="I256" t="n">
        <v>0</v>
      </c>
      <c r="J256" t="n">
        <v>0</v>
      </c>
      <c r="K256" t="n">
        <v>0</v>
      </c>
      <c r="L256" t="n">
        <v>0</v>
      </c>
      <c r="M256" t="n">
        <v>0</v>
      </c>
      <c r="N256" t="n">
        <v>0</v>
      </c>
      <c r="O256" t="n">
        <v>0</v>
      </c>
      <c r="P256" t="n">
        <v>0</v>
      </c>
      <c r="Q256" t="n">
        <v>0</v>
      </c>
      <c r="R256" s="2" t="inlineStr"/>
    </row>
    <row r="257" ht="15" customHeight="1">
      <c r="A257" t="inlineStr">
        <is>
          <t>A 58930-2025</t>
        </is>
      </c>
      <c r="B257" s="1" t="n">
        <v>45987.55640046296</v>
      </c>
      <c r="C257" s="1" t="n">
        <v>46112</v>
      </c>
      <c r="D257" t="inlineStr">
        <is>
          <t>ÖREBRO LÄN</t>
        </is>
      </c>
      <c r="E257" t="inlineStr">
        <is>
          <t>HÄLLEFORS</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58941-2025</t>
        </is>
      </c>
      <c r="B258" s="1" t="n">
        <v>45987.57491898148</v>
      </c>
      <c r="C258" s="1" t="n">
        <v>46112</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6772-2026</t>
        </is>
      </c>
      <c r="B259" s="1" t="n">
        <v>46057.2934837963</v>
      </c>
      <c r="C259" s="1" t="n">
        <v>46112</v>
      </c>
      <c r="D259" t="inlineStr">
        <is>
          <t>ÖREBRO LÄN</t>
        </is>
      </c>
      <c r="E259" t="inlineStr">
        <is>
          <t>HÄLLEFORS</t>
        </is>
      </c>
      <c r="F259" t="inlineStr">
        <is>
          <t>Bergvik skog väst AB</t>
        </is>
      </c>
      <c r="G259" t="n">
        <v>3.3</v>
      </c>
      <c r="H259" t="n">
        <v>0</v>
      </c>
      <c r="I259" t="n">
        <v>0</v>
      </c>
      <c r="J259" t="n">
        <v>0</v>
      </c>
      <c r="K259" t="n">
        <v>0</v>
      </c>
      <c r="L259" t="n">
        <v>0</v>
      </c>
      <c r="M259" t="n">
        <v>0</v>
      </c>
      <c r="N259" t="n">
        <v>0</v>
      </c>
      <c r="O259" t="n">
        <v>0</v>
      </c>
      <c r="P259" t="n">
        <v>0</v>
      </c>
      <c r="Q259" t="n">
        <v>0</v>
      </c>
      <c r="R259" s="2" t="inlineStr"/>
    </row>
    <row r="260" ht="15" customHeight="1">
      <c r="A260" t="inlineStr">
        <is>
          <t>A 58949-2025</t>
        </is>
      </c>
      <c r="B260" s="1" t="n">
        <v>45987.58652777778</v>
      </c>
      <c r="C260" s="1" t="n">
        <v>46112</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55756-2023</t>
        </is>
      </c>
      <c r="B261" s="1" t="n">
        <v>45239</v>
      </c>
      <c r="C261" s="1" t="n">
        <v>46112</v>
      </c>
      <c r="D261" t="inlineStr">
        <is>
          <t>ÖREBRO LÄN</t>
        </is>
      </c>
      <c r="E261" t="inlineStr">
        <is>
          <t>HÄLLEFORS</t>
        </is>
      </c>
      <c r="G261" t="n">
        <v>1.6</v>
      </c>
      <c r="H261" t="n">
        <v>0</v>
      </c>
      <c r="I261" t="n">
        <v>0</v>
      </c>
      <c r="J261" t="n">
        <v>0</v>
      </c>
      <c r="K261" t="n">
        <v>0</v>
      </c>
      <c r="L261" t="n">
        <v>0</v>
      </c>
      <c r="M261" t="n">
        <v>0</v>
      </c>
      <c r="N261" t="n">
        <v>0</v>
      </c>
      <c r="O261" t="n">
        <v>0</v>
      </c>
      <c r="P261" t="n">
        <v>0</v>
      </c>
      <c r="Q261" t="n">
        <v>0</v>
      </c>
      <c r="R261" s="2" t="inlineStr"/>
    </row>
    <row r="262" ht="15" customHeight="1">
      <c r="A262" t="inlineStr">
        <is>
          <t>A 58938-2025</t>
        </is>
      </c>
      <c r="B262" s="1" t="n">
        <v>45987.56550925926</v>
      </c>
      <c r="C262" s="1" t="n">
        <v>46112</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58942-2025</t>
        </is>
      </c>
      <c r="B263" s="1" t="n">
        <v>45987.57672453704</v>
      </c>
      <c r="C263" s="1" t="n">
        <v>46112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58947-2025</t>
        </is>
      </c>
      <c r="B264" s="1" t="n">
        <v>45987.58177083333</v>
      </c>
      <c r="C264" s="1" t="n">
        <v>46112</v>
      </c>
      <c r="D264" t="inlineStr">
        <is>
          <t>ÖREBRO LÄN</t>
        </is>
      </c>
      <c r="E264" t="inlineStr">
        <is>
          <t>HÄLLEFORS</t>
        </is>
      </c>
      <c r="F264" t="inlineStr">
        <is>
          <t>Bergvik skog väst AB</t>
        </is>
      </c>
      <c r="G264" t="n">
        <v>3.8</v>
      </c>
      <c r="H264" t="n">
        <v>0</v>
      </c>
      <c r="I264" t="n">
        <v>0</v>
      </c>
      <c r="J264" t="n">
        <v>0</v>
      </c>
      <c r="K264" t="n">
        <v>0</v>
      </c>
      <c r="L264" t="n">
        <v>0</v>
      </c>
      <c r="M264" t="n">
        <v>0</v>
      </c>
      <c r="N264" t="n">
        <v>0</v>
      </c>
      <c r="O264" t="n">
        <v>0</v>
      </c>
      <c r="P264" t="n">
        <v>0</v>
      </c>
      <c r="Q264" t="n">
        <v>0</v>
      </c>
      <c r="R264" s="2" t="inlineStr"/>
    </row>
    <row r="265" ht="15" customHeight="1">
      <c r="A265" t="inlineStr">
        <is>
          <t>A 14342-2026</t>
        </is>
      </c>
      <c r="B265" s="1" t="n">
        <v>46100.33013888889</v>
      </c>
      <c r="C265" s="1" t="n">
        <v>46112</v>
      </c>
      <c r="D265" t="inlineStr">
        <is>
          <t>ÖREBRO LÄN</t>
        </is>
      </c>
      <c r="E265" t="inlineStr">
        <is>
          <t>HÄLLEFORS</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14343-2026</t>
        </is>
      </c>
      <c r="B266" s="1" t="n">
        <v>46100.33061342593</v>
      </c>
      <c r="C266" s="1" t="n">
        <v>46112</v>
      </c>
      <c r="D266" t="inlineStr">
        <is>
          <t>ÖREBRO LÄN</t>
        </is>
      </c>
      <c r="E266" t="inlineStr">
        <is>
          <t>HÄLLEFORS</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58940-2025</t>
        </is>
      </c>
      <c r="B267" s="1" t="n">
        <v>45987.57128472222</v>
      </c>
      <c r="C267" s="1" t="n">
        <v>46112</v>
      </c>
      <c r="D267" t="inlineStr">
        <is>
          <t>ÖREBRO LÄN</t>
        </is>
      </c>
      <c r="E267" t="inlineStr">
        <is>
          <t>HÄLLEFORS</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58934-2025</t>
        </is>
      </c>
      <c r="B268" s="1" t="n">
        <v>45987.56333333333</v>
      </c>
      <c r="C268" s="1" t="n">
        <v>46112</v>
      </c>
      <c r="D268" t="inlineStr">
        <is>
          <t>ÖREBRO LÄN</t>
        </is>
      </c>
      <c r="E268" t="inlineStr">
        <is>
          <t>HÄLLEFORS</t>
        </is>
      </c>
      <c r="F268" t="inlineStr">
        <is>
          <t>Bergvik skog väst AB</t>
        </is>
      </c>
      <c r="G268" t="n">
        <v>4.8</v>
      </c>
      <c r="H268" t="n">
        <v>0</v>
      </c>
      <c r="I268" t="n">
        <v>0</v>
      </c>
      <c r="J268" t="n">
        <v>0</v>
      </c>
      <c r="K268" t="n">
        <v>0</v>
      </c>
      <c r="L268" t="n">
        <v>0</v>
      </c>
      <c r="M268" t="n">
        <v>0</v>
      </c>
      <c r="N268" t="n">
        <v>0</v>
      </c>
      <c r="O268" t="n">
        <v>0</v>
      </c>
      <c r="P268" t="n">
        <v>0</v>
      </c>
      <c r="Q268" t="n">
        <v>0</v>
      </c>
      <c r="R268" s="2" t="inlineStr"/>
    </row>
    <row r="269" ht="15" customHeight="1">
      <c r="A269" t="inlineStr">
        <is>
          <t>A 19055-2024</t>
        </is>
      </c>
      <c r="B269" s="1" t="n">
        <v>45427.79534722222</v>
      </c>
      <c r="C269" s="1" t="n">
        <v>46112</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16928-2025</t>
        </is>
      </c>
      <c r="B270" s="1" t="n">
        <v>45755.39711805555</v>
      </c>
      <c r="C270" s="1" t="n">
        <v>46112</v>
      </c>
      <c r="D270" t="inlineStr">
        <is>
          <t>ÖREBRO LÄN</t>
        </is>
      </c>
      <c r="E270" t="inlineStr">
        <is>
          <t>HÄLLEFORS</t>
        </is>
      </c>
      <c r="F270" t="inlineStr">
        <is>
          <t>Bergvik skog väst AB</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8095-2026</t>
        </is>
      </c>
      <c r="B271" s="1" t="n">
        <v>46063.71302083333</v>
      </c>
      <c r="C271" s="1" t="n">
        <v>46112</v>
      </c>
      <c r="D271" t="inlineStr">
        <is>
          <t>ÖREBRO LÄN</t>
        </is>
      </c>
      <c r="E271" t="inlineStr">
        <is>
          <t>HÄLLEFORS</t>
        </is>
      </c>
      <c r="G271" t="n">
        <v>2.7</v>
      </c>
      <c r="H271" t="n">
        <v>0</v>
      </c>
      <c r="I271" t="n">
        <v>0</v>
      </c>
      <c r="J271" t="n">
        <v>0</v>
      </c>
      <c r="K271" t="n">
        <v>0</v>
      </c>
      <c r="L271" t="n">
        <v>0</v>
      </c>
      <c r="M271" t="n">
        <v>0</v>
      </c>
      <c r="N271" t="n">
        <v>0</v>
      </c>
      <c r="O271" t="n">
        <v>0</v>
      </c>
      <c r="P271" t="n">
        <v>0</v>
      </c>
      <c r="Q271" t="n">
        <v>0</v>
      </c>
      <c r="R271" s="2" t="inlineStr"/>
    </row>
    <row r="272" ht="15" customHeight="1">
      <c r="A272" t="inlineStr">
        <is>
          <t>A 8099-2026</t>
        </is>
      </c>
      <c r="B272" s="1" t="n">
        <v>46063.7159837963</v>
      </c>
      <c r="C272" s="1" t="n">
        <v>46112</v>
      </c>
      <c r="D272" t="inlineStr">
        <is>
          <t>ÖREBRO LÄN</t>
        </is>
      </c>
      <c r="E272" t="inlineStr">
        <is>
          <t>HÄLLEFORS</t>
        </is>
      </c>
      <c r="G272" t="n">
        <v>1.6</v>
      </c>
      <c r="H272" t="n">
        <v>0</v>
      </c>
      <c r="I272" t="n">
        <v>0</v>
      </c>
      <c r="J272" t="n">
        <v>0</v>
      </c>
      <c r="K272" t="n">
        <v>0</v>
      </c>
      <c r="L272" t="n">
        <v>0</v>
      </c>
      <c r="M272" t="n">
        <v>0</v>
      </c>
      <c r="N272" t="n">
        <v>0</v>
      </c>
      <c r="O272" t="n">
        <v>0</v>
      </c>
      <c r="P272" t="n">
        <v>0</v>
      </c>
      <c r="Q272" t="n">
        <v>0</v>
      </c>
      <c r="R272" s="2" t="inlineStr"/>
    </row>
    <row r="273" ht="15" customHeight="1">
      <c r="A273" t="inlineStr">
        <is>
          <t>A 44107-2024</t>
        </is>
      </c>
      <c r="B273" s="1" t="n">
        <v>45572.63357638889</v>
      </c>
      <c r="C273" s="1" t="n">
        <v>46112</v>
      </c>
      <c r="D273" t="inlineStr">
        <is>
          <t>ÖREBRO LÄN</t>
        </is>
      </c>
      <c r="E273" t="inlineStr">
        <is>
          <t>HÄLLEFORS</t>
        </is>
      </c>
      <c r="F273" t="inlineStr">
        <is>
          <t>Bergvik skog väst AB</t>
        </is>
      </c>
      <c r="G273" t="n">
        <v>4.9</v>
      </c>
      <c r="H273" t="n">
        <v>0</v>
      </c>
      <c r="I273" t="n">
        <v>0</v>
      </c>
      <c r="J273" t="n">
        <v>0</v>
      </c>
      <c r="K273" t="n">
        <v>0</v>
      </c>
      <c r="L273" t="n">
        <v>0</v>
      </c>
      <c r="M273" t="n">
        <v>0</v>
      </c>
      <c r="N273" t="n">
        <v>0</v>
      </c>
      <c r="O273" t="n">
        <v>0</v>
      </c>
      <c r="P273" t="n">
        <v>0</v>
      </c>
      <c r="Q273" t="n">
        <v>0</v>
      </c>
      <c r="R273" s="2" t="inlineStr"/>
    </row>
    <row r="274" ht="15" customHeight="1">
      <c r="A274" t="inlineStr">
        <is>
          <t>A 18605-2025</t>
        </is>
      </c>
      <c r="B274" s="1" t="n">
        <v>45763.49344907407</v>
      </c>
      <c r="C274" s="1" t="n">
        <v>46112</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51212-2023</t>
        </is>
      </c>
      <c r="B275" s="1" t="n">
        <v>45219.44366898148</v>
      </c>
      <c r="C275" s="1" t="n">
        <v>46112</v>
      </c>
      <c r="D275" t="inlineStr">
        <is>
          <t>ÖREBRO LÄN</t>
        </is>
      </c>
      <c r="E275" t="inlineStr">
        <is>
          <t>HÄLLEFORS</t>
        </is>
      </c>
      <c r="F275" t="inlineStr">
        <is>
          <t>Bergvik skog väst AB</t>
        </is>
      </c>
      <c r="G275" t="n">
        <v>2.3</v>
      </c>
      <c r="H275" t="n">
        <v>0</v>
      </c>
      <c r="I275" t="n">
        <v>0</v>
      </c>
      <c r="J275" t="n">
        <v>0</v>
      </c>
      <c r="K275" t="n">
        <v>0</v>
      </c>
      <c r="L275" t="n">
        <v>0</v>
      </c>
      <c r="M275" t="n">
        <v>0</v>
      </c>
      <c r="N275" t="n">
        <v>0</v>
      </c>
      <c r="O275" t="n">
        <v>0</v>
      </c>
      <c r="P275" t="n">
        <v>0</v>
      </c>
      <c r="Q275" t="n">
        <v>0</v>
      </c>
      <c r="R275" s="2" t="inlineStr"/>
    </row>
    <row r="276" ht="15" customHeight="1">
      <c r="A276" t="inlineStr">
        <is>
          <t>A 45710-2023</t>
        </is>
      </c>
      <c r="B276" s="1" t="n">
        <v>45195.35254629629</v>
      </c>
      <c r="C276" s="1" t="n">
        <v>46112</v>
      </c>
      <c r="D276" t="inlineStr">
        <is>
          <t>ÖREBRO LÄN</t>
        </is>
      </c>
      <c r="E276" t="inlineStr">
        <is>
          <t>HÄLLEFORS</t>
        </is>
      </c>
      <c r="G276" t="n">
        <v>5.4</v>
      </c>
      <c r="H276" t="n">
        <v>0</v>
      </c>
      <c r="I276" t="n">
        <v>0</v>
      </c>
      <c r="J276" t="n">
        <v>0</v>
      </c>
      <c r="K276" t="n">
        <v>0</v>
      </c>
      <c r="L276" t="n">
        <v>0</v>
      </c>
      <c r="M276" t="n">
        <v>0</v>
      </c>
      <c r="N276" t="n">
        <v>0</v>
      </c>
      <c r="O276" t="n">
        <v>0</v>
      </c>
      <c r="P276" t="n">
        <v>0</v>
      </c>
      <c r="Q276" t="n">
        <v>0</v>
      </c>
      <c r="R276" s="2" t="inlineStr"/>
    </row>
    <row r="277" ht="15" customHeight="1">
      <c r="A277" t="inlineStr">
        <is>
          <t>A 8064-2026</t>
        </is>
      </c>
      <c r="B277" s="1" t="n">
        <v>46063.6312962963</v>
      </c>
      <c r="C277" s="1" t="n">
        <v>46112</v>
      </c>
      <c r="D277" t="inlineStr">
        <is>
          <t>ÖREBRO LÄN</t>
        </is>
      </c>
      <c r="E277" t="inlineStr">
        <is>
          <t>HÄLLEFORS</t>
        </is>
      </c>
      <c r="G277" t="n">
        <v>6</v>
      </c>
      <c r="H277" t="n">
        <v>0</v>
      </c>
      <c r="I277" t="n">
        <v>0</v>
      </c>
      <c r="J277" t="n">
        <v>0</v>
      </c>
      <c r="K277" t="n">
        <v>0</v>
      </c>
      <c r="L277" t="n">
        <v>0</v>
      </c>
      <c r="M277" t="n">
        <v>0</v>
      </c>
      <c r="N277" t="n">
        <v>0</v>
      </c>
      <c r="O277" t="n">
        <v>0</v>
      </c>
      <c r="P277" t="n">
        <v>0</v>
      </c>
      <c r="Q277" t="n">
        <v>0</v>
      </c>
      <c r="R277" s="2" t="inlineStr"/>
    </row>
    <row r="278" ht="15" customHeight="1">
      <c r="A278" t="inlineStr">
        <is>
          <t>A 60852-2025</t>
        </is>
      </c>
      <c r="B278" s="1" t="n">
        <v>45999.50795138889</v>
      </c>
      <c r="C278" s="1" t="n">
        <v>46112</v>
      </c>
      <c r="D278" t="inlineStr">
        <is>
          <t>ÖREBRO LÄN</t>
        </is>
      </c>
      <c r="E278" t="inlineStr">
        <is>
          <t>HÄLLEFORS</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61079-2025</t>
        </is>
      </c>
      <c r="B279" s="1" t="n">
        <v>46000.40052083333</v>
      </c>
      <c r="C279" s="1" t="n">
        <v>46112</v>
      </c>
      <c r="D279" t="inlineStr">
        <is>
          <t>ÖREBRO LÄN</t>
        </is>
      </c>
      <c r="E279" t="inlineStr">
        <is>
          <t>HÄLLEFORS</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61084-2025</t>
        </is>
      </c>
      <c r="B280" s="1" t="n">
        <v>46000.41092592593</v>
      </c>
      <c r="C280" s="1" t="n">
        <v>46112</v>
      </c>
      <c r="D280" t="inlineStr">
        <is>
          <t>ÖREBRO LÄN</t>
        </is>
      </c>
      <c r="E280" t="inlineStr">
        <is>
          <t>HÄLLEFORS</t>
        </is>
      </c>
      <c r="F280" t="inlineStr">
        <is>
          <t>Bergvik skog väst AB</t>
        </is>
      </c>
      <c r="G280" t="n">
        <v>7.7</v>
      </c>
      <c r="H280" t="n">
        <v>0</v>
      </c>
      <c r="I280" t="n">
        <v>0</v>
      </c>
      <c r="J280" t="n">
        <v>0</v>
      </c>
      <c r="K280" t="n">
        <v>0</v>
      </c>
      <c r="L280" t="n">
        <v>0</v>
      </c>
      <c r="M280" t="n">
        <v>0</v>
      </c>
      <c r="N280" t="n">
        <v>0</v>
      </c>
      <c r="O280" t="n">
        <v>0</v>
      </c>
      <c r="P280" t="n">
        <v>0</v>
      </c>
      <c r="Q280" t="n">
        <v>0</v>
      </c>
      <c r="R280" s="2" t="inlineStr"/>
    </row>
    <row r="281" ht="15" customHeight="1">
      <c r="A281" t="inlineStr">
        <is>
          <t>A 61082-2025</t>
        </is>
      </c>
      <c r="B281" s="1" t="n">
        <v>46000.40797453704</v>
      </c>
      <c r="C281" s="1" t="n">
        <v>46112</v>
      </c>
      <c r="D281" t="inlineStr">
        <is>
          <t>ÖREBRO LÄN</t>
        </is>
      </c>
      <c r="E281" t="inlineStr">
        <is>
          <t>HÄLLEFORS</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15941-2023</t>
        </is>
      </c>
      <c r="B282" s="1" t="n">
        <v>45022</v>
      </c>
      <c r="C282" s="1" t="n">
        <v>46112</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46001.42888888889</v>
      </c>
      <c r="C283" s="1" t="n">
        <v>46112</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18987-2025</t>
        </is>
      </c>
      <c r="B284" s="1" t="n">
        <v>45764.56091435185</v>
      </c>
      <c r="C284" s="1" t="n">
        <v>46112</v>
      </c>
      <c r="D284" t="inlineStr">
        <is>
          <t>ÖREBRO LÄN</t>
        </is>
      </c>
      <c r="E284" t="inlineStr">
        <is>
          <t>HÄLLEFORS</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61164-2025</t>
        </is>
      </c>
      <c r="B285" s="1" t="n">
        <v>46000.56178240741</v>
      </c>
      <c r="C285" s="1" t="n">
        <v>46112</v>
      </c>
      <c r="D285" t="inlineStr">
        <is>
          <t>ÖREBRO LÄN</t>
        </is>
      </c>
      <c r="E285" t="inlineStr">
        <is>
          <t>HÄLLEFORS</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55745-2024</t>
        </is>
      </c>
      <c r="B286" s="1" t="n">
        <v>45623.3168287037</v>
      </c>
      <c r="C286" s="1" t="n">
        <v>46112</v>
      </c>
      <c r="D286" t="inlineStr">
        <is>
          <t>ÖREBRO LÄN</t>
        </is>
      </c>
      <c r="E286" t="inlineStr">
        <is>
          <t>HÄLLEFORS</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62400-2025</t>
        </is>
      </c>
      <c r="B287" s="1" t="n">
        <v>46007.40847222223</v>
      </c>
      <c r="C287" s="1" t="n">
        <v>46112</v>
      </c>
      <c r="D287" t="inlineStr">
        <is>
          <t>ÖREBRO LÄN</t>
        </is>
      </c>
      <c r="E287" t="inlineStr">
        <is>
          <t>HÄLLEFORS</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62262-2025</t>
        </is>
      </c>
      <c r="B288" s="1" t="n">
        <v>46006.61628472222</v>
      </c>
      <c r="C288" s="1" t="n">
        <v>46112</v>
      </c>
      <c r="D288" t="inlineStr">
        <is>
          <t>ÖREBRO LÄN</t>
        </is>
      </c>
      <c r="E288" t="inlineStr">
        <is>
          <t>HÄLLEFORS</t>
        </is>
      </c>
      <c r="G288" t="n">
        <v>13.4</v>
      </c>
      <c r="H288" t="n">
        <v>0</v>
      </c>
      <c r="I288" t="n">
        <v>0</v>
      </c>
      <c r="J288" t="n">
        <v>0</v>
      </c>
      <c r="K288" t="n">
        <v>0</v>
      </c>
      <c r="L288" t="n">
        <v>0</v>
      </c>
      <c r="M288" t="n">
        <v>0</v>
      </c>
      <c r="N288" t="n">
        <v>0</v>
      </c>
      <c r="O288" t="n">
        <v>0</v>
      </c>
      <c r="P288" t="n">
        <v>0</v>
      </c>
      <c r="Q288" t="n">
        <v>0</v>
      </c>
      <c r="R288" s="2" t="inlineStr"/>
    </row>
    <row r="289" ht="15" customHeight="1">
      <c r="A289" t="inlineStr">
        <is>
          <t>A 18945-2025</t>
        </is>
      </c>
      <c r="B289" s="1" t="n">
        <v>45764.50498842593</v>
      </c>
      <c r="C289" s="1" t="n">
        <v>46112</v>
      </c>
      <c r="D289" t="inlineStr">
        <is>
          <t>ÖREBRO LÄN</t>
        </is>
      </c>
      <c r="E289" t="inlineStr">
        <is>
          <t>HÄLLEFORS</t>
        </is>
      </c>
      <c r="F289" t="inlineStr">
        <is>
          <t>Bergvik skog väst AB</t>
        </is>
      </c>
      <c r="G289" t="n">
        <v>5.1</v>
      </c>
      <c r="H289" t="n">
        <v>0</v>
      </c>
      <c r="I289" t="n">
        <v>0</v>
      </c>
      <c r="J289" t="n">
        <v>0</v>
      </c>
      <c r="K289" t="n">
        <v>0</v>
      </c>
      <c r="L289" t="n">
        <v>0</v>
      </c>
      <c r="M289" t="n">
        <v>0</v>
      </c>
      <c r="N289" t="n">
        <v>0</v>
      </c>
      <c r="O289" t="n">
        <v>0</v>
      </c>
      <c r="P289" t="n">
        <v>0</v>
      </c>
      <c r="Q289" t="n">
        <v>0</v>
      </c>
      <c r="R289" s="2" t="inlineStr"/>
    </row>
    <row r="290" ht="15" customHeight="1">
      <c r="A290" t="inlineStr">
        <is>
          <t>A 62846-2025</t>
        </is>
      </c>
      <c r="B290" s="1" t="n">
        <v>46008.69574074074</v>
      </c>
      <c r="C290" s="1" t="n">
        <v>46112</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62857-2025</t>
        </is>
      </c>
      <c r="B291" s="1" t="n">
        <v>46008.74070601852</v>
      </c>
      <c r="C291" s="1" t="n">
        <v>46112</v>
      </c>
      <c r="D291" t="inlineStr">
        <is>
          <t>ÖREBRO LÄN</t>
        </is>
      </c>
      <c r="E291" t="inlineStr">
        <is>
          <t>HÄLLEFORS</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62841-2025</t>
        </is>
      </c>
      <c r="B292" s="1" t="n">
        <v>46008.69076388889</v>
      </c>
      <c r="C292" s="1" t="n">
        <v>46112</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54105-2023</t>
        </is>
      </c>
      <c r="B293" s="1" t="n">
        <v>45232</v>
      </c>
      <c r="C293" s="1" t="n">
        <v>46112</v>
      </c>
      <c r="D293" t="inlineStr">
        <is>
          <t>ÖREBRO LÄN</t>
        </is>
      </c>
      <c r="E293" t="inlineStr">
        <is>
          <t>HÄLLEFORS</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62848-2025</t>
        </is>
      </c>
      <c r="B294" s="1" t="n">
        <v>46008.6987037037</v>
      </c>
      <c r="C294" s="1" t="n">
        <v>46112</v>
      </c>
      <c r="D294" t="inlineStr">
        <is>
          <t>ÖREBRO LÄN</t>
        </is>
      </c>
      <c r="E294" t="inlineStr">
        <is>
          <t>HÄLLEFORS</t>
        </is>
      </c>
      <c r="G294" t="n">
        <v>0.2</v>
      </c>
      <c r="H294" t="n">
        <v>0</v>
      </c>
      <c r="I294" t="n">
        <v>0</v>
      </c>
      <c r="J294" t="n">
        <v>0</v>
      </c>
      <c r="K294" t="n">
        <v>0</v>
      </c>
      <c r="L294" t="n">
        <v>0</v>
      </c>
      <c r="M294" t="n">
        <v>0</v>
      </c>
      <c r="N294" t="n">
        <v>0</v>
      </c>
      <c r="O294" t="n">
        <v>0</v>
      </c>
      <c r="P294" t="n">
        <v>0</v>
      </c>
      <c r="Q294" t="n">
        <v>0</v>
      </c>
      <c r="R294" s="2" t="inlineStr"/>
    </row>
    <row r="295" ht="15" customHeight="1">
      <c r="A295" t="inlineStr">
        <is>
          <t>A 16930-2025</t>
        </is>
      </c>
      <c r="B295" s="1" t="n">
        <v>45755.40039351852</v>
      </c>
      <c r="C295" s="1" t="n">
        <v>46112</v>
      </c>
      <c r="D295" t="inlineStr">
        <is>
          <t>ÖREBRO LÄN</t>
        </is>
      </c>
      <c r="E295" t="inlineStr">
        <is>
          <t>HÄLLEFORS</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21315-2024</t>
        </is>
      </c>
      <c r="B296" s="1" t="n">
        <v>45440</v>
      </c>
      <c r="C296" s="1" t="n">
        <v>46112</v>
      </c>
      <c r="D296" t="inlineStr">
        <is>
          <t>ÖREBRO LÄN</t>
        </is>
      </c>
      <c r="E296" t="inlineStr">
        <is>
          <t>HÄLLEFORS</t>
        </is>
      </c>
      <c r="G296" t="n">
        <v>3.1</v>
      </c>
      <c r="H296" t="n">
        <v>0</v>
      </c>
      <c r="I296" t="n">
        <v>0</v>
      </c>
      <c r="J296" t="n">
        <v>0</v>
      </c>
      <c r="K296" t="n">
        <v>0</v>
      </c>
      <c r="L296" t="n">
        <v>0</v>
      </c>
      <c r="M296" t="n">
        <v>0</v>
      </c>
      <c r="N296" t="n">
        <v>0</v>
      </c>
      <c r="O296" t="n">
        <v>0</v>
      </c>
      <c r="P296" t="n">
        <v>0</v>
      </c>
      <c r="Q296" t="n">
        <v>0</v>
      </c>
      <c r="R296" s="2" t="inlineStr"/>
    </row>
    <row r="297" ht="15" customHeight="1">
      <c r="A297" t="inlineStr">
        <is>
          <t>A 13757-2023</t>
        </is>
      </c>
      <c r="B297" s="1" t="n">
        <v>45007.42442129629</v>
      </c>
      <c r="C297" s="1" t="n">
        <v>46112</v>
      </c>
      <c r="D297" t="inlineStr">
        <is>
          <t>ÖREBRO LÄN</t>
        </is>
      </c>
      <c r="E297" t="inlineStr">
        <is>
          <t>HÄLLEFORS</t>
        </is>
      </c>
      <c r="F297" t="inlineStr">
        <is>
          <t>Bergvik skog väst AB</t>
        </is>
      </c>
      <c r="G297" t="n">
        <v>3.6</v>
      </c>
      <c r="H297" t="n">
        <v>0</v>
      </c>
      <c r="I297" t="n">
        <v>0</v>
      </c>
      <c r="J297" t="n">
        <v>0</v>
      </c>
      <c r="K297" t="n">
        <v>0</v>
      </c>
      <c r="L297" t="n">
        <v>0</v>
      </c>
      <c r="M297" t="n">
        <v>0</v>
      </c>
      <c r="N297" t="n">
        <v>0</v>
      </c>
      <c r="O297" t="n">
        <v>0</v>
      </c>
      <c r="P297" t="n">
        <v>0</v>
      </c>
      <c r="Q297" t="n">
        <v>0</v>
      </c>
      <c r="R297" s="2" t="inlineStr"/>
    </row>
    <row r="298" ht="15" customHeight="1">
      <c r="A298" t="inlineStr">
        <is>
          <t>A 30591-2024</t>
        </is>
      </c>
      <c r="B298" s="1" t="n">
        <v>45493.3153125</v>
      </c>
      <c r="C298" s="1" t="n">
        <v>46112</v>
      </c>
      <c r="D298" t="inlineStr">
        <is>
          <t>ÖREBRO LÄN</t>
        </is>
      </c>
      <c r="E298" t="inlineStr">
        <is>
          <t>HÄLLEFORS</t>
        </is>
      </c>
      <c r="G298" t="n">
        <v>12.5</v>
      </c>
      <c r="H298" t="n">
        <v>0</v>
      </c>
      <c r="I298" t="n">
        <v>0</v>
      </c>
      <c r="J298" t="n">
        <v>0</v>
      </c>
      <c r="K298" t="n">
        <v>0</v>
      </c>
      <c r="L298" t="n">
        <v>0</v>
      </c>
      <c r="M298" t="n">
        <v>0</v>
      </c>
      <c r="N298" t="n">
        <v>0</v>
      </c>
      <c r="O298" t="n">
        <v>0</v>
      </c>
      <c r="P298" t="n">
        <v>0</v>
      </c>
      <c r="Q298" t="n">
        <v>0</v>
      </c>
      <c r="R298" s="2" t="inlineStr"/>
    </row>
    <row r="299" ht="15" customHeight="1">
      <c r="A299" t="inlineStr">
        <is>
          <t>A 63614-2025</t>
        </is>
      </c>
      <c r="B299" s="1" t="n">
        <v>46014.34587962963</v>
      </c>
      <c r="C299" s="1" t="n">
        <v>46112</v>
      </c>
      <c r="D299" t="inlineStr">
        <is>
          <t>ÖREBRO LÄN</t>
        </is>
      </c>
      <c r="E299" t="inlineStr">
        <is>
          <t>HÄLLEFORS</t>
        </is>
      </c>
      <c r="F299" t="inlineStr">
        <is>
          <t>Bergvik skog väst AB</t>
        </is>
      </c>
      <c r="G299" t="n">
        <v>1.9</v>
      </c>
      <c r="H299" t="n">
        <v>0</v>
      </c>
      <c r="I299" t="n">
        <v>0</v>
      </c>
      <c r="J299" t="n">
        <v>0</v>
      </c>
      <c r="K299" t="n">
        <v>0</v>
      </c>
      <c r="L299" t="n">
        <v>0</v>
      </c>
      <c r="M299" t="n">
        <v>0</v>
      </c>
      <c r="N299" t="n">
        <v>0</v>
      </c>
      <c r="O299" t="n">
        <v>0</v>
      </c>
      <c r="P299" t="n">
        <v>0</v>
      </c>
      <c r="Q299" t="n">
        <v>0</v>
      </c>
      <c r="R299" s="2" t="inlineStr"/>
    </row>
    <row r="300" ht="15" customHeight="1">
      <c r="A300" t="inlineStr">
        <is>
          <t>A 12545-2023</t>
        </is>
      </c>
      <c r="B300" s="1" t="n">
        <v>45000</v>
      </c>
      <c r="C300" s="1" t="n">
        <v>46112</v>
      </c>
      <c r="D300" t="inlineStr">
        <is>
          <t>ÖREBRO LÄN</t>
        </is>
      </c>
      <c r="E300" t="inlineStr">
        <is>
          <t>HÄLLEFORS</t>
        </is>
      </c>
      <c r="F300" t="inlineStr">
        <is>
          <t>Bergvik skog väst AB</t>
        </is>
      </c>
      <c r="G300" t="n">
        <v>5.6</v>
      </c>
      <c r="H300" t="n">
        <v>0</v>
      </c>
      <c r="I300" t="n">
        <v>0</v>
      </c>
      <c r="J300" t="n">
        <v>0</v>
      </c>
      <c r="K300" t="n">
        <v>0</v>
      </c>
      <c r="L300" t="n">
        <v>0</v>
      </c>
      <c r="M300" t="n">
        <v>0</v>
      </c>
      <c r="N300" t="n">
        <v>0</v>
      </c>
      <c r="O300" t="n">
        <v>0</v>
      </c>
      <c r="P300" t="n">
        <v>0</v>
      </c>
      <c r="Q300" t="n">
        <v>0</v>
      </c>
      <c r="R300" s="2" t="inlineStr"/>
    </row>
    <row r="301" ht="15" customHeight="1">
      <c r="A301" t="inlineStr">
        <is>
          <t>A 6281-2025</t>
        </is>
      </c>
      <c r="B301" s="1" t="n">
        <v>45698</v>
      </c>
      <c r="C301" s="1" t="n">
        <v>46112</v>
      </c>
      <c r="D301" t="inlineStr">
        <is>
          <t>ÖREBRO LÄN</t>
        </is>
      </c>
      <c r="E301" t="inlineStr">
        <is>
          <t>HÄLLEFORS</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19245-2025</t>
        </is>
      </c>
      <c r="B302" s="1" t="n">
        <v>45769</v>
      </c>
      <c r="C302" s="1" t="n">
        <v>46112</v>
      </c>
      <c r="D302" t="inlineStr">
        <is>
          <t>ÖREBRO LÄN</t>
        </is>
      </c>
      <c r="E302" t="inlineStr">
        <is>
          <t>HÄLLEFORS</t>
        </is>
      </c>
      <c r="F302" t="inlineStr">
        <is>
          <t>Kyrkan</t>
        </is>
      </c>
      <c r="G302" t="n">
        <v>2.7</v>
      </c>
      <c r="H302" t="n">
        <v>0</v>
      </c>
      <c r="I302" t="n">
        <v>0</v>
      </c>
      <c r="J302" t="n">
        <v>0</v>
      </c>
      <c r="K302" t="n">
        <v>0</v>
      </c>
      <c r="L302" t="n">
        <v>0</v>
      </c>
      <c r="M302" t="n">
        <v>0</v>
      </c>
      <c r="N302" t="n">
        <v>0</v>
      </c>
      <c r="O302" t="n">
        <v>0</v>
      </c>
      <c r="P302" t="n">
        <v>0</v>
      </c>
      <c r="Q302" t="n">
        <v>0</v>
      </c>
      <c r="R302" s="2" t="inlineStr"/>
    </row>
    <row r="303" ht="15" customHeight="1">
      <c r="A303" t="inlineStr">
        <is>
          <t>A 32-2026</t>
        </is>
      </c>
      <c r="B303" s="1" t="n">
        <v>46024.36721064815</v>
      </c>
      <c r="C303" s="1" t="n">
        <v>46112</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38908-2021</t>
        </is>
      </c>
      <c r="B304" s="1" t="n">
        <v>44411</v>
      </c>
      <c r="C304" s="1" t="n">
        <v>46112</v>
      </c>
      <c r="D304" t="inlineStr">
        <is>
          <t>ÖREBRO LÄN</t>
        </is>
      </c>
      <c r="E304" t="inlineStr">
        <is>
          <t>HÄLLEFORS</t>
        </is>
      </c>
      <c r="G304" t="n">
        <v>3.9</v>
      </c>
      <c r="H304" t="n">
        <v>0</v>
      </c>
      <c r="I304" t="n">
        <v>0</v>
      </c>
      <c r="J304" t="n">
        <v>0</v>
      </c>
      <c r="K304" t="n">
        <v>0</v>
      </c>
      <c r="L304" t="n">
        <v>0</v>
      </c>
      <c r="M304" t="n">
        <v>0</v>
      </c>
      <c r="N304" t="n">
        <v>0</v>
      </c>
      <c r="O304" t="n">
        <v>0</v>
      </c>
      <c r="P304" t="n">
        <v>0</v>
      </c>
      <c r="Q304" t="n">
        <v>0</v>
      </c>
      <c r="R304" s="2" t="inlineStr"/>
    </row>
    <row r="305" ht="15" customHeight="1">
      <c r="A305" t="inlineStr">
        <is>
          <t>A 34898-2021</t>
        </is>
      </c>
      <c r="B305" s="1" t="n">
        <v>44383</v>
      </c>
      <c r="C305" s="1" t="n">
        <v>46112</v>
      </c>
      <c r="D305" t="inlineStr">
        <is>
          <t>ÖREBRO LÄN</t>
        </is>
      </c>
      <c r="E305" t="inlineStr">
        <is>
          <t>HÄLLEFORS</t>
        </is>
      </c>
      <c r="G305" t="n">
        <v>0.9</v>
      </c>
      <c r="H305" t="n">
        <v>0</v>
      </c>
      <c r="I305" t="n">
        <v>0</v>
      </c>
      <c r="J305" t="n">
        <v>0</v>
      </c>
      <c r="K305" t="n">
        <v>0</v>
      </c>
      <c r="L305" t="n">
        <v>0</v>
      </c>
      <c r="M305" t="n">
        <v>0</v>
      </c>
      <c r="N305" t="n">
        <v>0</v>
      </c>
      <c r="O305" t="n">
        <v>0</v>
      </c>
      <c r="P305" t="n">
        <v>0</v>
      </c>
      <c r="Q305" t="n">
        <v>0</v>
      </c>
      <c r="R305" s="2" t="inlineStr"/>
    </row>
    <row r="306" ht="15" customHeight="1">
      <c r="A306" t="inlineStr">
        <is>
          <t>A 28004-2022</t>
        </is>
      </c>
      <c r="B306" s="1" t="n">
        <v>44746.34457175926</v>
      </c>
      <c r="C306" s="1" t="n">
        <v>46112</v>
      </c>
      <c r="D306" t="inlineStr">
        <is>
          <t>ÖREBRO LÄN</t>
        </is>
      </c>
      <c r="E306" t="inlineStr">
        <is>
          <t>HÄLLEFORS</t>
        </is>
      </c>
      <c r="G306" t="n">
        <v>2.9</v>
      </c>
      <c r="H306" t="n">
        <v>0</v>
      </c>
      <c r="I306" t="n">
        <v>0</v>
      </c>
      <c r="J306" t="n">
        <v>0</v>
      </c>
      <c r="K306" t="n">
        <v>0</v>
      </c>
      <c r="L306" t="n">
        <v>0</v>
      </c>
      <c r="M306" t="n">
        <v>0</v>
      </c>
      <c r="N306" t="n">
        <v>0</v>
      </c>
      <c r="O306" t="n">
        <v>0</v>
      </c>
      <c r="P306" t="n">
        <v>0</v>
      </c>
      <c r="Q306" t="n">
        <v>0</v>
      </c>
      <c r="R306" s="2" t="inlineStr"/>
    </row>
    <row r="307" ht="15" customHeight="1">
      <c r="A307" t="inlineStr">
        <is>
          <t>A 67953-2021</t>
        </is>
      </c>
      <c r="B307" s="1" t="n">
        <v>44525.63929398148</v>
      </c>
      <c r="C307" s="1" t="n">
        <v>46112</v>
      </c>
      <c r="D307" t="inlineStr">
        <is>
          <t>ÖREBRO LÄN</t>
        </is>
      </c>
      <c r="E307" t="inlineStr">
        <is>
          <t>HÄLLEFORS</t>
        </is>
      </c>
      <c r="G307" t="n">
        <v>2</v>
      </c>
      <c r="H307" t="n">
        <v>0</v>
      </c>
      <c r="I307" t="n">
        <v>0</v>
      </c>
      <c r="J307" t="n">
        <v>0</v>
      </c>
      <c r="K307" t="n">
        <v>0</v>
      </c>
      <c r="L307" t="n">
        <v>0</v>
      </c>
      <c r="M307" t="n">
        <v>0</v>
      </c>
      <c r="N307" t="n">
        <v>0</v>
      </c>
      <c r="O307" t="n">
        <v>0</v>
      </c>
      <c r="P307" t="n">
        <v>0</v>
      </c>
      <c r="Q307" t="n">
        <v>0</v>
      </c>
      <c r="R307" s="2" t="inlineStr"/>
    </row>
    <row r="308" ht="15" customHeight="1">
      <c r="A308" t="inlineStr">
        <is>
          <t>A 41822-2023</t>
        </is>
      </c>
      <c r="B308" s="1" t="n">
        <v>45176.56863425926</v>
      </c>
      <c r="C308" s="1" t="n">
        <v>46112</v>
      </c>
      <c r="D308" t="inlineStr">
        <is>
          <t>ÖREBRO LÄN</t>
        </is>
      </c>
      <c r="E308" t="inlineStr">
        <is>
          <t>HÄLLEFORS</t>
        </is>
      </c>
      <c r="F308" t="inlineStr">
        <is>
          <t>Bergvik skog väst AB</t>
        </is>
      </c>
      <c r="G308" t="n">
        <v>5.6</v>
      </c>
      <c r="H308" t="n">
        <v>0</v>
      </c>
      <c r="I308" t="n">
        <v>0</v>
      </c>
      <c r="J308" t="n">
        <v>0</v>
      </c>
      <c r="K308" t="n">
        <v>0</v>
      </c>
      <c r="L308" t="n">
        <v>0</v>
      </c>
      <c r="M308" t="n">
        <v>0</v>
      </c>
      <c r="N308" t="n">
        <v>0</v>
      </c>
      <c r="O308" t="n">
        <v>0</v>
      </c>
      <c r="P308" t="n">
        <v>0</v>
      </c>
      <c r="Q308" t="n">
        <v>0</v>
      </c>
      <c r="R308" s="2" t="inlineStr"/>
    </row>
    <row r="309" ht="15" customHeight="1">
      <c r="A309" t="inlineStr">
        <is>
          <t>A 14120-2023</t>
        </is>
      </c>
      <c r="B309" s="1" t="n">
        <v>45009</v>
      </c>
      <c r="C309" s="1" t="n">
        <v>46112</v>
      </c>
      <c r="D309" t="inlineStr">
        <is>
          <t>ÖREBRO LÄN</t>
        </is>
      </c>
      <c r="E309" t="inlineStr">
        <is>
          <t>HÄLLEFORS</t>
        </is>
      </c>
      <c r="F309" t="inlineStr">
        <is>
          <t>Bergvik skog väst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44105-2024</t>
        </is>
      </c>
      <c r="B310" s="1" t="n">
        <v>45572.62980324074</v>
      </c>
      <c r="C310" s="1" t="n">
        <v>46112</v>
      </c>
      <c r="D310" t="inlineStr">
        <is>
          <t>ÖREBRO LÄN</t>
        </is>
      </c>
      <c r="E310" t="inlineStr">
        <is>
          <t>HÄLLEFORS</t>
        </is>
      </c>
      <c r="F310" t="inlineStr">
        <is>
          <t>Bergvik skog väst AB</t>
        </is>
      </c>
      <c r="G310" t="n">
        <v>5.6</v>
      </c>
      <c r="H310" t="n">
        <v>0</v>
      </c>
      <c r="I310" t="n">
        <v>0</v>
      </c>
      <c r="J310" t="n">
        <v>0</v>
      </c>
      <c r="K310" t="n">
        <v>0</v>
      </c>
      <c r="L310" t="n">
        <v>0</v>
      </c>
      <c r="M310" t="n">
        <v>0</v>
      </c>
      <c r="N310" t="n">
        <v>0</v>
      </c>
      <c r="O310" t="n">
        <v>0</v>
      </c>
      <c r="P310" t="n">
        <v>0</v>
      </c>
      <c r="Q310" t="n">
        <v>0</v>
      </c>
      <c r="R310" s="2" t="inlineStr"/>
    </row>
    <row r="311" ht="15" customHeight="1">
      <c r="A311" t="inlineStr">
        <is>
          <t>A 50571-2024</t>
        </is>
      </c>
      <c r="B311" s="1" t="n">
        <v>45601.60576388889</v>
      </c>
      <c r="C311" s="1" t="n">
        <v>46112</v>
      </c>
      <c r="D311" t="inlineStr">
        <is>
          <t>ÖREBRO LÄN</t>
        </is>
      </c>
      <c r="E311" t="inlineStr">
        <is>
          <t>HÄLLEFORS</t>
        </is>
      </c>
      <c r="F311" t="inlineStr">
        <is>
          <t>Bergvik skog väst AB</t>
        </is>
      </c>
      <c r="G311" t="n">
        <v>4.6</v>
      </c>
      <c r="H311" t="n">
        <v>0</v>
      </c>
      <c r="I311" t="n">
        <v>0</v>
      </c>
      <c r="J311" t="n">
        <v>0</v>
      </c>
      <c r="K311" t="n">
        <v>0</v>
      </c>
      <c r="L311" t="n">
        <v>0</v>
      </c>
      <c r="M311" t="n">
        <v>0</v>
      </c>
      <c r="N311" t="n">
        <v>0</v>
      </c>
      <c r="O311" t="n">
        <v>0</v>
      </c>
      <c r="P311" t="n">
        <v>0</v>
      </c>
      <c r="Q311" t="n">
        <v>0</v>
      </c>
      <c r="R311" s="2" t="inlineStr"/>
    </row>
    <row r="312" ht="15" customHeight="1">
      <c r="A312" t="inlineStr">
        <is>
          <t>A 33617-2022</t>
        </is>
      </c>
      <c r="B312" s="1" t="n">
        <v>44782</v>
      </c>
      <c r="C312" s="1" t="n">
        <v>46112</v>
      </c>
      <c r="D312" t="inlineStr">
        <is>
          <t>ÖREBRO LÄN</t>
        </is>
      </c>
      <c r="E312" t="inlineStr">
        <is>
          <t>HÄLLEFORS</t>
        </is>
      </c>
      <c r="G312" t="n">
        <v>8.6</v>
      </c>
      <c r="H312" t="n">
        <v>0</v>
      </c>
      <c r="I312" t="n">
        <v>0</v>
      </c>
      <c r="J312" t="n">
        <v>0</v>
      </c>
      <c r="K312" t="n">
        <v>0</v>
      </c>
      <c r="L312" t="n">
        <v>0</v>
      </c>
      <c r="M312" t="n">
        <v>0</v>
      </c>
      <c r="N312" t="n">
        <v>0</v>
      </c>
      <c r="O312" t="n">
        <v>0</v>
      </c>
      <c r="P312" t="n">
        <v>0</v>
      </c>
      <c r="Q312" t="n">
        <v>0</v>
      </c>
      <c r="R312" s="2" t="inlineStr"/>
    </row>
    <row r="313" ht="15" customHeight="1">
      <c r="A313" t="inlineStr">
        <is>
          <t>A 1806-2026</t>
        </is>
      </c>
      <c r="B313" s="1" t="n">
        <v>46035.33097222223</v>
      </c>
      <c r="C313" s="1" t="n">
        <v>46112</v>
      </c>
      <c r="D313" t="inlineStr">
        <is>
          <t>ÖREBRO LÄN</t>
        </is>
      </c>
      <c r="E313" t="inlineStr">
        <is>
          <t>HÄLLEFORS</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46112</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16088-2026</t>
        </is>
      </c>
      <c r="B315" s="1" t="n">
        <v>46108.57201388889</v>
      </c>
      <c r="C315" s="1" t="n">
        <v>46112</v>
      </c>
      <c r="D315" t="inlineStr">
        <is>
          <t>ÖREBRO LÄN</t>
        </is>
      </c>
      <c r="E315" t="inlineStr">
        <is>
          <t>HÄLLEFORS</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4716-2022</t>
        </is>
      </c>
      <c r="B316" s="1" t="n">
        <v>44592</v>
      </c>
      <c r="C316" s="1" t="n">
        <v>46112</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9906-2024</t>
        </is>
      </c>
      <c r="B317" s="1" t="n">
        <v>45363.53322916666</v>
      </c>
      <c r="C317" s="1" t="n">
        <v>46112</v>
      </c>
      <c r="D317" t="inlineStr">
        <is>
          <t>ÖREBRO LÄN</t>
        </is>
      </c>
      <c r="E317" t="inlineStr">
        <is>
          <t>HÄLLEFORS</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18555-2025</t>
        </is>
      </c>
      <c r="B318" s="1" t="n">
        <v>45763</v>
      </c>
      <c r="C318" s="1" t="n">
        <v>46112</v>
      </c>
      <c r="D318" t="inlineStr">
        <is>
          <t>ÖREBRO LÄN</t>
        </is>
      </c>
      <c r="E318" t="inlineStr">
        <is>
          <t>HÄLLEFORS</t>
        </is>
      </c>
      <c r="F318" t="inlineStr">
        <is>
          <t>Bergvik skog väst AB</t>
        </is>
      </c>
      <c r="G318" t="n">
        <v>4.5</v>
      </c>
      <c r="H318" t="n">
        <v>0</v>
      </c>
      <c r="I318" t="n">
        <v>0</v>
      </c>
      <c r="J318" t="n">
        <v>0</v>
      </c>
      <c r="K318" t="n">
        <v>0</v>
      </c>
      <c r="L318" t="n">
        <v>0</v>
      </c>
      <c r="M318" t="n">
        <v>0</v>
      </c>
      <c r="N318" t="n">
        <v>0</v>
      </c>
      <c r="O318" t="n">
        <v>0</v>
      </c>
      <c r="P318" t="n">
        <v>0</v>
      </c>
      <c r="Q318" t="n">
        <v>0</v>
      </c>
      <c r="R318" s="2" t="inlineStr"/>
    </row>
    <row r="319" ht="15" customHeight="1">
      <c r="A319" t="inlineStr">
        <is>
          <t>A 52367-2022</t>
        </is>
      </c>
      <c r="B319" s="1" t="n">
        <v>44874</v>
      </c>
      <c r="C319" s="1" t="n">
        <v>46112</v>
      </c>
      <c r="D319" t="inlineStr">
        <is>
          <t>ÖREBRO LÄN</t>
        </is>
      </c>
      <c r="E319" t="inlineStr">
        <is>
          <t>HÄLLEFORS</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19033-2021</t>
        </is>
      </c>
      <c r="B320" s="1" t="n">
        <v>44308</v>
      </c>
      <c r="C320" s="1" t="n">
        <v>46112</v>
      </c>
      <c r="D320" t="inlineStr">
        <is>
          <t>ÖREBRO LÄN</t>
        </is>
      </c>
      <c r="E320" t="inlineStr">
        <is>
          <t>HÄLLEFORS</t>
        </is>
      </c>
      <c r="G320" t="n">
        <v>7.8</v>
      </c>
      <c r="H320" t="n">
        <v>0</v>
      </c>
      <c r="I320" t="n">
        <v>0</v>
      </c>
      <c r="J320" t="n">
        <v>0</v>
      </c>
      <c r="K320" t="n">
        <v>0</v>
      </c>
      <c r="L320" t="n">
        <v>0</v>
      </c>
      <c r="M320" t="n">
        <v>0</v>
      </c>
      <c r="N320" t="n">
        <v>0</v>
      </c>
      <c r="O320" t="n">
        <v>0</v>
      </c>
      <c r="P320" t="n">
        <v>0</v>
      </c>
      <c r="Q320" t="n">
        <v>0</v>
      </c>
      <c r="R320" s="2" t="inlineStr"/>
    </row>
    <row r="321" ht="15" customHeight="1">
      <c r="A321" t="inlineStr">
        <is>
          <t>A 36276-2024</t>
        </is>
      </c>
      <c r="B321" s="1" t="n">
        <v>45534.58140046296</v>
      </c>
      <c r="C321" s="1" t="n">
        <v>46112</v>
      </c>
      <c r="D321" t="inlineStr">
        <is>
          <t>ÖREBRO LÄN</t>
        </is>
      </c>
      <c r="E321" t="inlineStr">
        <is>
          <t>HÄLLEFORS</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51488-2021</t>
        </is>
      </c>
      <c r="B322" s="1" t="n">
        <v>44460</v>
      </c>
      <c r="C322" s="1" t="n">
        <v>46112</v>
      </c>
      <c r="D322" t="inlineStr">
        <is>
          <t>ÖREBRO LÄN</t>
        </is>
      </c>
      <c r="E322" t="inlineStr">
        <is>
          <t>HÄLLEFORS</t>
        </is>
      </c>
      <c r="G322" t="n">
        <v>2.8</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46112</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55477-2023</t>
        </is>
      </c>
      <c r="B324" s="1" t="n">
        <v>45238</v>
      </c>
      <c r="C324" s="1" t="n">
        <v>46112</v>
      </c>
      <c r="D324" t="inlineStr">
        <is>
          <t>ÖREBRO LÄN</t>
        </is>
      </c>
      <c r="E324" t="inlineStr">
        <is>
          <t>HÄLLEFORS</t>
        </is>
      </c>
      <c r="F324" t="inlineStr">
        <is>
          <t>Bergvik skog väst AB</t>
        </is>
      </c>
      <c r="G324" t="n">
        <v>6.6</v>
      </c>
      <c r="H324" t="n">
        <v>0</v>
      </c>
      <c r="I324" t="n">
        <v>0</v>
      </c>
      <c r="J324" t="n">
        <v>0</v>
      </c>
      <c r="K324" t="n">
        <v>0</v>
      </c>
      <c r="L324" t="n">
        <v>0</v>
      </c>
      <c r="M324" t="n">
        <v>0</v>
      </c>
      <c r="N324" t="n">
        <v>0</v>
      </c>
      <c r="O324" t="n">
        <v>0</v>
      </c>
      <c r="P324" t="n">
        <v>0</v>
      </c>
      <c r="Q324" t="n">
        <v>0</v>
      </c>
      <c r="R324" s="2" t="inlineStr"/>
    </row>
    <row r="325" ht="15" customHeight="1">
      <c r="A325" t="inlineStr">
        <is>
          <t>A 43966-2024</t>
        </is>
      </c>
      <c r="B325" s="1" t="n">
        <v>45572.48516203704</v>
      </c>
      <c r="C325" s="1" t="n">
        <v>46112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4583-2025</t>
        </is>
      </c>
      <c r="B326" s="1" t="n">
        <v>45687.51539351852</v>
      </c>
      <c r="C326" s="1" t="n">
        <v>46112</v>
      </c>
      <c r="D326" t="inlineStr">
        <is>
          <t>ÖREBRO LÄN</t>
        </is>
      </c>
      <c r="E326" t="inlineStr">
        <is>
          <t>HÄLLEFORS</t>
        </is>
      </c>
      <c r="G326" t="n">
        <v>3.3</v>
      </c>
      <c r="H326" t="n">
        <v>0</v>
      </c>
      <c r="I326" t="n">
        <v>0</v>
      </c>
      <c r="J326" t="n">
        <v>0</v>
      </c>
      <c r="K326" t="n">
        <v>0</v>
      </c>
      <c r="L326" t="n">
        <v>0</v>
      </c>
      <c r="M326" t="n">
        <v>0</v>
      </c>
      <c r="N326" t="n">
        <v>0</v>
      </c>
      <c r="O326" t="n">
        <v>0</v>
      </c>
      <c r="P326" t="n">
        <v>0</v>
      </c>
      <c r="Q326" t="n">
        <v>0</v>
      </c>
      <c r="R326" s="2" t="inlineStr"/>
    </row>
    <row r="327" ht="15" customHeight="1">
      <c r="A327" t="inlineStr">
        <is>
          <t>A 17072-2025</t>
        </is>
      </c>
      <c r="B327" s="1" t="n">
        <v>45755.61793981482</v>
      </c>
      <c r="C327" s="1" t="n">
        <v>46112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27935-2023</t>
        </is>
      </c>
      <c r="B328" s="1" t="n">
        <v>45098.65641203704</v>
      </c>
      <c r="C328" s="1" t="n">
        <v>46112</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23036-2024</t>
        </is>
      </c>
      <c r="B329" s="1" t="n">
        <v>45450.39145833333</v>
      </c>
      <c r="C329" s="1" t="n">
        <v>46112</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60312-2024</t>
        </is>
      </c>
      <c r="B330" s="1" t="n">
        <v>45643</v>
      </c>
      <c r="C330" s="1" t="n">
        <v>46112</v>
      </c>
      <c r="D330" t="inlineStr">
        <is>
          <t>ÖREBRO LÄN</t>
        </is>
      </c>
      <c r="E330" t="inlineStr">
        <is>
          <t>HÄLLEFORS</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67027-2021</t>
        </is>
      </c>
      <c r="B331" s="1" t="n">
        <v>44522.66836805556</v>
      </c>
      <c r="C331" s="1" t="n">
        <v>46112</v>
      </c>
      <c r="D331" t="inlineStr">
        <is>
          <t>ÖREBRO LÄN</t>
        </is>
      </c>
      <c r="E331" t="inlineStr">
        <is>
          <t>HÄLLEFORS</t>
        </is>
      </c>
      <c r="G331" t="n">
        <v>1.7</v>
      </c>
      <c r="H331" t="n">
        <v>0</v>
      </c>
      <c r="I331" t="n">
        <v>0</v>
      </c>
      <c r="J331" t="n">
        <v>0</v>
      </c>
      <c r="K331" t="n">
        <v>0</v>
      </c>
      <c r="L331" t="n">
        <v>0</v>
      </c>
      <c r="M331" t="n">
        <v>0</v>
      </c>
      <c r="N331" t="n">
        <v>0</v>
      </c>
      <c r="O331" t="n">
        <v>0</v>
      </c>
      <c r="P331" t="n">
        <v>0</v>
      </c>
      <c r="Q331" t="n">
        <v>0</v>
      </c>
      <c r="R331" s="2" t="inlineStr"/>
    </row>
    <row r="332" ht="15" customHeight="1">
      <c r="A332" t="inlineStr">
        <is>
          <t>A 51213-2023</t>
        </is>
      </c>
      <c r="B332" s="1" t="n">
        <v>45219.44515046296</v>
      </c>
      <c r="C332" s="1" t="n">
        <v>46112</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18715-2025</t>
        </is>
      </c>
      <c r="B333" s="1" t="n">
        <v>45763.64383101852</v>
      </c>
      <c r="C333" s="1" t="n">
        <v>46112</v>
      </c>
      <c r="D333" t="inlineStr">
        <is>
          <t>ÖREBRO LÄN</t>
        </is>
      </c>
      <c r="E333" t="inlineStr">
        <is>
          <t>HÄLLEFORS</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41193-2023</t>
        </is>
      </c>
      <c r="B334" s="1" t="n">
        <v>45174</v>
      </c>
      <c r="C334" s="1" t="n">
        <v>46112</v>
      </c>
      <c r="D334" t="inlineStr">
        <is>
          <t>ÖREBRO LÄN</t>
        </is>
      </c>
      <c r="E334" t="inlineStr">
        <is>
          <t>HÄLLEFORS</t>
        </is>
      </c>
      <c r="F334" t="inlineStr">
        <is>
          <t>Bergvik skog väst AB</t>
        </is>
      </c>
      <c r="G334" t="n">
        <v>10.9</v>
      </c>
      <c r="H334" t="n">
        <v>0</v>
      </c>
      <c r="I334" t="n">
        <v>0</v>
      </c>
      <c r="J334" t="n">
        <v>0</v>
      </c>
      <c r="K334" t="n">
        <v>0</v>
      </c>
      <c r="L334" t="n">
        <v>0</v>
      </c>
      <c r="M334" t="n">
        <v>0</v>
      </c>
      <c r="N334" t="n">
        <v>0</v>
      </c>
      <c r="O334" t="n">
        <v>0</v>
      </c>
      <c r="P334" t="n">
        <v>0</v>
      </c>
      <c r="Q334" t="n">
        <v>0</v>
      </c>
      <c r="R334" s="2" t="inlineStr"/>
    </row>
    <row r="335" ht="15" customHeight="1">
      <c r="A335" t="inlineStr">
        <is>
          <t>A 41810-2023</t>
        </is>
      </c>
      <c r="B335" s="1" t="n">
        <v>45176</v>
      </c>
      <c r="C335" s="1" t="n">
        <v>46112</v>
      </c>
      <c r="D335" t="inlineStr">
        <is>
          <t>ÖREBRO LÄN</t>
        </is>
      </c>
      <c r="E335" t="inlineStr">
        <is>
          <t>HÄLLEFORS</t>
        </is>
      </c>
      <c r="F335" t="inlineStr">
        <is>
          <t>Bergvik skog väst AB</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55300-2023</t>
        </is>
      </c>
      <c r="B336" s="1" t="n">
        <v>45237.83621527778</v>
      </c>
      <c r="C336" s="1" t="n">
        <v>46112</v>
      </c>
      <c r="D336" t="inlineStr">
        <is>
          <t>ÖREBRO LÄN</t>
        </is>
      </c>
      <c r="E336" t="inlineStr">
        <is>
          <t>HÄLLEFORS</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18535-2025</t>
        </is>
      </c>
      <c r="B337" s="1" t="n">
        <v>45763</v>
      </c>
      <c r="C337" s="1" t="n">
        <v>46112</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59976-2024</t>
        </is>
      </c>
      <c r="B338" s="1" t="n">
        <v>45642.37226851852</v>
      </c>
      <c r="C338" s="1" t="n">
        <v>46112</v>
      </c>
      <c r="D338" t="inlineStr">
        <is>
          <t>ÖREBRO LÄN</t>
        </is>
      </c>
      <c r="E338" t="inlineStr">
        <is>
          <t>HÄLLEFORS</t>
        </is>
      </c>
      <c r="F338" t="inlineStr">
        <is>
          <t>Bergvik skog väst AB</t>
        </is>
      </c>
      <c r="G338" t="n">
        <v>8.9</v>
      </c>
      <c r="H338" t="n">
        <v>0</v>
      </c>
      <c r="I338" t="n">
        <v>0</v>
      </c>
      <c r="J338" t="n">
        <v>0</v>
      </c>
      <c r="K338" t="n">
        <v>0</v>
      </c>
      <c r="L338" t="n">
        <v>0</v>
      </c>
      <c r="M338" t="n">
        <v>0</v>
      </c>
      <c r="N338" t="n">
        <v>0</v>
      </c>
      <c r="O338" t="n">
        <v>0</v>
      </c>
      <c r="P338" t="n">
        <v>0</v>
      </c>
      <c r="Q338" t="n">
        <v>0</v>
      </c>
      <c r="R338" s="2" t="inlineStr"/>
    </row>
    <row r="339" ht="15" customHeight="1">
      <c r="A339" t="inlineStr">
        <is>
          <t>A 67439-2021</t>
        </is>
      </c>
      <c r="B339" s="1" t="n">
        <v>44523</v>
      </c>
      <c r="C339" s="1" t="n">
        <v>46112</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18979-2025</t>
        </is>
      </c>
      <c r="B340" s="1" t="n">
        <v>45764.55017361111</v>
      </c>
      <c r="C340" s="1" t="n">
        <v>46112</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35862-2024</t>
        </is>
      </c>
      <c r="B341" s="1" t="n">
        <v>45533.33909722222</v>
      </c>
      <c r="C341" s="1" t="n">
        <v>46112</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46112</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37542-2024</t>
        </is>
      </c>
      <c r="B343" s="1" t="n">
        <v>45541.42298611111</v>
      </c>
      <c r="C343" s="1" t="n">
        <v>46112</v>
      </c>
      <c r="D343" t="inlineStr">
        <is>
          <t>ÖREBRO LÄN</t>
        </is>
      </c>
      <c r="E343" t="inlineStr">
        <is>
          <t>HÄLLEFORS</t>
        </is>
      </c>
      <c r="G343" t="n">
        <v>1.6</v>
      </c>
      <c r="H343" t="n">
        <v>0</v>
      </c>
      <c r="I343" t="n">
        <v>0</v>
      </c>
      <c r="J343" t="n">
        <v>0</v>
      </c>
      <c r="K343" t="n">
        <v>0</v>
      </c>
      <c r="L343" t="n">
        <v>0</v>
      </c>
      <c r="M343" t="n">
        <v>0</v>
      </c>
      <c r="N343" t="n">
        <v>0</v>
      </c>
      <c r="O343" t="n">
        <v>0</v>
      </c>
      <c r="P343" t="n">
        <v>0</v>
      </c>
      <c r="Q343" t="n">
        <v>0</v>
      </c>
      <c r="R343" s="2" t="inlineStr"/>
    </row>
    <row r="344" ht="15" customHeight="1">
      <c r="A344" t="inlineStr">
        <is>
          <t>A 5583-2023</t>
        </is>
      </c>
      <c r="B344" s="1" t="n">
        <v>44960.50733796296</v>
      </c>
      <c r="C344" s="1" t="n">
        <v>46112</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44091-2024</t>
        </is>
      </c>
      <c r="B345" s="1" t="n">
        <v>45572.6216087963</v>
      </c>
      <c r="C345" s="1" t="n">
        <v>46112</v>
      </c>
      <c r="D345" t="inlineStr">
        <is>
          <t>ÖREBRO LÄN</t>
        </is>
      </c>
      <c r="E345" t="inlineStr">
        <is>
          <t>HÄLLEFORS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46642-2024</t>
        </is>
      </c>
      <c r="B346" s="1" t="n">
        <v>45583.34902777777</v>
      </c>
      <c r="C346" s="1" t="n">
        <v>46112</v>
      </c>
      <c r="D346" t="inlineStr">
        <is>
          <t>ÖREBRO LÄN</t>
        </is>
      </c>
      <c r="E346" t="inlineStr">
        <is>
          <t>HÄLLEFORS</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24359-2023</t>
        </is>
      </c>
      <c r="B347" s="1" t="n">
        <v>45082</v>
      </c>
      <c r="C347" s="1" t="n">
        <v>46112</v>
      </c>
      <c r="D347" t="inlineStr">
        <is>
          <t>ÖREBRO LÄN</t>
        </is>
      </c>
      <c r="E347" t="inlineStr">
        <is>
          <t>HÄLLEFORS</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1288-2024</t>
        </is>
      </c>
      <c r="B348" s="1" t="n">
        <v>45303</v>
      </c>
      <c r="C348" s="1" t="n">
        <v>46112</v>
      </c>
      <c r="D348" t="inlineStr">
        <is>
          <t>ÖREBRO LÄN</t>
        </is>
      </c>
      <c r="E348" t="inlineStr">
        <is>
          <t>HÄLLEFORS</t>
        </is>
      </c>
      <c r="G348" t="n">
        <v>1.2</v>
      </c>
      <c r="H348" t="n">
        <v>0</v>
      </c>
      <c r="I348" t="n">
        <v>0</v>
      </c>
      <c r="J348" t="n">
        <v>0</v>
      </c>
      <c r="K348" t="n">
        <v>0</v>
      </c>
      <c r="L348" t="n">
        <v>0</v>
      </c>
      <c r="M348" t="n">
        <v>0</v>
      </c>
      <c r="N348" t="n">
        <v>0</v>
      </c>
      <c r="O348" t="n">
        <v>0</v>
      </c>
      <c r="P348" t="n">
        <v>0</v>
      </c>
      <c r="Q348" t="n">
        <v>0</v>
      </c>
      <c r="R348" s="2" t="inlineStr"/>
    </row>
    <row r="349" ht="15" customHeight="1">
      <c r="A349" t="inlineStr">
        <is>
          <t>A 55099-2024</t>
        </is>
      </c>
      <c r="B349" s="1" t="n">
        <v>45621</v>
      </c>
      <c r="C349" s="1" t="n">
        <v>46112</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58499-2022</t>
        </is>
      </c>
      <c r="B350" s="1" t="n">
        <v>44902.3759375</v>
      </c>
      <c r="C350" s="1" t="n">
        <v>46112</v>
      </c>
      <c r="D350" t="inlineStr">
        <is>
          <t>ÖREBRO LÄN</t>
        </is>
      </c>
      <c r="E350" t="inlineStr">
        <is>
          <t>HÄLLEFORS</t>
        </is>
      </c>
      <c r="F350" t="inlineStr">
        <is>
          <t>Bergvik skog väst AB</t>
        </is>
      </c>
      <c r="G350" t="n">
        <v>4.2</v>
      </c>
      <c r="H350" t="n">
        <v>0</v>
      </c>
      <c r="I350" t="n">
        <v>0</v>
      </c>
      <c r="J350" t="n">
        <v>0</v>
      </c>
      <c r="K350" t="n">
        <v>0</v>
      </c>
      <c r="L350" t="n">
        <v>0</v>
      </c>
      <c r="M350" t="n">
        <v>0</v>
      </c>
      <c r="N350" t="n">
        <v>0</v>
      </c>
      <c r="O350" t="n">
        <v>0</v>
      </c>
      <c r="P350" t="n">
        <v>0</v>
      </c>
      <c r="Q350" t="n">
        <v>0</v>
      </c>
      <c r="R350" s="2" t="inlineStr"/>
    </row>
    <row r="351" ht="15" customHeight="1">
      <c r="A351" t="inlineStr">
        <is>
          <t>A 38402-2023</t>
        </is>
      </c>
      <c r="B351" s="1" t="n">
        <v>45162</v>
      </c>
      <c r="C351" s="1" t="n">
        <v>46112</v>
      </c>
      <c r="D351" t="inlineStr">
        <is>
          <t>ÖREBRO LÄN</t>
        </is>
      </c>
      <c r="E351" t="inlineStr">
        <is>
          <t>HÄLLEFORS</t>
        </is>
      </c>
      <c r="F351" t="inlineStr">
        <is>
          <t>Bergvik skog väst AB</t>
        </is>
      </c>
      <c r="G351" t="n">
        <v>8.5</v>
      </c>
      <c r="H351" t="n">
        <v>0</v>
      </c>
      <c r="I351" t="n">
        <v>0</v>
      </c>
      <c r="J351" t="n">
        <v>0</v>
      </c>
      <c r="K351" t="n">
        <v>0</v>
      </c>
      <c r="L351" t="n">
        <v>0</v>
      </c>
      <c r="M351" t="n">
        <v>0</v>
      </c>
      <c r="N351" t="n">
        <v>0</v>
      </c>
      <c r="O351" t="n">
        <v>0</v>
      </c>
      <c r="P351" t="n">
        <v>0</v>
      </c>
      <c r="Q351" t="n">
        <v>0</v>
      </c>
      <c r="R351" s="2" t="inlineStr"/>
    </row>
    <row r="352" ht="15" customHeight="1">
      <c r="A352" t="inlineStr">
        <is>
          <t>A 11459-2024</t>
        </is>
      </c>
      <c r="B352" s="1" t="n">
        <v>45372.58425925926</v>
      </c>
      <c r="C352" s="1" t="n">
        <v>46112</v>
      </c>
      <c r="D352" t="inlineStr">
        <is>
          <t>ÖREBRO LÄN</t>
        </is>
      </c>
      <c r="E352" t="inlineStr">
        <is>
          <t>HÄLLEFORS</t>
        </is>
      </c>
      <c r="G352" t="n">
        <v>2.2</v>
      </c>
      <c r="H352" t="n">
        <v>0</v>
      </c>
      <c r="I352" t="n">
        <v>0</v>
      </c>
      <c r="J352" t="n">
        <v>0</v>
      </c>
      <c r="K352" t="n">
        <v>0</v>
      </c>
      <c r="L352" t="n">
        <v>0</v>
      </c>
      <c r="M352" t="n">
        <v>0</v>
      </c>
      <c r="N352" t="n">
        <v>0</v>
      </c>
      <c r="O352" t="n">
        <v>0</v>
      </c>
      <c r="P352" t="n">
        <v>0</v>
      </c>
      <c r="Q352" t="n">
        <v>0</v>
      </c>
      <c r="R352" s="2" t="inlineStr"/>
    </row>
    <row r="353" ht="15" customHeight="1">
      <c r="A353" t="inlineStr">
        <is>
          <t>A 12559-2025</t>
        </is>
      </c>
      <c r="B353" s="1" t="n">
        <v>45731.47399305556</v>
      </c>
      <c r="C353" s="1" t="n">
        <v>46112</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17811-2025</t>
        </is>
      </c>
      <c r="B354" s="1" t="n">
        <v>45758.5594212963</v>
      </c>
      <c r="C354" s="1" t="n">
        <v>46112</v>
      </c>
      <c r="D354" t="inlineStr">
        <is>
          <t>ÖREBRO LÄN</t>
        </is>
      </c>
      <c r="E354" t="inlineStr">
        <is>
          <t>HÄLLEFORS</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14669-2025</t>
        </is>
      </c>
      <c r="B355" s="1" t="n">
        <v>45742.55043981481</v>
      </c>
      <c r="C355" s="1" t="n">
        <v>46112</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17333-2025</t>
        </is>
      </c>
      <c r="B356" s="1" t="n">
        <v>45756</v>
      </c>
      <c r="C356" s="1" t="n">
        <v>46112</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17338-2025</t>
        </is>
      </c>
      <c r="B357" s="1" t="n">
        <v>45756</v>
      </c>
      <c r="C357" s="1" t="n">
        <v>46112</v>
      </c>
      <c r="D357" t="inlineStr">
        <is>
          <t>ÖREBRO LÄN</t>
        </is>
      </c>
      <c r="E357" t="inlineStr">
        <is>
          <t>HÄLLEFORS</t>
        </is>
      </c>
      <c r="G357" t="n">
        <v>2.5</v>
      </c>
      <c r="H357" t="n">
        <v>0</v>
      </c>
      <c r="I357" t="n">
        <v>0</v>
      </c>
      <c r="J357" t="n">
        <v>0</v>
      </c>
      <c r="K357" t="n">
        <v>0</v>
      </c>
      <c r="L357" t="n">
        <v>0</v>
      </c>
      <c r="M357" t="n">
        <v>0</v>
      </c>
      <c r="N357" t="n">
        <v>0</v>
      </c>
      <c r="O357" t="n">
        <v>0</v>
      </c>
      <c r="P357" t="n">
        <v>0</v>
      </c>
      <c r="Q357" t="n">
        <v>0</v>
      </c>
      <c r="R357" s="2" t="inlineStr"/>
    </row>
    <row r="358" ht="15" customHeight="1">
      <c r="A358" t="inlineStr">
        <is>
          <t>A 53892-2023</t>
        </is>
      </c>
      <c r="B358" s="1" t="n">
        <v>45231</v>
      </c>
      <c r="C358" s="1" t="n">
        <v>46112</v>
      </c>
      <c r="D358" t="inlineStr">
        <is>
          <t>ÖREBRO LÄN</t>
        </is>
      </c>
      <c r="E358" t="inlineStr">
        <is>
          <t>HÄLLEFORS</t>
        </is>
      </c>
      <c r="G358" t="n">
        <v>2.3</v>
      </c>
      <c r="H358" t="n">
        <v>0</v>
      </c>
      <c r="I358" t="n">
        <v>0</v>
      </c>
      <c r="J358" t="n">
        <v>0</v>
      </c>
      <c r="K358" t="n">
        <v>0</v>
      </c>
      <c r="L358" t="n">
        <v>0</v>
      </c>
      <c r="M358" t="n">
        <v>0</v>
      </c>
      <c r="N358" t="n">
        <v>0</v>
      </c>
      <c r="O358" t="n">
        <v>0</v>
      </c>
      <c r="P358" t="n">
        <v>0</v>
      </c>
      <c r="Q358" t="n">
        <v>0</v>
      </c>
      <c r="R358" s="2" t="inlineStr"/>
    </row>
    <row r="359" ht="15" customHeight="1">
      <c r="A359" t="inlineStr">
        <is>
          <t>A 7774-2022</t>
        </is>
      </c>
      <c r="B359" s="1" t="n">
        <v>44608.45725694444</v>
      </c>
      <c r="C359" s="1" t="n">
        <v>46112</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2283-2023</t>
        </is>
      </c>
      <c r="B360" s="1" t="n">
        <v>44942</v>
      </c>
      <c r="C360" s="1" t="n">
        <v>46112</v>
      </c>
      <c r="D360" t="inlineStr">
        <is>
          <t>ÖREBRO LÄN</t>
        </is>
      </c>
      <c r="E360" t="inlineStr">
        <is>
          <t>HÄLLEFORS</t>
        </is>
      </c>
      <c r="G360" t="n">
        <v>3.2</v>
      </c>
      <c r="H360" t="n">
        <v>0</v>
      </c>
      <c r="I360" t="n">
        <v>0</v>
      </c>
      <c r="J360" t="n">
        <v>0</v>
      </c>
      <c r="K360" t="n">
        <v>0</v>
      </c>
      <c r="L360" t="n">
        <v>0</v>
      </c>
      <c r="M360" t="n">
        <v>0</v>
      </c>
      <c r="N360" t="n">
        <v>0</v>
      </c>
      <c r="O360" t="n">
        <v>0</v>
      </c>
      <c r="P360" t="n">
        <v>0</v>
      </c>
      <c r="Q360" t="n">
        <v>0</v>
      </c>
      <c r="R360" s="2" t="inlineStr"/>
    </row>
    <row r="361" ht="15" customHeight="1">
      <c r="A361" t="inlineStr">
        <is>
          <t>A 43886-2024</t>
        </is>
      </c>
      <c r="B361" s="1" t="n">
        <v>45572.40844907407</v>
      </c>
      <c r="C361" s="1" t="n">
        <v>46112</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46112</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40530-2022</t>
        </is>
      </c>
      <c r="B363" s="1" t="n">
        <v>44823</v>
      </c>
      <c r="C363" s="1" t="n">
        <v>46112</v>
      </c>
      <c r="D363" t="inlineStr">
        <is>
          <t>ÖREBRO LÄN</t>
        </is>
      </c>
      <c r="E363" t="inlineStr">
        <is>
          <t>HÄLLEFORS</t>
        </is>
      </c>
      <c r="G363" t="n">
        <v>0.6</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46112</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17810-2025</t>
        </is>
      </c>
      <c r="B365" s="1" t="n">
        <v>45758.55883101852</v>
      </c>
      <c r="C365" s="1" t="n">
        <v>46112</v>
      </c>
      <c r="D365" t="inlineStr">
        <is>
          <t>ÖREBRO LÄN</t>
        </is>
      </c>
      <c r="E365" t="inlineStr">
        <is>
          <t>HÄLLEFORS</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5268-2025</t>
        </is>
      </c>
      <c r="B366" s="1" t="n">
        <v>45692.40298611111</v>
      </c>
      <c r="C366" s="1" t="n">
        <v>46112</v>
      </c>
      <c r="D366" t="inlineStr">
        <is>
          <t>ÖREBRO LÄN</t>
        </is>
      </c>
      <c r="E366" t="inlineStr">
        <is>
          <t>HÄLLEFORS</t>
        </is>
      </c>
      <c r="F366" t="inlineStr">
        <is>
          <t>Bergvik skog väst AB</t>
        </is>
      </c>
      <c r="G366" t="n">
        <v>3.8</v>
      </c>
      <c r="H366" t="n">
        <v>0</v>
      </c>
      <c r="I366" t="n">
        <v>0</v>
      </c>
      <c r="J366" t="n">
        <v>0</v>
      </c>
      <c r="K366" t="n">
        <v>0</v>
      </c>
      <c r="L366" t="n">
        <v>0</v>
      </c>
      <c r="M366" t="n">
        <v>0</v>
      </c>
      <c r="N366" t="n">
        <v>0</v>
      </c>
      <c r="O366" t="n">
        <v>0</v>
      </c>
      <c r="P366" t="n">
        <v>0</v>
      </c>
      <c r="Q366" t="n">
        <v>0</v>
      </c>
      <c r="R366" s="2" t="inlineStr"/>
    </row>
    <row r="367" ht="15" customHeight="1">
      <c r="A367" t="inlineStr">
        <is>
          <t>A 17120-2025</t>
        </is>
      </c>
      <c r="B367" s="1" t="n">
        <v>45755.68921296296</v>
      </c>
      <c r="C367" s="1" t="n">
        <v>46112</v>
      </c>
      <c r="D367" t="inlineStr">
        <is>
          <t>ÖREBRO LÄN</t>
        </is>
      </c>
      <c r="E367" t="inlineStr">
        <is>
          <t>HÄLLEFORS</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18657-2025</t>
        </is>
      </c>
      <c r="B368" s="1" t="n">
        <v>45763.57651620371</v>
      </c>
      <c r="C368" s="1" t="n">
        <v>46112</v>
      </c>
      <c r="D368" t="inlineStr">
        <is>
          <t>ÖREBRO LÄN</t>
        </is>
      </c>
      <c r="E368" t="inlineStr">
        <is>
          <t>HÄLLEFORS</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49215-2022</t>
        </is>
      </c>
      <c r="B369" s="1" t="n">
        <v>44861</v>
      </c>
      <c r="C369" s="1" t="n">
        <v>46112</v>
      </c>
      <c r="D369" t="inlineStr">
        <is>
          <t>ÖREBRO LÄN</t>
        </is>
      </c>
      <c r="E369" t="inlineStr">
        <is>
          <t>HÄLLEFORS</t>
        </is>
      </c>
      <c r="F369" t="inlineStr">
        <is>
          <t>Bergvik skog väst AB</t>
        </is>
      </c>
      <c r="G369" t="n">
        <v>9</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46112</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46112</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46112</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59557-2022</t>
        </is>
      </c>
      <c r="B373" s="1" t="n">
        <v>44907.59805555556</v>
      </c>
      <c r="C373" s="1" t="n">
        <v>46112</v>
      </c>
      <c r="D373" t="inlineStr">
        <is>
          <t>ÖREBRO LÄN</t>
        </is>
      </c>
      <c r="E373" t="inlineStr">
        <is>
          <t>HÄLLEFORS</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20951-2025</t>
        </is>
      </c>
      <c r="B374" s="1" t="n">
        <v>45777.43930555556</v>
      </c>
      <c r="C374" s="1" t="n">
        <v>46112</v>
      </c>
      <c r="D374" t="inlineStr">
        <is>
          <t>ÖREBRO LÄN</t>
        </is>
      </c>
      <c r="E374" t="inlineStr">
        <is>
          <t>HÄLLEFORS</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46112</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46112</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21099-2025</t>
        </is>
      </c>
      <c r="B377" s="1" t="n">
        <v>45777.64827546296</v>
      </c>
      <c r="C377" s="1" t="n">
        <v>46112</v>
      </c>
      <c r="D377" t="inlineStr">
        <is>
          <t>ÖREBRO LÄN</t>
        </is>
      </c>
      <c r="E377" t="inlineStr">
        <is>
          <t>HÄLLEFORS</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46112</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18891-2025</t>
        </is>
      </c>
      <c r="B379" s="1" t="n">
        <v>45764</v>
      </c>
      <c r="C379" s="1" t="n">
        <v>46112</v>
      </c>
      <c r="D379" t="inlineStr">
        <is>
          <t>ÖREBRO LÄN</t>
        </is>
      </c>
      <c r="E379" t="inlineStr">
        <is>
          <t>HÄLLEFORS</t>
        </is>
      </c>
      <c r="G379" t="n">
        <v>2.2</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46112</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46112</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18168-2024</t>
        </is>
      </c>
      <c r="B382" s="1" t="n">
        <v>45420</v>
      </c>
      <c r="C382" s="1" t="n">
        <v>46112</v>
      </c>
      <c r="D382" t="inlineStr">
        <is>
          <t>ÖREBRO LÄN</t>
        </is>
      </c>
      <c r="E382" t="inlineStr">
        <is>
          <t>HÄLLEFORS</t>
        </is>
      </c>
      <c r="G382" t="n">
        <v>1.4</v>
      </c>
      <c r="H382" t="n">
        <v>0</v>
      </c>
      <c r="I382" t="n">
        <v>0</v>
      </c>
      <c r="J382" t="n">
        <v>0</v>
      </c>
      <c r="K382" t="n">
        <v>0</v>
      </c>
      <c r="L382" t="n">
        <v>0</v>
      </c>
      <c r="M382" t="n">
        <v>0</v>
      </c>
      <c r="N382" t="n">
        <v>0</v>
      </c>
      <c r="O382" t="n">
        <v>0</v>
      </c>
      <c r="P382" t="n">
        <v>0</v>
      </c>
      <c r="Q382" t="n">
        <v>0</v>
      </c>
      <c r="R382" s="2" t="inlineStr"/>
    </row>
    <row r="383" ht="15" customHeight="1">
      <c r="A383" t="inlineStr">
        <is>
          <t>A 18878-2025</t>
        </is>
      </c>
      <c r="B383" s="1" t="n">
        <v>45764</v>
      </c>
      <c r="C383" s="1" t="n">
        <v>46112</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18790-2025</t>
        </is>
      </c>
      <c r="B384" s="1" t="n">
        <v>45764</v>
      </c>
      <c r="C384" s="1" t="n">
        <v>46112</v>
      </c>
      <c r="D384" t="inlineStr">
        <is>
          <t>ÖREBRO LÄN</t>
        </is>
      </c>
      <c r="E384" t="inlineStr">
        <is>
          <t>HÄLLEFORS</t>
        </is>
      </c>
      <c r="G384" t="n">
        <v>14.9</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46112</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18852-2025</t>
        </is>
      </c>
      <c r="B386" s="1" t="n">
        <v>45764</v>
      </c>
      <c r="C386" s="1" t="n">
        <v>46112</v>
      </c>
      <c r="D386" t="inlineStr">
        <is>
          <t>ÖREBRO LÄN</t>
        </is>
      </c>
      <c r="E386" t="inlineStr">
        <is>
          <t>HÄLLEFORS</t>
        </is>
      </c>
      <c r="G386" t="n">
        <v>6.8</v>
      </c>
      <c r="H386" t="n">
        <v>0</v>
      </c>
      <c r="I386" t="n">
        <v>0</v>
      </c>
      <c r="J386" t="n">
        <v>0</v>
      </c>
      <c r="K386" t="n">
        <v>0</v>
      </c>
      <c r="L386" t="n">
        <v>0</v>
      </c>
      <c r="M386" t="n">
        <v>0</v>
      </c>
      <c r="N386" t="n">
        <v>0</v>
      </c>
      <c r="O386" t="n">
        <v>0</v>
      </c>
      <c r="P386" t="n">
        <v>0</v>
      </c>
      <c r="Q386" t="n">
        <v>0</v>
      </c>
      <c r="R386" s="2" t="inlineStr"/>
    </row>
    <row r="387" ht="15" customHeight="1">
      <c r="A387" t="inlineStr">
        <is>
          <t>A 18869-2025</t>
        </is>
      </c>
      <c r="B387" s="1" t="n">
        <v>45764</v>
      </c>
      <c r="C387" s="1" t="n">
        <v>46112</v>
      </c>
      <c r="D387" t="inlineStr">
        <is>
          <t>ÖREBRO LÄN</t>
        </is>
      </c>
      <c r="E387" t="inlineStr">
        <is>
          <t>HÄLLEFORS</t>
        </is>
      </c>
      <c r="G387" t="n">
        <v>3.7</v>
      </c>
      <c r="H387" t="n">
        <v>0</v>
      </c>
      <c r="I387" t="n">
        <v>0</v>
      </c>
      <c r="J387" t="n">
        <v>0</v>
      </c>
      <c r="K387" t="n">
        <v>0</v>
      </c>
      <c r="L387" t="n">
        <v>0</v>
      </c>
      <c r="M387" t="n">
        <v>0</v>
      </c>
      <c r="N387" t="n">
        <v>0</v>
      </c>
      <c r="O387" t="n">
        <v>0</v>
      </c>
      <c r="P387" t="n">
        <v>0</v>
      </c>
      <c r="Q387" t="n">
        <v>0</v>
      </c>
      <c r="R387" s="2" t="inlineStr"/>
    </row>
    <row r="388" ht="15" customHeight="1">
      <c r="A388" t="inlineStr">
        <is>
          <t>A 35106-2023</t>
        </is>
      </c>
      <c r="B388" s="1" t="n">
        <v>45145</v>
      </c>
      <c r="C388" s="1" t="n">
        <v>46112</v>
      </c>
      <c r="D388" t="inlineStr">
        <is>
          <t>ÖREBRO LÄN</t>
        </is>
      </c>
      <c r="E388" t="inlineStr">
        <is>
          <t>HÄLLEFORS</t>
        </is>
      </c>
      <c r="F388" t="inlineStr">
        <is>
          <t>Bergvik skog väst AB</t>
        </is>
      </c>
      <c r="G388" t="n">
        <v>13.9</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46112</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47907-2024</t>
        </is>
      </c>
      <c r="B390" s="1" t="n">
        <v>45589.31677083333</v>
      </c>
      <c r="C390" s="1" t="n">
        <v>46112</v>
      </c>
      <c r="D390" t="inlineStr">
        <is>
          <t>ÖREBRO LÄN</t>
        </is>
      </c>
      <c r="E390" t="inlineStr">
        <is>
          <t>HÄLLEFORS</t>
        </is>
      </c>
      <c r="F390" t="inlineStr">
        <is>
          <t>Bergvik skog väst AB</t>
        </is>
      </c>
      <c r="G390" t="n">
        <v>4.6</v>
      </c>
      <c r="H390" t="n">
        <v>0</v>
      </c>
      <c r="I390" t="n">
        <v>0</v>
      </c>
      <c r="J390" t="n">
        <v>0</v>
      </c>
      <c r="K390" t="n">
        <v>0</v>
      </c>
      <c r="L390" t="n">
        <v>0</v>
      </c>
      <c r="M390" t="n">
        <v>0</v>
      </c>
      <c r="N390" t="n">
        <v>0</v>
      </c>
      <c r="O390" t="n">
        <v>0</v>
      </c>
      <c r="P390" t="n">
        <v>0</v>
      </c>
      <c r="Q390" t="n">
        <v>0</v>
      </c>
      <c r="R390" s="2" t="inlineStr"/>
    </row>
    <row r="391" ht="15" customHeight="1">
      <c r="A391" t="inlineStr">
        <is>
          <t>A 59963-2024</t>
        </is>
      </c>
      <c r="B391" s="1" t="n">
        <v>45642.35274305556</v>
      </c>
      <c r="C391" s="1" t="n">
        <v>46112</v>
      </c>
      <c r="D391" t="inlineStr">
        <is>
          <t>ÖREBRO LÄN</t>
        </is>
      </c>
      <c r="E391" t="inlineStr">
        <is>
          <t>HÄLLEFORS</t>
        </is>
      </c>
      <c r="F391" t="inlineStr">
        <is>
          <t>Bergvik skog väst AB</t>
        </is>
      </c>
      <c r="G391" t="n">
        <v>8.4</v>
      </c>
      <c r="H391" t="n">
        <v>0</v>
      </c>
      <c r="I391" t="n">
        <v>0</v>
      </c>
      <c r="J391" t="n">
        <v>0</v>
      </c>
      <c r="K391" t="n">
        <v>0</v>
      </c>
      <c r="L391" t="n">
        <v>0</v>
      </c>
      <c r="M391" t="n">
        <v>0</v>
      </c>
      <c r="N391" t="n">
        <v>0</v>
      </c>
      <c r="O391" t="n">
        <v>0</v>
      </c>
      <c r="P391" t="n">
        <v>0</v>
      </c>
      <c r="Q391" t="n">
        <v>0</v>
      </c>
      <c r="R391" s="2" t="inlineStr"/>
    </row>
    <row r="392" ht="15" customHeight="1">
      <c r="A392" t="inlineStr">
        <is>
          <t>A 36090-2024</t>
        </is>
      </c>
      <c r="B392" s="1" t="n">
        <v>45533.68363425926</v>
      </c>
      <c r="C392" s="1" t="n">
        <v>46112</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21853-2025</t>
        </is>
      </c>
      <c r="B393" s="1" t="n">
        <v>45784.34652777778</v>
      </c>
      <c r="C393" s="1" t="n">
        <v>46112</v>
      </c>
      <c r="D393" t="inlineStr">
        <is>
          <t>ÖREBRO LÄN</t>
        </is>
      </c>
      <c r="E393" t="inlineStr">
        <is>
          <t>HÄLLEFORS</t>
        </is>
      </c>
      <c r="G393" t="n">
        <v>23.4</v>
      </c>
      <c r="H393" t="n">
        <v>0</v>
      </c>
      <c r="I393" t="n">
        <v>0</v>
      </c>
      <c r="J393" t="n">
        <v>0</v>
      </c>
      <c r="K393" t="n">
        <v>0</v>
      </c>
      <c r="L393" t="n">
        <v>0</v>
      </c>
      <c r="M393" t="n">
        <v>0</v>
      </c>
      <c r="N393" t="n">
        <v>0</v>
      </c>
      <c r="O393" t="n">
        <v>0</v>
      </c>
      <c r="P393" t="n">
        <v>0</v>
      </c>
      <c r="Q393" t="n">
        <v>0</v>
      </c>
      <c r="R393" s="2" t="inlineStr"/>
    </row>
    <row r="394" ht="15" customHeight="1">
      <c r="A394" t="inlineStr">
        <is>
          <t>A 39178-2022</t>
        </is>
      </c>
      <c r="B394" s="1" t="n">
        <v>44817.50186342592</v>
      </c>
      <c r="C394" s="1" t="n">
        <v>46112</v>
      </c>
      <c r="D394" t="inlineStr">
        <is>
          <t>ÖREBRO LÄN</t>
        </is>
      </c>
      <c r="E394" t="inlineStr">
        <is>
          <t>HÄLLEFORS</t>
        </is>
      </c>
      <c r="G394" t="n">
        <v>1.1</v>
      </c>
      <c r="H394" t="n">
        <v>0</v>
      </c>
      <c r="I394" t="n">
        <v>0</v>
      </c>
      <c r="J394" t="n">
        <v>0</v>
      </c>
      <c r="K394" t="n">
        <v>0</v>
      </c>
      <c r="L394" t="n">
        <v>0</v>
      </c>
      <c r="M394" t="n">
        <v>0</v>
      </c>
      <c r="N394" t="n">
        <v>0</v>
      </c>
      <c r="O394" t="n">
        <v>0</v>
      </c>
      <c r="P394" t="n">
        <v>0</v>
      </c>
      <c r="Q394" t="n">
        <v>0</v>
      </c>
      <c r="R394" s="2" t="inlineStr"/>
    </row>
    <row r="395" ht="15" customHeight="1">
      <c r="A395" t="inlineStr">
        <is>
          <t>A 35860-2024</t>
        </is>
      </c>
      <c r="B395" s="1" t="n">
        <v>45533</v>
      </c>
      <c r="C395" s="1" t="n">
        <v>46112</v>
      </c>
      <c r="D395" t="inlineStr">
        <is>
          <t>ÖREBRO LÄN</t>
        </is>
      </c>
      <c r="E395" t="inlineStr">
        <is>
          <t>HÄLLEFORS</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53344-2024</t>
        </is>
      </c>
      <c r="B396" s="1" t="n">
        <v>45614.44175925926</v>
      </c>
      <c r="C396" s="1" t="n">
        <v>46112</v>
      </c>
      <c r="D396" t="inlineStr">
        <is>
          <t>ÖREBRO LÄN</t>
        </is>
      </c>
      <c r="E396" t="inlineStr">
        <is>
          <t>HÄLLEFORS</t>
        </is>
      </c>
      <c r="G396" t="n">
        <v>0.9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46112</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60306-2024</t>
        </is>
      </c>
      <c r="B398" s="1" t="n">
        <v>45643.34040509259</v>
      </c>
      <c r="C398" s="1" t="n">
        <v>46112</v>
      </c>
      <c r="D398" t="inlineStr">
        <is>
          <t>ÖREBRO LÄN</t>
        </is>
      </c>
      <c r="E398" t="inlineStr">
        <is>
          <t>HÄLLEFORS</t>
        </is>
      </c>
      <c r="F398" t="inlineStr">
        <is>
          <t>Bergvik skog väst AB</t>
        </is>
      </c>
      <c r="G398" t="n">
        <v>4.5</v>
      </c>
      <c r="H398" t="n">
        <v>0</v>
      </c>
      <c r="I398" t="n">
        <v>0</v>
      </c>
      <c r="J398" t="n">
        <v>0</v>
      </c>
      <c r="K398" t="n">
        <v>0</v>
      </c>
      <c r="L398" t="n">
        <v>0</v>
      </c>
      <c r="M398" t="n">
        <v>0</v>
      </c>
      <c r="N398" t="n">
        <v>0</v>
      </c>
      <c r="O398" t="n">
        <v>0</v>
      </c>
      <c r="P398" t="n">
        <v>0</v>
      </c>
      <c r="Q398" t="n">
        <v>0</v>
      </c>
      <c r="R398" s="2" t="inlineStr"/>
    </row>
    <row r="399" ht="15" customHeight="1">
      <c r="A399" t="inlineStr">
        <is>
          <t>A 28564-2024</t>
        </is>
      </c>
      <c r="B399" s="1" t="n">
        <v>45478.38640046296</v>
      </c>
      <c r="C399" s="1" t="n">
        <v>46112</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36114-2024</t>
        </is>
      </c>
      <c r="B400" s="1" t="n">
        <v>45534.30509259259</v>
      </c>
      <c r="C400" s="1" t="n">
        <v>46112</v>
      </c>
      <c r="D400" t="inlineStr">
        <is>
          <t>ÖREBRO LÄN</t>
        </is>
      </c>
      <c r="E400" t="inlineStr">
        <is>
          <t>HÄLLEFORS</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32937-2024</t>
        </is>
      </c>
      <c r="B401" s="1" t="n">
        <v>45517.32866898148</v>
      </c>
      <c r="C401" s="1" t="n">
        <v>46112</v>
      </c>
      <c r="D401" t="inlineStr">
        <is>
          <t>ÖREBRO LÄN</t>
        </is>
      </c>
      <c r="E401" t="inlineStr">
        <is>
          <t>HÄLLEFORS</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47811-2024</t>
        </is>
      </c>
      <c r="B402" s="1" t="n">
        <v>45588.61716435185</v>
      </c>
      <c r="C402" s="1" t="n">
        <v>46112</v>
      </c>
      <c r="D402" t="inlineStr">
        <is>
          <t>ÖREBRO LÄN</t>
        </is>
      </c>
      <c r="E402" t="inlineStr">
        <is>
          <t>HÄLLEFORS</t>
        </is>
      </c>
      <c r="F402" t="inlineStr">
        <is>
          <t>Bergvik skog väst AB</t>
        </is>
      </c>
      <c r="G402" t="n">
        <v>5.9</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46112</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7066-2024</t>
        </is>
      </c>
      <c r="B404" s="1" t="n">
        <v>45343</v>
      </c>
      <c r="C404" s="1" t="n">
        <v>46112</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12648-2025</t>
        </is>
      </c>
      <c r="B405" s="1" t="n">
        <v>45733.39797453704</v>
      </c>
      <c r="C405" s="1" t="n">
        <v>46112</v>
      </c>
      <c r="D405" t="inlineStr">
        <is>
          <t>ÖREBRO LÄN</t>
        </is>
      </c>
      <c r="E405" t="inlineStr">
        <is>
          <t>HÄLLEFORS</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35861-2024</t>
        </is>
      </c>
      <c r="B406" s="1" t="n">
        <v>45533.33751157407</v>
      </c>
      <c r="C406" s="1" t="n">
        <v>46112</v>
      </c>
      <c r="D406" t="inlineStr">
        <is>
          <t>ÖREBRO LÄN</t>
        </is>
      </c>
      <c r="E406" t="inlineStr">
        <is>
          <t>HÄLLEFORS</t>
        </is>
      </c>
      <c r="F406" t="inlineStr">
        <is>
          <t>Bergvik skog väst AB</t>
        </is>
      </c>
      <c r="G406" t="n">
        <v>25.9</v>
      </c>
      <c r="H406" t="n">
        <v>0</v>
      </c>
      <c r="I406" t="n">
        <v>0</v>
      </c>
      <c r="J406" t="n">
        <v>0</v>
      </c>
      <c r="K406" t="n">
        <v>0</v>
      </c>
      <c r="L406" t="n">
        <v>0</v>
      </c>
      <c r="M406" t="n">
        <v>0</v>
      </c>
      <c r="N406" t="n">
        <v>0</v>
      </c>
      <c r="O406" t="n">
        <v>0</v>
      </c>
      <c r="P406" t="n">
        <v>0</v>
      </c>
      <c r="Q406" t="n">
        <v>0</v>
      </c>
      <c r="R406" s="2" t="inlineStr"/>
    </row>
    <row r="407" ht="15" customHeight="1">
      <c r="A407" t="inlineStr">
        <is>
          <t>A 44122-2024</t>
        </is>
      </c>
      <c r="B407" s="1" t="n">
        <v>45572.6396875</v>
      </c>
      <c r="C407" s="1" t="n">
        <v>46112</v>
      </c>
      <c r="D407" t="inlineStr">
        <is>
          <t>ÖREBRO LÄN</t>
        </is>
      </c>
      <c r="E407" t="inlineStr">
        <is>
          <t>HÄLLEFORS</t>
        </is>
      </c>
      <c r="F407" t="inlineStr">
        <is>
          <t>Bergvik skog väst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54995-2024</t>
        </is>
      </c>
      <c r="B408" s="1" t="n">
        <v>45621.28127314815</v>
      </c>
      <c r="C408" s="1" t="n">
        <v>46112</v>
      </c>
      <c r="D408" t="inlineStr">
        <is>
          <t>ÖREBRO LÄN</t>
        </is>
      </c>
      <c r="E408" t="inlineStr">
        <is>
          <t>HÄLLEFORS</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5237-2025</t>
        </is>
      </c>
      <c r="B409" s="1" t="n">
        <v>45692.30760416666</v>
      </c>
      <c r="C409" s="1" t="n">
        <v>46112</v>
      </c>
      <c r="D409" t="inlineStr">
        <is>
          <t>ÖREBRO LÄN</t>
        </is>
      </c>
      <c r="E409" t="inlineStr">
        <is>
          <t>HÄLLEFORS</t>
        </is>
      </c>
      <c r="F409" t="inlineStr">
        <is>
          <t>Bergvik skog väst AB</t>
        </is>
      </c>
      <c r="G409" t="n">
        <v>4.6</v>
      </c>
      <c r="H409" t="n">
        <v>0</v>
      </c>
      <c r="I409" t="n">
        <v>0</v>
      </c>
      <c r="J409" t="n">
        <v>0</v>
      </c>
      <c r="K409" t="n">
        <v>0</v>
      </c>
      <c r="L409" t="n">
        <v>0</v>
      </c>
      <c r="M409" t="n">
        <v>0</v>
      </c>
      <c r="N409" t="n">
        <v>0</v>
      </c>
      <c r="O409" t="n">
        <v>0</v>
      </c>
      <c r="P409" t="n">
        <v>0</v>
      </c>
      <c r="Q409" t="n">
        <v>0</v>
      </c>
      <c r="R409" s="2" t="inlineStr"/>
    </row>
    <row r="410" ht="15" customHeight="1">
      <c r="A410" t="inlineStr">
        <is>
          <t>A 5042-2025</t>
        </is>
      </c>
      <c r="B410" s="1" t="n">
        <v>45691.43619212963</v>
      </c>
      <c r="C410" s="1" t="n">
        <v>46112</v>
      </c>
      <c r="D410" t="inlineStr">
        <is>
          <t>ÖREBRO LÄN</t>
        </is>
      </c>
      <c r="E410" t="inlineStr">
        <is>
          <t>HÄLLEFORS</t>
        </is>
      </c>
      <c r="F410" t="inlineStr">
        <is>
          <t>Bergvik skog väst AB</t>
        </is>
      </c>
      <c r="G410" t="n">
        <v>3.3</v>
      </c>
      <c r="H410" t="n">
        <v>0</v>
      </c>
      <c r="I410" t="n">
        <v>0</v>
      </c>
      <c r="J410" t="n">
        <v>0</v>
      </c>
      <c r="K410" t="n">
        <v>0</v>
      </c>
      <c r="L410" t="n">
        <v>0</v>
      </c>
      <c r="M410" t="n">
        <v>0</v>
      </c>
      <c r="N410" t="n">
        <v>0</v>
      </c>
      <c r="O410" t="n">
        <v>0</v>
      </c>
      <c r="P410" t="n">
        <v>0</v>
      </c>
      <c r="Q410" t="n">
        <v>0</v>
      </c>
      <c r="R410" s="2" t="inlineStr"/>
    </row>
    <row r="411" ht="15" customHeight="1">
      <c r="A411" t="inlineStr">
        <is>
          <t>A 16927-2025</t>
        </is>
      </c>
      <c r="B411" s="1" t="n">
        <v>45755.39212962963</v>
      </c>
      <c r="C411" s="1" t="n">
        <v>46112</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c r="A412" t="inlineStr">
        <is>
          <t>A 39031-2022</t>
        </is>
      </c>
      <c r="B412" s="1" t="n">
        <v>44817.34144675926</v>
      </c>
      <c r="C412" s="1" t="n">
        <v>46112</v>
      </c>
      <c r="D412" t="inlineStr">
        <is>
          <t>ÖREBRO LÄN</t>
        </is>
      </c>
      <c r="E412" t="inlineStr">
        <is>
          <t>HÄLLEFORS</t>
        </is>
      </c>
      <c r="F412" t="inlineStr">
        <is>
          <t>Sveaskog</t>
        </is>
      </c>
      <c r="G412" t="n">
        <v>2.3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2026-03-31T10:46:14Z</dcterms:created>
  <dcterms:modified xmlns:dcterms="http://purl.org/dc/terms/" xmlns:xsi="http://www.w3.org/2001/XMLSchema-instance" xsi:type="dcterms:W3CDTF">2026-03-31T10:46:14Z</dcterms:modified>
</cp:coreProperties>
</file>