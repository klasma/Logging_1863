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45793</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45793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45793</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45793</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45793</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45793</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45793</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45793</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45793</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22053-2021</t>
        </is>
      </c>
      <c r="B11" s="1" t="n">
        <v>44323</v>
      </c>
      <c r="C11" s="1" t="n">
        <v>45793</v>
      </c>
      <c r="D11" t="inlineStr">
        <is>
          <t>ÖREBRO LÄN</t>
        </is>
      </c>
      <c r="E11" t="inlineStr">
        <is>
          <t>HÄLLEFORS</t>
        </is>
      </c>
      <c r="F11" t="inlineStr">
        <is>
          <t>Sveaskog</t>
        </is>
      </c>
      <c r="G11" t="n">
        <v>7.6</v>
      </c>
      <c r="H11" t="n">
        <v>2</v>
      </c>
      <c r="I11" t="n">
        <v>2</v>
      </c>
      <c r="J11" t="n">
        <v>2</v>
      </c>
      <c r="K11" t="n">
        <v>0</v>
      </c>
      <c r="L11" t="n">
        <v>0</v>
      </c>
      <c r="M11" t="n">
        <v>0</v>
      </c>
      <c r="N11" t="n">
        <v>0</v>
      </c>
      <c r="O11" t="n">
        <v>2</v>
      </c>
      <c r="P11" t="n">
        <v>0</v>
      </c>
      <c r="Q11" t="n">
        <v>5</v>
      </c>
      <c r="R11" s="2" t="inlineStr">
        <is>
          <t>Lunglav
Spillkråka
Korallblylav
Stuplav
Tjäder</t>
        </is>
      </c>
      <c r="S11">
        <f>HYPERLINK("https://klasma.github.io/Logging_1863/artfynd/A 22053-2021 artfynd.xlsx", "A 22053-2021")</f>
        <v/>
      </c>
      <c r="T11">
        <f>HYPERLINK("https://klasma.github.io/Logging_1863/kartor/A 22053-2021 karta.png", "A 22053-2021")</f>
        <v/>
      </c>
      <c r="V11">
        <f>HYPERLINK("https://klasma.github.io/Logging_1863/klagomål/A 22053-2021 FSC-klagomål.docx", "A 22053-2021")</f>
        <v/>
      </c>
      <c r="W11">
        <f>HYPERLINK("https://klasma.github.io/Logging_1863/klagomålsmail/A 22053-2021 FSC-klagomål mail.docx", "A 22053-2021")</f>
        <v/>
      </c>
      <c r="X11">
        <f>HYPERLINK("https://klasma.github.io/Logging_1863/tillsyn/A 22053-2021 tillsynsbegäran.docx", "A 22053-2021")</f>
        <v/>
      </c>
      <c r="Y11">
        <f>HYPERLINK("https://klasma.github.io/Logging_1863/tillsynsmail/A 22053-2021 tillsynsbegäran mail.docx", "A 22053-2021")</f>
        <v/>
      </c>
      <c r="Z11">
        <f>HYPERLINK("https://klasma.github.io/Logging_1863/fåglar/A 22053-2021 prioriterade fågelarter.docx", "A 22053-2021")</f>
        <v/>
      </c>
    </row>
    <row r="12" ht="15" customHeight="1">
      <c r="A12" t="inlineStr">
        <is>
          <t>A 17809-2025</t>
        </is>
      </c>
      <c r="B12" s="1" t="n">
        <v>45758</v>
      </c>
      <c r="C12" s="1" t="n">
        <v>45793</v>
      </c>
      <c r="D12" t="inlineStr">
        <is>
          <t>ÖREBRO LÄN</t>
        </is>
      </c>
      <c r="E12" t="inlineStr">
        <is>
          <t>HÄLLEFORS</t>
        </is>
      </c>
      <c r="F12" t="inlineStr">
        <is>
          <t>Sveaskog</t>
        </is>
      </c>
      <c r="G12" t="n">
        <v>7.3</v>
      </c>
      <c r="H12" t="n">
        <v>2</v>
      </c>
      <c r="I12" t="n">
        <v>2</v>
      </c>
      <c r="J12" t="n">
        <v>2</v>
      </c>
      <c r="K12" t="n">
        <v>0</v>
      </c>
      <c r="L12" t="n">
        <v>0</v>
      </c>
      <c r="M12" t="n">
        <v>0</v>
      </c>
      <c r="N12" t="n">
        <v>0</v>
      </c>
      <c r="O12" t="n">
        <v>2</v>
      </c>
      <c r="P12" t="n">
        <v>0</v>
      </c>
      <c r="Q12" t="n">
        <v>5</v>
      </c>
      <c r="R12" s="2" t="inlineStr">
        <is>
          <t>Lunglav
Spillkråka
Korallblylav
Stuplav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45793</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45793</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45793</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45793</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45793</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45793</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45793</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45793</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45793</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45793</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45793</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45793</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45793</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45793</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45793</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45793</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45793</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45793</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45793</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45793</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45793</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45793</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45793</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45793</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45793</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45793</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45793</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45793</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45793</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45793</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45793</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45793</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45793</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45793</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45793</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45793</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45793</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45793</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45793</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45793</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45793</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45793</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45793</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45793</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45793</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45793</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45793</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45793</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45793</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45793</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45793</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45793</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45793</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45793</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45793</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45793</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45793</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45793</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45793</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45793</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45793</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45793</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45793</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45793</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45793</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45793</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45793</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45793</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45793</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45793</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45793</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45793</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45793</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45793</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45793</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45793</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45793</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45793</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45793</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45793</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45793</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45793</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45793</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45793</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45793</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45793</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45793</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45793</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45793</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45793</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45793</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45793</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45793</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45793</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45793</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45793</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45793</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45793</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45793</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45793</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45793</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45793</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45793</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45793</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45793</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45793</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45793</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45793</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45793</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45793</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45793</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45793</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45793</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45793</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45793</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45793</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45793</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45793</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45793</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45793</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45793</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45793</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45793</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45793</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45793</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45793</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45793</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45793</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45793</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45793</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45793</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45793</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45793</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45793</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45793</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45793</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45793</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45793</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45793</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45793</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45793</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45793</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45793</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45793</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45793</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45793</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45793</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45793</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45793</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45793</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45793</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45793</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45793</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45793</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45793</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45793</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45793</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45793</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45793</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45793</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45793</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45793</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45793</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45793</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45793</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45793</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45793</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45793</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45793</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45793</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45793</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45793</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45793</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45793</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45793</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45793</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45793</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45793</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45793</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45793</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45793</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45793</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45793</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45793</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45793</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45793</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45793</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45793</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45793</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45793</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45793</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45793</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45793</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45793</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45793</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45793</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45793</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45793</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45793</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45793</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45793</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45793</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45793</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45793</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45793</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45793</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45793</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45793</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45793</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45793</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45793</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45793</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45793</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45793</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45793</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45793</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45793</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45793</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45793</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45793</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45793</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45793</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45793</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45793</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45793</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45793</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45793</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45793</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45793</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45793</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45793</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45793</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45793</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45793</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45793</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45793</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45793</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45793</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45793</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45793</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45793</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45793</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45793</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45793</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45793</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45793</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45793</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45793</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45793</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45793</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45793</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45793</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45793</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45793</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45793</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45793</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45793</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45793</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45793</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45793</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45793</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45793</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45793</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45793</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45793</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45793</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45793</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45793</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45793</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45793</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45793</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45793</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45793</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45793</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45793</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45793</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45793</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45793</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45793</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45793</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45793</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45793</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45793</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45793</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45793</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45793</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45793</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45793</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45793</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45793</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45793</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45793</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45793</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45793</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45793</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45793</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45793</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45793</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45793</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45793</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45793</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45793</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45793</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45793</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45793</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45793</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45793</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45793</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45793</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45793</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45793</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45793</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45793</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45793</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45793</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45793</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45793</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45793</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45793</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45793</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45793</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45793</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45793</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45793</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45793</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45793</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45793</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45793</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45793</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45793</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45793</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45793</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45793</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45793</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45793</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45793</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45793</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45793</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45793</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45793</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45793</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45793</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45793</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45793</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45793</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45793</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45793</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45793</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45793</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45793</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45793</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45793</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45793</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45793</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45793</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45793</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45793</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45793</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45793</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45793</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45793</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45793</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45793</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45793</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45793</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45793</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45793</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45793</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45793</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45793</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45793</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45793</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45793</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45793</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45793</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45793</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45793</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45793</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45793</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45793</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45793</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45793</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45793</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45793</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45793</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45793</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45793</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45793</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45793</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45793</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45793</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45793</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45793</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45793</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45793</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45793</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45793</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45793</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45793</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45793</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45793</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45793</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45793</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45793</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45793</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45793</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45793</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45793</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45793</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45793</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45793</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45793</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45793</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45793</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45793</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45793</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45793</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45793</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45793</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45793</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45793</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45793</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45793</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45793</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45793</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45793</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45793</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45793</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45793</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45793</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45793</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45793</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45793</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45793</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45793</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45793</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45793</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45793</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45793</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45793</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45793</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45793</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45793</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45793</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45793</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45793</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45793</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45793</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45793</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45793</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45793</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45793</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45793</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45793</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45793</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45793</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45793</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45793</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45793</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45793</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45793</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45793</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45793</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45793</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45793</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45793</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45793</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45793</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45793</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45793</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45793</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45793</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45793</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45793</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45793</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45793</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45793</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45793</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45793</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45793</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45793</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45793</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45793</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45793</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45793</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45793</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45793</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45793</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45793</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45793</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45793</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45793</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45793</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45793</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45793</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45793</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45793</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45793</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45793</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45793</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45793</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45793</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45793</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45793</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45793</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45793</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45793</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45793</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45793</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45793</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45793</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45793</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45793</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45793</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45793</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45793</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45793</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45793</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45793</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45793</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45793</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45793</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45793</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45793</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45793</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45793</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45793</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45793</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45793</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45793</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45793</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45793</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45793</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45793</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45793</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45793</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45793</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45793</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45793</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45793</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45793</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45793</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45793</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45793</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45793</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45793</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45793</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45793</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45793</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45793</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45793</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45793</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45793</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45793</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45793</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45793</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45793</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45793</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45793</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45793</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45793</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45793</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45793</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45793</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45793</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45793</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45793</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45793</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45793</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45793</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45793</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45793</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45793</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45793</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45793</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45793</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45793</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45793</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45793</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45793</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45793</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45793</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45793</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45793</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45793</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45793</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45793</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45793</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45793</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45793</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45793</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45793</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45793</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45793</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45793</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45793</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45793</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45793</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45793</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45793</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45793</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45793</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45793</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45793</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45793</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45793</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45793</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45793</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45793</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45793</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45793</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45793</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45793</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45793</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45793</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45793</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45793</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45793</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45793</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45793</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45793</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45793</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45793</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45793</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45793</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45793</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45793</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45793</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45793</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45793</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45793</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45793</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45793</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45793</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45793</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45793</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45793</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45793</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45793</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45793</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45793</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45793</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45793</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45793</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45793</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45793</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45793</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45793</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45793</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45793</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45793</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45793</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45793</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45793</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45793</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45793</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45793</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45793</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45793</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45793</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45793</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45793</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45793</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45793</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45793</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45793</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45793</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45793</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45793</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45793</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45793</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45793</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45793</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45793</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45793</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45793</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45793</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45793</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45793</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45793</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45793</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45793</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45793</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45793</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45793</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45793</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45793</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45793</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45793</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45793</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45793</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45793</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45793</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45793</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45793</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45793</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45793</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45793</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45793</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45793</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45793</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45793</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45793</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45793</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45793</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45793</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45793</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45793</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45793</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45793</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45793</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45793</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45793</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45793</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45793</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45793</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45793</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45793</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45793</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45793</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45793</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45793</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45793</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45793</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45793</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45793</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45793</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45793</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45793</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45793</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45793</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45793</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45793</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45793</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45793</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45793</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45793</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45793</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45793</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45793</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45793</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45793</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45793</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45793</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45793</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45793</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45793</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45793</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45793</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45793</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45793</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18888-2025</t>
        </is>
      </c>
      <c r="B764" s="1" t="n">
        <v>45764</v>
      </c>
      <c r="C764" s="1" t="n">
        <v>45793</v>
      </c>
      <c r="D764" t="inlineStr">
        <is>
          <t>ÖREBRO LÄN</t>
        </is>
      </c>
      <c r="E764" t="inlineStr">
        <is>
          <t>HÄLLEFORS</t>
        </is>
      </c>
      <c r="F764" t="inlineStr">
        <is>
          <t>Bergvik skog väst AB</t>
        </is>
      </c>
      <c r="G764" t="n">
        <v>2.2</v>
      </c>
      <c r="H764" t="n">
        <v>0</v>
      </c>
      <c r="I764" t="n">
        <v>0</v>
      </c>
      <c r="J764" t="n">
        <v>0</v>
      </c>
      <c r="K764" t="n">
        <v>0</v>
      </c>
      <c r="L764" t="n">
        <v>0</v>
      </c>
      <c r="M764" t="n">
        <v>0</v>
      </c>
      <c r="N764" t="n">
        <v>0</v>
      </c>
      <c r="O764" t="n">
        <v>0</v>
      </c>
      <c r="P764" t="n">
        <v>0</v>
      </c>
      <c r="Q764" t="n">
        <v>0</v>
      </c>
      <c r="R764" s="2" t="inlineStr"/>
    </row>
    <row r="765" ht="15" customHeight="1">
      <c r="A765" t="inlineStr">
        <is>
          <t>A 18941-2025</t>
        </is>
      </c>
      <c r="B765" s="1" t="n">
        <v>45764</v>
      </c>
      <c r="C765" s="1" t="n">
        <v>45793</v>
      </c>
      <c r="D765" t="inlineStr">
        <is>
          <t>ÖREBRO LÄN</t>
        </is>
      </c>
      <c r="E765" t="inlineStr">
        <is>
          <t>HÄLLEFORS</t>
        </is>
      </c>
      <c r="F765" t="inlineStr">
        <is>
          <t>Bergvik skog väst AB</t>
        </is>
      </c>
      <c r="G765" t="n">
        <v>3.7</v>
      </c>
      <c r="H765" t="n">
        <v>0</v>
      </c>
      <c r="I765" t="n">
        <v>0</v>
      </c>
      <c r="J765" t="n">
        <v>0</v>
      </c>
      <c r="K765" t="n">
        <v>0</v>
      </c>
      <c r="L765" t="n">
        <v>0</v>
      </c>
      <c r="M765" t="n">
        <v>0</v>
      </c>
      <c r="N765" t="n">
        <v>0</v>
      </c>
      <c r="O765" t="n">
        <v>0</v>
      </c>
      <c r="P765" t="n">
        <v>0</v>
      </c>
      <c r="Q765" t="n">
        <v>0</v>
      </c>
      <c r="R765" s="2" t="inlineStr"/>
    </row>
    <row r="766" ht="15" customHeight="1">
      <c r="A766" t="inlineStr">
        <is>
          <t>A 18945-2025</t>
        </is>
      </c>
      <c r="B766" s="1" t="n">
        <v>45764</v>
      </c>
      <c r="C766" s="1" t="n">
        <v>45793</v>
      </c>
      <c r="D766" t="inlineStr">
        <is>
          <t>ÖREBRO LÄN</t>
        </is>
      </c>
      <c r="E766" t="inlineStr">
        <is>
          <t>HÄLLEFORS</t>
        </is>
      </c>
      <c r="F766" t="inlineStr">
        <is>
          <t>Bergvik skog väst AB</t>
        </is>
      </c>
      <c r="G766" t="n">
        <v>5.1</v>
      </c>
      <c r="H766" t="n">
        <v>0</v>
      </c>
      <c r="I766" t="n">
        <v>0</v>
      </c>
      <c r="J766" t="n">
        <v>0</v>
      </c>
      <c r="K766" t="n">
        <v>0</v>
      </c>
      <c r="L766" t="n">
        <v>0</v>
      </c>
      <c r="M766" t="n">
        <v>0</v>
      </c>
      <c r="N766" t="n">
        <v>0</v>
      </c>
      <c r="O766" t="n">
        <v>0</v>
      </c>
      <c r="P766" t="n">
        <v>0</v>
      </c>
      <c r="Q766" t="n">
        <v>0</v>
      </c>
      <c r="R766" s="2" t="inlineStr"/>
    </row>
    <row r="767" ht="15" customHeight="1">
      <c r="A767" t="inlineStr">
        <is>
          <t>A 18987-2025</t>
        </is>
      </c>
      <c r="B767" s="1" t="n">
        <v>45764</v>
      </c>
      <c r="C767" s="1" t="n">
        <v>45793</v>
      </c>
      <c r="D767" t="inlineStr">
        <is>
          <t>ÖREBRO LÄN</t>
        </is>
      </c>
      <c r="E767" t="inlineStr">
        <is>
          <t>HÄLLEFORS</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18979-2025</t>
        </is>
      </c>
      <c r="B768" s="1" t="n">
        <v>45764</v>
      </c>
      <c r="C768" s="1" t="n">
        <v>45793</v>
      </c>
      <c r="D768" t="inlineStr">
        <is>
          <t>ÖREBRO LÄN</t>
        </is>
      </c>
      <c r="E768" t="inlineStr">
        <is>
          <t>HÄLLEFORS</t>
        </is>
      </c>
      <c r="G768" t="n">
        <v>0.9</v>
      </c>
      <c r="H768" t="n">
        <v>0</v>
      </c>
      <c r="I768" t="n">
        <v>0</v>
      </c>
      <c r="J768" t="n">
        <v>0</v>
      </c>
      <c r="K768" t="n">
        <v>0</v>
      </c>
      <c r="L768" t="n">
        <v>0</v>
      </c>
      <c r="M768" t="n">
        <v>0</v>
      </c>
      <c r="N768" t="n">
        <v>0</v>
      </c>
      <c r="O768" t="n">
        <v>0</v>
      </c>
      <c r="P768" t="n">
        <v>0</v>
      </c>
      <c r="Q768" t="n">
        <v>0</v>
      </c>
      <c r="R768" s="2" t="inlineStr"/>
    </row>
    <row r="769" ht="15" customHeight="1">
      <c r="A769" t="inlineStr">
        <is>
          <t>A 18927-2025</t>
        </is>
      </c>
      <c r="B769" s="1" t="n">
        <v>45764</v>
      </c>
      <c r="C769" s="1" t="n">
        <v>45793</v>
      </c>
      <c r="D769" t="inlineStr">
        <is>
          <t>ÖREBRO LÄN</t>
        </is>
      </c>
      <c r="E769" t="inlineStr">
        <is>
          <t>HÄLLEFORS</t>
        </is>
      </c>
      <c r="F769" t="inlineStr">
        <is>
          <t>Bergvik skog väst AB</t>
        </is>
      </c>
      <c r="G769" t="n">
        <v>2.3</v>
      </c>
      <c r="H769" t="n">
        <v>0</v>
      </c>
      <c r="I769" t="n">
        <v>0</v>
      </c>
      <c r="J769" t="n">
        <v>0</v>
      </c>
      <c r="K769" t="n">
        <v>0</v>
      </c>
      <c r="L769" t="n">
        <v>0</v>
      </c>
      <c r="M769" t="n">
        <v>0</v>
      </c>
      <c r="N769" t="n">
        <v>0</v>
      </c>
      <c r="O769" t="n">
        <v>0</v>
      </c>
      <c r="P769" t="n">
        <v>0</v>
      </c>
      <c r="Q769" t="n">
        <v>0</v>
      </c>
      <c r="R769" s="2" t="inlineStr"/>
    </row>
    <row r="770" ht="15" customHeight="1">
      <c r="A770" t="inlineStr">
        <is>
          <t>A 18852-2025</t>
        </is>
      </c>
      <c r="B770" s="1" t="n">
        <v>45764</v>
      </c>
      <c r="C770" s="1" t="n">
        <v>45793</v>
      </c>
      <c r="D770" t="inlineStr">
        <is>
          <t>ÖREBRO LÄN</t>
        </is>
      </c>
      <c r="E770" t="inlineStr">
        <is>
          <t>HÄLLEFORS</t>
        </is>
      </c>
      <c r="G770" t="n">
        <v>6.8</v>
      </c>
      <c r="H770" t="n">
        <v>0</v>
      </c>
      <c r="I770" t="n">
        <v>0</v>
      </c>
      <c r="J770" t="n">
        <v>0</v>
      </c>
      <c r="K770" t="n">
        <v>0</v>
      </c>
      <c r="L770" t="n">
        <v>0</v>
      </c>
      <c r="M770" t="n">
        <v>0</v>
      </c>
      <c r="N770" t="n">
        <v>0</v>
      </c>
      <c r="O770" t="n">
        <v>0</v>
      </c>
      <c r="P770" t="n">
        <v>0</v>
      </c>
      <c r="Q770" t="n">
        <v>0</v>
      </c>
      <c r="R770" s="2" t="inlineStr"/>
    </row>
    <row r="771" ht="15" customHeight="1">
      <c r="A771" t="inlineStr">
        <is>
          <t>A 18869-2025</t>
        </is>
      </c>
      <c r="B771" s="1" t="n">
        <v>45764</v>
      </c>
      <c r="C771" s="1" t="n">
        <v>45793</v>
      </c>
      <c r="D771" t="inlineStr">
        <is>
          <t>ÖREBRO LÄN</t>
        </is>
      </c>
      <c r="E771" t="inlineStr">
        <is>
          <t>HÄLLEFORS</t>
        </is>
      </c>
      <c r="G771" t="n">
        <v>3.7</v>
      </c>
      <c r="H771" t="n">
        <v>0</v>
      </c>
      <c r="I771" t="n">
        <v>0</v>
      </c>
      <c r="J771" t="n">
        <v>0</v>
      </c>
      <c r="K771" t="n">
        <v>0</v>
      </c>
      <c r="L771" t="n">
        <v>0</v>
      </c>
      <c r="M771" t="n">
        <v>0</v>
      </c>
      <c r="N771" t="n">
        <v>0</v>
      </c>
      <c r="O771" t="n">
        <v>0</v>
      </c>
      <c r="P771" t="n">
        <v>0</v>
      </c>
      <c r="Q771" t="n">
        <v>0</v>
      </c>
      <c r="R771" s="2" t="inlineStr"/>
    </row>
    <row r="772" ht="15" customHeight="1">
      <c r="A772" t="inlineStr">
        <is>
          <t>A 18790-2025</t>
        </is>
      </c>
      <c r="B772" s="1" t="n">
        <v>45764</v>
      </c>
      <c r="C772" s="1" t="n">
        <v>45793</v>
      </c>
      <c r="D772" t="inlineStr">
        <is>
          <t>ÖREBRO LÄN</t>
        </is>
      </c>
      <c r="E772" t="inlineStr">
        <is>
          <t>HÄLLEFORS</t>
        </is>
      </c>
      <c r="G772" t="n">
        <v>14.9</v>
      </c>
      <c r="H772" t="n">
        <v>0</v>
      </c>
      <c r="I772" t="n">
        <v>0</v>
      </c>
      <c r="J772" t="n">
        <v>0</v>
      </c>
      <c r="K772" t="n">
        <v>0</v>
      </c>
      <c r="L772" t="n">
        <v>0</v>
      </c>
      <c r="M772" t="n">
        <v>0</v>
      </c>
      <c r="N772" t="n">
        <v>0</v>
      </c>
      <c r="O772" t="n">
        <v>0</v>
      </c>
      <c r="P772" t="n">
        <v>0</v>
      </c>
      <c r="Q772" t="n">
        <v>0</v>
      </c>
      <c r="R772" s="2" t="inlineStr"/>
    </row>
    <row r="773" ht="15" customHeight="1">
      <c r="A773" t="inlineStr">
        <is>
          <t>A 18891-2025</t>
        </is>
      </c>
      <c r="B773" s="1" t="n">
        <v>45764</v>
      </c>
      <c r="C773" s="1" t="n">
        <v>45793</v>
      </c>
      <c r="D773" t="inlineStr">
        <is>
          <t>ÖREBRO LÄN</t>
        </is>
      </c>
      <c r="E773" t="inlineStr">
        <is>
          <t>HÄLLEFORS</t>
        </is>
      </c>
      <c r="G773" t="n">
        <v>2.2</v>
      </c>
      <c r="H773" t="n">
        <v>0</v>
      </c>
      <c r="I773" t="n">
        <v>0</v>
      </c>
      <c r="J773" t="n">
        <v>0</v>
      </c>
      <c r="K773" t="n">
        <v>0</v>
      </c>
      <c r="L773" t="n">
        <v>0</v>
      </c>
      <c r="M773" t="n">
        <v>0</v>
      </c>
      <c r="N773" t="n">
        <v>0</v>
      </c>
      <c r="O773" t="n">
        <v>0</v>
      </c>
      <c r="P773" t="n">
        <v>0</v>
      </c>
      <c r="Q773" t="n">
        <v>0</v>
      </c>
      <c r="R773" s="2" t="inlineStr"/>
    </row>
    <row r="774" ht="15" customHeight="1">
      <c r="A774" t="inlineStr">
        <is>
          <t>A 18878-2025</t>
        </is>
      </c>
      <c r="B774" s="1" t="n">
        <v>45764</v>
      </c>
      <c r="C774" s="1" t="n">
        <v>45793</v>
      </c>
      <c r="D774" t="inlineStr">
        <is>
          <t>ÖREBRO LÄN</t>
        </is>
      </c>
      <c r="E774" t="inlineStr">
        <is>
          <t>HÄLLEFORS</t>
        </is>
      </c>
      <c r="G774" t="n">
        <v>1.4</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45793</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45793</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45793</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45793</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45793</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45793</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45793</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c r="A782" t="inlineStr">
        <is>
          <t>A 23649-2025</t>
        </is>
      </c>
      <c r="B782" s="1" t="n">
        <v>45792</v>
      </c>
      <c r="C782" s="1" t="n">
        <v>45793</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2025-05-16T17:46:55Z</dcterms:created>
  <dcterms:modified xmlns:dcterms="http://purl.org/dc/terms/" xmlns:xsi="http://www.w3.org/2001/XMLSchema-instance" xsi:type="dcterms:W3CDTF">2025-05-16T17:46:56Z</dcterms:modified>
</cp:coreProperties>
</file>