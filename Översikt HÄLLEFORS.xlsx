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45997</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45997</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45997</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45997</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45997</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45997</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45997</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45997</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45997</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45997</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45997</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45997</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18617-2025</t>
        </is>
      </c>
      <c r="B23" s="1" t="n">
        <v>45763.51037037037</v>
      </c>
      <c r="C23" s="1" t="n">
        <v>45997</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45997</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45997</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39105-2024</t>
        </is>
      </c>
      <c r="B26" s="1" t="n">
        <v>45548.57174768519</v>
      </c>
      <c r="C26" s="1" t="n">
        <v>45997</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45997</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45997</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45997</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45997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45997</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59521-2025</t>
        </is>
      </c>
      <c r="B32" s="1" t="n">
        <v>45989.65802083333</v>
      </c>
      <c r="C32" s="1" t="n">
        <v>45997</v>
      </c>
      <c r="D32" t="inlineStr">
        <is>
          <t>ÖREBRO LÄN</t>
        </is>
      </c>
      <c r="E32" t="inlineStr">
        <is>
          <t>HÄLLEFORS</t>
        </is>
      </c>
      <c r="F32" t="inlineStr">
        <is>
          <t>Sveaskog</t>
        </is>
      </c>
      <c r="G32" t="n">
        <v>8.800000000000001</v>
      </c>
      <c r="H32" t="n">
        <v>1</v>
      </c>
      <c r="I32" t="n">
        <v>0</v>
      </c>
      <c r="J32" t="n">
        <v>0</v>
      </c>
      <c r="K32" t="n">
        <v>0</v>
      </c>
      <c r="L32" t="n">
        <v>0</v>
      </c>
      <c r="M32" t="n">
        <v>0</v>
      </c>
      <c r="N32" t="n">
        <v>0</v>
      </c>
      <c r="O32" t="n">
        <v>0</v>
      </c>
      <c r="P32" t="n">
        <v>0</v>
      </c>
      <c r="Q32" t="n">
        <v>1</v>
      </c>
      <c r="R32" s="2" t="inlineStr">
        <is>
          <t>Gråspett</t>
        </is>
      </c>
      <c r="S32">
        <f>HYPERLINK("https://klasma.github.io/Logging_1863/artfynd/A 59521-2025 artfynd.xlsx", "A 59521-2025")</f>
        <v/>
      </c>
      <c r="T32">
        <f>HYPERLINK("https://klasma.github.io/Logging_1863/kartor/A 59521-2025 karta.png", "A 59521-2025")</f>
        <v/>
      </c>
      <c r="V32">
        <f>HYPERLINK("https://klasma.github.io/Logging_1863/klagomål/A 59521-2025 FSC-klagomål.docx", "A 59521-2025")</f>
        <v/>
      </c>
      <c r="W32">
        <f>HYPERLINK("https://klasma.github.io/Logging_1863/klagomålsmail/A 59521-2025 FSC-klagomål mail.docx", "A 59521-2025")</f>
        <v/>
      </c>
      <c r="X32">
        <f>HYPERLINK("https://klasma.github.io/Logging_1863/tillsyn/A 59521-2025 tillsynsbegäran.docx", "A 59521-2025")</f>
        <v/>
      </c>
      <c r="Y32">
        <f>HYPERLINK("https://klasma.github.io/Logging_1863/tillsynsmail/A 59521-2025 tillsynsbegäran mail.docx", "A 59521-2025")</f>
        <v/>
      </c>
      <c r="Z32">
        <f>HYPERLINK("https://klasma.github.io/Logging_1863/fåglar/A 59521-2025 prioriterade fågelarter.docx", "A 59521-2025")</f>
        <v/>
      </c>
    </row>
    <row r="33" ht="15" customHeight="1">
      <c r="A33" t="inlineStr">
        <is>
          <t>A 5244-2025</t>
        </is>
      </c>
      <c r="B33" s="1" t="n">
        <v>45692</v>
      </c>
      <c r="C33" s="1" t="n">
        <v>45997</v>
      </c>
      <c r="D33" t="inlineStr">
        <is>
          <t>ÖREBRO LÄN</t>
        </is>
      </c>
      <c r="E33" t="inlineStr">
        <is>
          <t>HÄLLEFORS</t>
        </is>
      </c>
      <c r="F33" t="inlineStr">
        <is>
          <t>Bergvik skog väst AB</t>
        </is>
      </c>
      <c r="G33" t="n">
        <v>9.199999999999999</v>
      </c>
      <c r="H33" t="n">
        <v>0</v>
      </c>
      <c r="I33" t="n">
        <v>0</v>
      </c>
      <c r="J33" t="n">
        <v>1</v>
      </c>
      <c r="K33" t="n">
        <v>0</v>
      </c>
      <c r="L33" t="n">
        <v>0</v>
      </c>
      <c r="M33" t="n">
        <v>0</v>
      </c>
      <c r="N33" t="n">
        <v>0</v>
      </c>
      <c r="O33" t="n">
        <v>1</v>
      </c>
      <c r="P33" t="n">
        <v>0</v>
      </c>
      <c r="Q33" t="n">
        <v>1</v>
      </c>
      <c r="R33" s="2" t="inlineStr">
        <is>
          <t>Lunglav</t>
        </is>
      </c>
      <c r="S33">
        <f>HYPERLINK("https://klasma.github.io/Logging_1863/artfynd/A 5244-2025 artfynd.xlsx", "A 5244-2025")</f>
        <v/>
      </c>
      <c r="T33">
        <f>HYPERLINK("https://klasma.github.io/Logging_1863/kartor/A 5244-2025 karta.png", "A 5244-2025")</f>
        <v/>
      </c>
      <c r="V33">
        <f>HYPERLINK("https://klasma.github.io/Logging_1863/klagomål/A 5244-2025 FSC-klagomål.docx", "A 5244-2025")</f>
        <v/>
      </c>
      <c r="W33">
        <f>HYPERLINK("https://klasma.github.io/Logging_1863/klagomålsmail/A 5244-2025 FSC-klagomål mail.docx", "A 5244-2025")</f>
        <v/>
      </c>
      <c r="X33">
        <f>HYPERLINK("https://klasma.github.io/Logging_1863/tillsyn/A 5244-2025 tillsynsbegäran.docx", "A 5244-2025")</f>
        <v/>
      </c>
      <c r="Y33">
        <f>HYPERLINK("https://klasma.github.io/Logging_1863/tillsynsmail/A 5244-2025 tillsynsbegäran mail.docx", "A 5244-2025")</f>
        <v/>
      </c>
    </row>
    <row r="34" ht="15" customHeight="1">
      <c r="A34" t="inlineStr">
        <is>
          <t>A 12966-2021</t>
        </is>
      </c>
      <c r="B34" s="1" t="n">
        <v>44271</v>
      </c>
      <c r="C34" s="1" t="n">
        <v>45997</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45997</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45997</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45997</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45997</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45997</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45997</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45997</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45997</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65240-2021</t>
        </is>
      </c>
      <c r="B44" s="1" t="n">
        <v>44515</v>
      </c>
      <c r="C44" s="1" t="n">
        <v>45997</v>
      </c>
      <c r="D44" t="inlineStr">
        <is>
          <t>ÖREBRO LÄN</t>
        </is>
      </c>
      <c r="E44" t="inlineStr">
        <is>
          <t>HÄLLEFORS</t>
        </is>
      </c>
      <c r="G44" t="n">
        <v>0.8</v>
      </c>
      <c r="H44" t="n">
        <v>0</v>
      </c>
      <c r="I44" t="n">
        <v>0</v>
      </c>
      <c r="J44" t="n">
        <v>0</v>
      </c>
      <c r="K44" t="n">
        <v>0</v>
      </c>
      <c r="L44" t="n">
        <v>0</v>
      </c>
      <c r="M44" t="n">
        <v>0</v>
      </c>
      <c r="N44" t="n">
        <v>0</v>
      </c>
      <c r="O44" t="n">
        <v>0</v>
      </c>
      <c r="P44" t="n">
        <v>0</v>
      </c>
      <c r="Q44" t="n">
        <v>0</v>
      </c>
      <c r="R44" s="2" t="inlineStr"/>
    </row>
    <row r="45" ht="15" customHeight="1">
      <c r="A45" t="inlineStr">
        <is>
          <t>A 27175-2021</t>
        </is>
      </c>
      <c r="B45" s="1" t="n">
        <v>44350</v>
      </c>
      <c r="C45" s="1" t="n">
        <v>45997</v>
      </c>
      <c r="D45" t="inlineStr">
        <is>
          <t>ÖREBRO LÄN</t>
        </is>
      </c>
      <c r="E45" t="inlineStr">
        <is>
          <t>HÄLLEFORS</t>
        </is>
      </c>
      <c r="F45" t="inlineStr">
        <is>
          <t>Sveaskog</t>
        </is>
      </c>
      <c r="G45" t="n">
        <v>5.3</v>
      </c>
      <c r="H45" t="n">
        <v>0</v>
      </c>
      <c r="I45" t="n">
        <v>0</v>
      </c>
      <c r="J45" t="n">
        <v>0</v>
      </c>
      <c r="K45" t="n">
        <v>0</v>
      </c>
      <c r="L45" t="n">
        <v>0</v>
      </c>
      <c r="M45" t="n">
        <v>0</v>
      </c>
      <c r="N45" t="n">
        <v>0</v>
      </c>
      <c r="O45" t="n">
        <v>0</v>
      </c>
      <c r="P45" t="n">
        <v>0</v>
      </c>
      <c r="Q45" t="n">
        <v>0</v>
      </c>
      <c r="R45" s="2" t="inlineStr"/>
    </row>
    <row r="46" ht="15" customHeight="1">
      <c r="A46" t="inlineStr">
        <is>
          <t>A 34355-2022</t>
        </is>
      </c>
      <c r="B46" s="1" t="n">
        <v>44792.45469907407</v>
      </c>
      <c r="C46" s="1" t="n">
        <v>45997</v>
      </c>
      <c r="D46" t="inlineStr">
        <is>
          <t>ÖREBRO LÄN</t>
        </is>
      </c>
      <c r="E46" t="inlineStr">
        <is>
          <t>HÄLLEFORS</t>
        </is>
      </c>
      <c r="G46" t="n">
        <v>0.6</v>
      </c>
      <c r="H46" t="n">
        <v>0</v>
      </c>
      <c r="I46" t="n">
        <v>0</v>
      </c>
      <c r="J46" t="n">
        <v>0</v>
      </c>
      <c r="K46" t="n">
        <v>0</v>
      </c>
      <c r="L46" t="n">
        <v>0</v>
      </c>
      <c r="M46" t="n">
        <v>0</v>
      </c>
      <c r="N46" t="n">
        <v>0</v>
      </c>
      <c r="O46" t="n">
        <v>0</v>
      </c>
      <c r="P46" t="n">
        <v>0</v>
      </c>
      <c r="Q46" t="n">
        <v>0</v>
      </c>
      <c r="R46" s="2" t="inlineStr"/>
    </row>
    <row r="47" ht="15" customHeight="1">
      <c r="A47" t="inlineStr">
        <is>
          <t>A 49154-2021</t>
        </is>
      </c>
      <c r="B47" s="1" t="n">
        <v>44453</v>
      </c>
      <c r="C47" s="1" t="n">
        <v>45997</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20244-2021</t>
        </is>
      </c>
      <c r="B48" s="1" t="n">
        <v>44314</v>
      </c>
      <c r="C48" s="1" t="n">
        <v>45997</v>
      </c>
      <c r="D48" t="inlineStr">
        <is>
          <t>ÖREBRO LÄN</t>
        </is>
      </c>
      <c r="E48" t="inlineStr">
        <is>
          <t>HÄLLEFORS</t>
        </is>
      </c>
      <c r="F48" t="inlineStr">
        <is>
          <t>Sveaskog</t>
        </is>
      </c>
      <c r="G48" t="n">
        <v>1.7</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45997</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45997</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22673-2022</t>
        </is>
      </c>
      <c r="B51" s="1" t="n">
        <v>44714.49141203704</v>
      </c>
      <c r="C51" s="1" t="n">
        <v>45997</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51605-2022</t>
        </is>
      </c>
      <c r="B52" s="1" t="n">
        <v>44871.71204861111</v>
      </c>
      <c r="C52" s="1" t="n">
        <v>45997</v>
      </c>
      <c r="D52" t="inlineStr">
        <is>
          <t>ÖREBRO LÄN</t>
        </is>
      </c>
      <c r="E52" t="inlineStr">
        <is>
          <t>HÄLLEFORS</t>
        </is>
      </c>
      <c r="G52" t="n">
        <v>9.800000000000001</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45997</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67780-2021</t>
        </is>
      </c>
      <c r="B54" s="1" t="n">
        <v>44525</v>
      </c>
      <c r="C54" s="1" t="n">
        <v>45997</v>
      </c>
      <c r="D54" t="inlineStr">
        <is>
          <t>ÖREBRO LÄN</t>
        </is>
      </c>
      <c r="E54" t="inlineStr">
        <is>
          <t>HÄLLEFORS</t>
        </is>
      </c>
      <c r="G54" t="n">
        <v>7.9</v>
      </c>
      <c r="H54" t="n">
        <v>0</v>
      </c>
      <c r="I54" t="n">
        <v>0</v>
      </c>
      <c r="J54" t="n">
        <v>0</v>
      </c>
      <c r="K54" t="n">
        <v>0</v>
      </c>
      <c r="L54" t="n">
        <v>0</v>
      </c>
      <c r="M54" t="n">
        <v>0</v>
      </c>
      <c r="N54" t="n">
        <v>0</v>
      </c>
      <c r="O54" t="n">
        <v>0</v>
      </c>
      <c r="P54" t="n">
        <v>0</v>
      </c>
      <c r="Q54" t="n">
        <v>0</v>
      </c>
      <c r="R54" s="2" t="inlineStr"/>
    </row>
    <row r="55" ht="15" customHeight="1">
      <c r="A55" t="inlineStr">
        <is>
          <t>A 48184-2022</t>
        </is>
      </c>
      <c r="B55" s="1" t="n">
        <v>44858</v>
      </c>
      <c r="C55" s="1" t="n">
        <v>45997</v>
      </c>
      <c r="D55" t="inlineStr">
        <is>
          <t>ÖREBRO LÄN</t>
        </is>
      </c>
      <c r="E55" t="inlineStr">
        <is>
          <t>HÄLLEFORS</t>
        </is>
      </c>
      <c r="F55" t="inlineStr">
        <is>
          <t>Bergvik skog väst AB</t>
        </is>
      </c>
      <c r="G55" t="n">
        <v>5.1</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45997</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44171-2022</t>
        </is>
      </c>
      <c r="B57" s="1" t="n">
        <v>44839</v>
      </c>
      <c r="C57" s="1" t="n">
        <v>45997</v>
      </c>
      <c r="D57" t="inlineStr">
        <is>
          <t>ÖREBRO LÄN</t>
        </is>
      </c>
      <c r="E57" t="inlineStr">
        <is>
          <t>HÄLLEFORS</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42862-2022</t>
        </is>
      </c>
      <c r="B58" s="1" t="n">
        <v>44832.73575231482</v>
      </c>
      <c r="C58" s="1" t="n">
        <v>45997</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20072-2021</t>
        </is>
      </c>
      <c r="B59" s="1" t="n">
        <v>44314</v>
      </c>
      <c r="C59" s="1" t="n">
        <v>45997</v>
      </c>
      <c r="D59" t="inlineStr">
        <is>
          <t>ÖREBRO LÄN</t>
        </is>
      </c>
      <c r="E59" t="inlineStr">
        <is>
          <t>HÄLLEFORS</t>
        </is>
      </c>
      <c r="F59" t="inlineStr">
        <is>
          <t>Sveaskog</t>
        </is>
      </c>
      <c r="G59" t="n">
        <v>2.2</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45997</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45997</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34480-2022</t>
        </is>
      </c>
      <c r="B62" s="1" t="n">
        <v>44792.65326388889</v>
      </c>
      <c r="C62" s="1" t="n">
        <v>45997</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45997</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7123-2021</t>
        </is>
      </c>
      <c r="B64" s="1" t="n">
        <v>44238</v>
      </c>
      <c r="C64" s="1" t="n">
        <v>45997</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45997</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45997</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45997</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23665-2022</t>
        </is>
      </c>
      <c r="B68" s="1" t="n">
        <v>44721</v>
      </c>
      <c r="C68" s="1" t="n">
        <v>45997</v>
      </c>
      <c r="D68" t="inlineStr">
        <is>
          <t>ÖREBRO LÄN</t>
        </is>
      </c>
      <c r="E68" t="inlineStr">
        <is>
          <t>HÄLLEFORS</t>
        </is>
      </c>
      <c r="F68" t="inlineStr">
        <is>
          <t>Bergvik skog väst AB</t>
        </is>
      </c>
      <c r="G68" t="n">
        <v>3.9</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45997</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45997</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7294-2022</t>
        </is>
      </c>
      <c r="B71" s="1" t="n">
        <v>44606.48085648148</v>
      </c>
      <c r="C71" s="1" t="n">
        <v>45997</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45997</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45997</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66151-2020</t>
        </is>
      </c>
      <c r="B74" s="1" t="n">
        <v>44175</v>
      </c>
      <c r="C74" s="1" t="n">
        <v>45997</v>
      </c>
      <c r="D74" t="inlineStr">
        <is>
          <t>ÖREBRO LÄN</t>
        </is>
      </c>
      <c r="E74" t="inlineStr">
        <is>
          <t>HÄLLEFORS</t>
        </is>
      </c>
      <c r="F74" t="inlineStr">
        <is>
          <t>Bergvik skog väst AB</t>
        </is>
      </c>
      <c r="G74" t="n">
        <v>12.2</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45997</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45997</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45997</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45997</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45997</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45997</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45997</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27513-2021</t>
        </is>
      </c>
      <c r="B82" s="1" t="n">
        <v>44351</v>
      </c>
      <c r="C82" s="1" t="n">
        <v>45997</v>
      </c>
      <c r="D82" t="inlineStr">
        <is>
          <t>ÖREBRO LÄN</t>
        </is>
      </c>
      <c r="E82" t="inlineStr">
        <is>
          <t>HÄLLEFORS</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17810-2025</t>
        </is>
      </c>
      <c r="B83" s="1" t="n">
        <v>45758.55883101852</v>
      </c>
      <c r="C83" s="1" t="n">
        <v>45997</v>
      </c>
      <c r="D83" t="inlineStr">
        <is>
          <t>ÖREBRO LÄN</t>
        </is>
      </c>
      <c r="E83" t="inlineStr">
        <is>
          <t>HÄLLEFORS</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17811-2025</t>
        </is>
      </c>
      <c r="B84" s="1" t="n">
        <v>45758.5594212963</v>
      </c>
      <c r="C84" s="1" t="n">
        <v>45997</v>
      </c>
      <c r="D84" t="inlineStr">
        <is>
          <t>ÖREBRO LÄN</t>
        </is>
      </c>
      <c r="E84" t="inlineStr">
        <is>
          <t>HÄLLEFORS</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45997</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45997</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45997</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9536-2025</t>
        </is>
      </c>
      <c r="B88" s="1" t="n">
        <v>45715.57746527778</v>
      </c>
      <c r="C88" s="1" t="n">
        <v>45997</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9539-2025</t>
        </is>
      </c>
      <c r="B89" s="1" t="n">
        <v>45715.57984953704</v>
      </c>
      <c r="C89" s="1" t="n">
        <v>45997</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54105-2023</t>
        </is>
      </c>
      <c r="B90" s="1" t="n">
        <v>45232</v>
      </c>
      <c r="C90" s="1" t="n">
        <v>45997</v>
      </c>
      <c r="D90" t="inlineStr">
        <is>
          <t>ÖREBRO LÄN</t>
        </is>
      </c>
      <c r="E90" t="inlineStr">
        <is>
          <t>HÄLLEFORS</t>
        </is>
      </c>
      <c r="F90" t="inlineStr">
        <is>
          <t>Kommuner</t>
        </is>
      </c>
      <c r="G90" t="n">
        <v>0.9</v>
      </c>
      <c r="H90" t="n">
        <v>0</v>
      </c>
      <c r="I90" t="n">
        <v>0</v>
      </c>
      <c r="J90" t="n">
        <v>0</v>
      </c>
      <c r="K90" t="n">
        <v>0</v>
      </c>
      <c r="L90" t="n">
        <v>0</v>
      </c>
      <c r="M90" t="n">
        <v>0</v>
      </c>
      <c r="N90" t="n">
        <v>0</v>
      </c>
      <c r="O90" t="n">
        <v>0</v>
      </c>
      <c r="P90" t="n">
        <v>0</v>
      </c>
      <c r="Q90" t="n">
        <v>0</v>
      </c>
      <c r="R90" s="2" t="inlineStr"/>
    </row>
    <row r="91" ht="15" customHeight="1">
      <c r="A91" t="inlineStr">
        <is>
          <t>A 18664-2025</t>
        </is>
      </c>
      <c r="B91" s="1" t="n">
        <v>45763.58991898148</v>
      </c>
      <c r="C91" s="1" t="n">
        <v>45997</v>
      </c>
      <c r="D91" t="inlineStr">
        <is>
          <t>ÖREBRO LÄN</t>
        </is>
      </c>
      <c r="E91" t="inlineStr">
        <is>
          <t>HÄLLEFORS</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45997</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45997</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45997</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45997</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16135-2025</t>
        </is>
      </c>
      <c r="B96" s="1" t="n">
        <v>45750.44355324074</v>
      </c>
      <c r="C96" s="1" t="n">
        <v>45997</v>
      </c>
      <c r="D96" t="inlineStr">
        <is>
          <t>ÖREBRO LÄN</t>
        </is>
      </c>
      <c r="E96" t="inlineStr">
        <is>
          <t>HÄLLEFORS</t>
        </is>
      </c>
      <c r="F96" t="inlineStr">
        <is>
          <t>Kyrkan</t>
        </is>
      </c>
      <c r="G96" t="n">
        <v>4.6</v>
      </c>
      <c r="H96" t="n">
        <v>0</v>
      </c>
      <c r="I96" t="n">
        <v>0</v>
      </c>
      <c r="J96" t="n">
        <v>0</v>
      </c>
      <c r="K96" t="n">
        <v>0</v>
      </c>
      <c r="L96" t="n">
        <v>0</v>
      </c>
      <c r="M96" t="n">
        <v>0</v>
      </c>
      <c r="N96" t="n">
        <v>0</v>
      </c>
      <c r="O96" t="n">
        <v>0</v>
      </c>
      <c r="P96" t="n">
        <v>0</v>
      </c>
      <c r="Q96" t="n">
        <v>0</v>
      </c>
      <c r="R96" s="2" t="inlineStr"/>
    </row>
    <row r="97" ht="15" customHeight="1">
      <c r="A97" t="inlineStr">
        <is>
          <t>A 24359-2023</t>
        </is>
      </c>
      <c r="B97" s="1" t="n">
        <v>45082</v>
      </c>
      <c r="C97" s="1" t="n">
        <v>45997</v>
      </c>
      <c r="D97" t="inlineStr">
        <is>
          <t>ÖREBRO LÄN</t>
        </is>
      </c>
      <c r="E97" t="inlineStr">
        <is>
          <t>HÄLLEFORS</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17120-2025</t>
        </is>
      </c>
      <c r="B98" s="1" t="n">
        <v>45755.68921296296</v>
      </c>
      <c r="C98" s="1" t="n">
        <v>45997</v>
      </c>
      <c r="D98" t="inlineStr">
        <is>
          <t>ÖREBRO LÄN</t>
        </is>
      </c>
      <c r="E98" t="inlineStr">
        <is>
          <t>HÄLLEFORS</t>
        </is>
      </c>
      <c r="F98" t="inlineStr">
        <is>
          <t>Bergvik skog väst AB</t>
        </is>
      </c>
      <c r="G98" t="n">
        <v>1.1</v>
      </c>
      <c r="H98" t="n">
        <v>0</v>
      </c>
      <c r="I98" t="n">
        <v>0</v>
      </c>
      <c r="J98" t="n">
        <v>0</v>
      </c>
      <c r="K98" t="n">
        <v>0</v>
      </c>
      <c r="L98" t="n">
        <v>0</v>
      </c>
      <c r="M98" t="n">
        <v>0</v>
      </c>
      <c r="N98" t="n">
        <v>0</v>
      </c>
      <c r="O98" t="n">
        <v>0</v>
      </c>
      <c r="P98" t="n">
        <v>0</v>
      </c>
      <c r="Q98" t="n">
        <v>0</v>
      </c>
      <c r="R98" s="2" t="inlineStr"/>
    </row>
    <row r="99" ht="15" customHeight="1">
      <c r="A99" t="inlineStr">
        <is>
          <t>A 16930-2025</t>
        </is>
      </c>
      <c r="B99" s="1" t="n">
        <v>45755.40039351852</v>
      </c>
      <c r="C99" s="1" t="n">
        <v>45997</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40530-2022</t>
        </is>
      </c>
      <c r="B100" s="1" t="n">
        <v>44823</v>
      </c>
      <c r="C100" s="1" t="n">
        <v>45997</v>
      </c>
      <c r="D100" t="inlineStr">
        <is>
          <t>ÖREBRO LÄN</t>
        </is>
      </c>
      <c r="E100" t="inlineStr">
        <is>
          <t>HÄLLEFORS</t>
        </is>
      </c>
      <c r="G100" t="n">
        <v>0.6</v>
      </c>
      <c r="H100" t="n">
        <v>0</v>
      </c>
      <c r="I100" t="n">
        <v>0</v>
      </c>
      <c r="J100" t="n">
        <v>0</v>
      </c>
      <c r="K100" t="n">
        <v>0</v>
      </c>
      <c r="L100" t="n">
        <v>0</v>
      </c>
      <c r="M100" t="n">
        <v>0</v>
      </c>
      <c r="N100" t="n">
        <v>0</v>
      </c>
      <c r="O100" t="n">
        <v>0</v>
      </c>
      <c r="P100" t="n">
        <v>0</v>
      </c>
      <c r="Q100" t="n">
        <v>0</v>
      </c>
      <c r="R100" s="2" t="inlineStr"/>
    </row>
    <row r="101" ht="15" customHeight="1">
      <c r="A101" t="inlineStr">
        <is>
          <t>A 35243-2022</t>
        </is>
      </c>
      <c r="B101" s="1" t="n">
        <v>44798</v>
      </c>
      <c r="C101" s="1" t="n">
        <v>45997</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45997</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35862-2024</t>
        </is>
      </c>
      <c r="B103" s="1" t="n">
        <v>45533.33909722222</v>
      </c>
      <c r="C103" s="1" t="n">
        <v>45997</v>
      </c>
      <c r="D103" t="inlineStr">
        <is>
          <t>ÖREBRO LÄN</t>
        </is>
      </c>
      <c r="E103" t="inlineStr">
        <is>
          <t>HÄLLEFORS</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45997</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18503-2025</t>
        </is>
      </c>
      <c r="B105" s="1" t="n">
        <v>45763.37480324074</v>
      </c>
      <c r="C105" s="1" t="n">
        <v>45997</v>
      </c>
      <c r="D105" t="inlineStr">
        <is>
          <t>ÖREBRO LÄN</t>
        </is>
      </c>
      <c r="E105" t="inlineStr">
        <is>
          <t>HÄLLEFORS</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34478-2022</t>
        </is>
      </c>
      <c r="B106" s="1" t="n">
        <v>44792.64494212963</v>
      </c>
      <c r="C106" s="1" t="n">
        <v>45997</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38908-2021</t>
        </is>
      </c>
      <c r="B107" s="1" t="n">
        <v>44411</v>
      </c>
      <c r="C107" s="1" t="n">
        <v>45997</v>
      </c>
      <c r="D107" t="inlineStr">
        <is>
          <t>ÖREBRO LÄN</t>
        </is>
      </c>
      <c r="E107" t="inlineStr">
        <is>
          <t>HÄLLEFORS</t>
        </is>
      </c>
      <c r="G107" t="n">
        <v>3.9</v>
      </c>
      <c r="H107" t="n">
        <v>0</v>
      </c>
      <c r="I107" t="n">
        <v>0</v>
      </c>
      <c r="J107" t="n">
        <v>0</v>
      </c>
      <c r="K107" t="n">
        <v>0</v>
      </c>
      <c r="L107" t="n">
        <v>0</v>
      </c>
      <c r="M107" t="n">
        <v>0</v>
      </c>
      <c r="N107" t="n">
        <v>0</v>
      </c>
      <c r="O107" t="n">
        <v>0</v>
      </c>
      <c r="P107" t="n">
        <v>0</v>
      </c>
      <c r="Q107" t="n">
        <v>0</v>
      </c>
      <c r="R107" s="2" t="inlineStr"/>
    </row>
    <row r="108" ht="15" customHeight="1">
      <c r="A108" t="inlineStr">
        <is>
          <t>A 37027-2022</t>
        </is>
      </c>
      <c r="B108" s="1" t="n">
        <v>44806</v>
      </c>
      <c r="C108" s="1" t="n">
        <v>45997</v>
      </c>
      <c r="D108" t="inlineStr">
        <is>
          <t>ÖREBRO LÄN</t>
        </is>
      </c>
      <c r="E108" t="inlineStr">
        <is>
          <t>HÄLLEFORS</t>
        </is>
      </c>
      <c r="F108" t="inlineStr">
        <is>
          <t>Bergvik skog väst AB</t>
        </is>
      </c>
      <c r="G108" t="n">
        <v>3.4</v>
      </c>
      <c r="H108" t="n">
        <v>0</v>
      </c>
      <c r="I108" t="n">
        <v>0</v>
      </c>
      <c r="J108" t="n">
        <v>0</v>
      </c>
      <c r="K108" t="n">
        <v>0</v>
      </c>
      <c r="L108" t="n">
        <v>0</v>
      </c>
      <c r="M108" t="n">
        <v>0</v>
      </c>
      <c r="N108" t="n">
        <v>0</v>
      </c>
      <c r="O108" t="n">
        <v>0</v>
      </c>
      <c r="P108" t="n">
        <v>0</v>
      </c>
      <c r="Q108" t="n">
        <v>0</v>
      </c>
      <c r="R108" s="2" t="inlineStr"/>
    </row>
    <row r="109" ht="15" customHeight="1">
      <c r="A109" t="inlineStr">
        <is>
          <t>A 44107-2024</t>
        </is>
      </c>
      <c r="B109" s="1" t="n">
        <v>45572.63357638889</v>
      </c>
      <c r="C109" s="1" t="n">
        <v>45997</v>
      </c>
      <c r="D109" t="inlineStr">
        <is>
          <t>ÖREBRO LÄN</t>
        </is>
      </c>
      <c r="E109" t="inlineStr">
        <is>
          <t>HÄLLEFORS</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23036-2024</t>
        </is>
      </c>
      <c r="B110" s="1" t="n">
        <v>45450.39145833333</v>
      </c>
      <c r="C110" s="1" t="n">
        <v>45997</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41089-2022</t>
        </is>
      </c>
      <c r="B111" s="1" t="n">
        <v>44825.64613425926</v>
      </c>
      <c r="C111" s="1" t="n">
        <v>45997</v>
      </c>
      <c r="D111" t="inlineStr">
        <is>
          <t>ÖREBRO LÄN</t>
        </is>
      </c>
      <c r="E111" t="inlineStr">
        <is>
          <t>HÄLLEFORS</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45997</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45997</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45997</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45997</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45997</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45997</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5657-2024</t>
        </is>
      </c>
      <c r="B118" s="1" t="n">
        <v>45334</v>
      </c>
      <c r="C118" s="1" t="n">
        <v>45997</v>
      </c>
      <c r="D118" t="inlineStr">
        <is>
          <t>ÖREBRO LÄN</t>
        </is>
      </c>
      <c r="E118" t="inlineStr">
        <is>
          <t>HÄLLEFORS</t>
        </is>
      </c>
      <c r="G118" t="n">
        <v>0.3</v>
      </c>
      <c r="H118" t="n">
        <v>0</v>
      </c>
      <c r="I118" t="n">
        <v>0</v>
      </c>
      <c r="J118" t="n">
        <v>0</v>
      </c>
      <c r="K118" t="n">
        <v>0</v>
      </c>
      <c r="L118" t="n">
        <v>0</v>
      </c>
      <c r="M118" t="n">
        <v>0</v>
      </c>
      <c r="N118" t="n">
        <v>0</v>
      </c>
      <c r="O118" t="n">
        <v>0</v>
      </c>
      <c r="P118" t="n">
        <v>0</v>
      </c>
      <c r="Q118" t="n">
        <v>0</v>
      </c>
      <c r="R118" s="2" t="inlineStr"/>
    </row>
    <row r="119" ht="15" customHeight="1">
      <c r="A119" t="inlineStr">
        <is>
          <t>A 17661-2025</t>
        </is>
      </c>
      <c r="B119" s="1" t="n">
        <v>45758.35846064815</v>
      </c>
      <c r="C119" s="1" t="n">
        <v>45997</v>
      </c>
      <c r="D119" t="inlineStr">
        <is>
          <t>ÖREBRO LÄN</t>
        </is>
      </c>
      <c r="E119" t="inlineStr">
        <is>
          <t>HÄLLEFORS</t>
        </is>
      </c>
      <c r="G119" t="n">
        <v>2.1</v>
      </c>
      <c r="H119" t="n">
        <v>0</v>
      </c>
      <c r="I119" t="n">
        <v>0</v>
      </c>
      <c r="J119" t="n">
        <v>0</v>
      </c>
      <c r="K119" t="n">
        <v>0</v>
      </c>
      <c r="L119" t="n">
        <v>0</v>
      </c>
      <c r="M119" t="n">
        <v>0</v>
      </c>
      <c r="N119" t="n">
        <v>0</v>
      </c>
      <c r="O119" t="n">
        <v>0</v>
      </c>
      <c r="P119" t="n">
        <v>0</v>
      </c>
      <c r="Q119" t="n">
        <v>0</v>
      </c>
      <c r="R119" s="2" t="inlineStr"/>
    </row>
    <row r="120" ht="15" customHeight="1">
      <c r="A120" t="inlineStr">
        <is>
          <t>A 62265-2022</t>
        </is>
      </c>
      <c r="B120" s="1" t="n">
        <v>44923</v>
      </c>
      <c r="C120" s="1" t="n">
        <v>45997</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45997</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29669-2022</t>
        </is>
      </c>
      <c r="B122" s="1" t="n">
        <v>44754</v>
      </c>
      <c r="C122" s="1" t="n">
        <v>45997</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23037-2024</t>
        </is>
      </c>
      <c r="B123" s="1" t="n">
        <v>45450.3955787037</v>
      </c>
      <c r="C123" s="1" t="n">
        <v>45997</v>
      </c>
      <c r="D123" t="inlineStr">
        <is>
          <t>ÖREBRO LÄN</t>
        </is>
      </c>
      <c r="E123" t="inlineStr">
        <is>
          <t>HÄLLEFORS</t>
        </is>
      </c>
      <c r="G123" t="n">
        <v>2.4</v>
      </c>
      <c r="H123" t="n">
        <v>0</v>
      </c>
      <c r="I123" t="n">
        <v>0</v>
      </c>
      <c r="J123" t="n">
        <v>0</v>
      </c>
      <c r="K123" t="n">
        <v>0</v>
      </c>
      <c r="L123" t="n">
        <v>0</v>
      </c>
      <c r="M123" t="n">
        <v>0</v>
      </c>
      <c r="N123" t="n">
        <v>0</v>
      </c>
      <c r="O123" t="n">
        <v>0</v>
      </c>
      <c r="P123" t="n">
        <v>0</v>
      </c>
      <c r="Q123" t="n">
        <v>0</v>
      </c>
      <c r="R123" s="2" t="inlineStr"/>
    </row>
    <row r="124" ht="15" customHeight="1">
      <c r="A124" t="inlineStr">
        <is>
          <t>A 29665-2022</t>
        </is>
      </c>
      <c r="B124" s="1" t="n">
        <v>44754</v>
      </c>
      <c r="C124" s="1" t="n">
        <v>45997</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29027-2024</t>
        </is>
      </c>
      <c r="B125" s="1" t="n">
        <v>45481.58833333333</v>
      </c>
      <c r="C125" s="1" t="n">
        <v>45997</v>
      </c>
      <c r="D125" t="inlineStr">
        <is>
          <t>ÖREBRO LÄN</t>
        </is>
      </c>
      <c r="E125" t="inlineStr">
        <is>
          <t>HÄLLEFORS</t>
        </is>
      </c>
      <c r="G125" t="n">
        <v>1.5</v>
      </c>
      <c r="H125" t="n">
        <v>0</v>
      </c>
      <c r="I125" t="n">
        <v>0</v>
      </c>
      <c r="J125" t="n">
        <v>0</v>
      </c>
      <c r="K125" t="n">
        <v>0</v>
      </c>
      <c r="L125" t="n">
        <v>0</v>
      </c>
      <c r="M125" t="n">
        <v>0</v>
      </c>
      <c r="N125" t="n">
        <v>0</v>
      </c>
      <c r="O125" t="n">
        <v>0</v>
      </c>
      <c r="P125" t="n">
        <v>0</v>
      </c>
      <c r="Q125" t="n">
        <v>0</v>
      </c>
      <c r="R125" s="2" t="inlineStr"/>
    </row>
    <row r="126" ht="15" customHeight="1">
      <c r="A126" t="inlineStr">
        <is>
          <t>A 4548-2022</t>
        </is>
      </c>
      <c r="B126" s="1" t="n">
        <v>44590.84471064815</v>
      </c>
      <c r="C126" s="1" t="n">
        <v>45997</v>
      </c>
      <c r="D126" t="inlineStr">
        <is>
          <t>ÖREBRO LÄN</t>
        </is>
      </c>
      <c r="E126" t="inlineStr">
        <is>
          <t>HÄLLEFORS</t>
        </is>
      </c>
      <c r="G126" t="n">
        <v>2.4</v>
      </c>
      <c r="H126" t="n">
        <v>0</v>
      </c>
      <c r="I126" t="n">
        <v>0</v>
      </c>
      <c r="J126" t="n">
        <v>0</v>
      </c>
      <c r="K126" t="n">
        <v>0</v>
      </c>
      <c r="L126" t="n">
        <v>0</v>
      </c>
      <c r="M126" t="n">
        <v>0</v>
      </c>
      <c r="N126" t="n">
        <v>0</v>
      </c>
      <c r="O126" t="n">
        <v>0</v>
      </c>
      <c r="P126" t="n">
        <v>0</v>
      </c>
      <c r="Q126" t="n">
        <v>0</v>
      </c>
      <c r="R126" s="2" t="inlineStr"/>
    </row>
    <row r="127" ht="15" customHeight="1">
      <c r="A127" t="inlineStr">
        <is>
          <t>A 59485-2022</t>
        </is>
      </c>
      <c r="B127" s="1" t="n">
        <v>44907</v>
      </c>
      <c r="C127" s="1" t="n">
        <v>45997</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39183-2022</t>
        </is>
      </c>
      <c r="B128" s="1" t="n">
        <v>44817.51229166667</v>
      </c>
      <c r="C128" s="1" t="n">
        <v>45997</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67843-2021</t>
        </is>
      </c>
      <c r="B129" s="1" t="n">
        <v>44525.47178240741</v>
      </c>
      <c r="C129" s="1" t="n">
        <v>45997</v>
      </c>
      <c r="D129" t="inlineStr">
        <is>
          <t>ÖREBRO LÄN</t>
        </is>
      </c>
      <c r="E129" t="inlineStr">
        <is>
          <t>HÄLLEFORS</t>
        </is>
      </c>
      <c r="F129" t="inlineStr">
        <is>
          <t>Bergvik skog väst AB</t>
        </is>
      </c>
      <c r="G129" t="n">
        <v>1.6</v>
      </c>
      <c r="H129" t="n">
        <v>0</v>
      </c>
      <c r="I129" t="n">
        <v>0</v>
      </c>
      <c r="J129" t="n">
        <v>0</v>
      </c>
      <c r="K129" t="n">
        <v>0</v>
      </c>
      <c r="L129" t="n">
        <v>0</v>
      </c>
      <c r="M129" t="n">
        <v>0</v>
      </c>
      <c r="N129" t="n">
        <v>0</v>
      </c>
      <c r="O129" t="n">
        <v>0</v>
      </c>
      <c r="P129" t="n">
        <v>0</v>
      </c>
      <c r="Q129" t="n">
        <v>0</v>
      </c>
      <c r="R129" s="2" t="inlineStr"/>
    </row>
    <row r="130" ht="15" customHeight="1">
      <c r="A130" t="inlineStr">
        <is>
          <t>A 18555-2025</t>
        </is>
      </c>
      <c r="B130" s="1" t="n">
        <v>45763</v>
      </c>
      <c r="C130" s="1" t="n">
        <v>45997</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2079-2024</t>
        </is>
      </c>
      <c r="B131" s="1" t="n">
        <v>45309</v>
      </c>
      <c r="C131" s="1" t="n">
        <v>45997</v>
      </c>
      <c r="D131" t="inlineStr">
        <is>
          <t>ÖREBRO LÄN</t>
        </is>
      </c>
      <c r="E131" t="inlineStr">
        <is>
          <t>HÄLLEFORS</t>
        </is>
      </c>
      <c r="G131" t="n">
        <v>0.4</v>
      </c>
      <c r="H131" t="n">
        <v>0</v>
      </c>
      <c r="I131" t="n">
        <v>0</v>
      </c>
      <c r="J131" t="n">
        <v>0</v>
      </c>
      <c r="K131" t="n">
        <v>0</v>
      </c>
      <c r="L131" t="n">
        <v>0</v>
      </c>
      <c r="M131" t="n">
        <v>0</v>
      </c>
      <c r="N131" t="n">
        <v>0</v>
      </c>
      <c r="O131" t="n">
        <v>0</v>
      </c>
      <c r="P131" t="n">
        <v>0</v>
      </c>
      <c r="Q131" t="n">
        <v>0</v>
      </c>
      <c r="R131" s="2" t="inlineStr"/>
    </row>
    <row r="132" ht="15" customHeight="1">
      <c r="A132" t="inlineStr">
        <is>
          <t>A 74464-2021</t>
        </is>
      </c>
      <c r="B132" s="1" t="n">
        <v>44560.52915509259</v>
      </c>
      <c r="C132" s="1" t="n">
        <v>45997</v>
      </c>
      <c r="D132" t="inlineStr">
        <is>
          <t>ÖREBRO LÄN</t>
        </is>
      </c>
      <c r="E132" t="inlineStr">
        <is>
          <t>HÄLLEFORS</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55300-2023</t>
        </is>
      </c>
      <c r="B133" s="1" t="n">
        <v>45237.83621527778</v>
      </c>
      <c r="C133" s="1" t="n">
        <v>45997</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46987-2023</t>
        </is>
      </c>
      <c r="B134" s="1" t="n">
        <v>45201</v>
      </c>
      <c r="C134" s="1" t="n">
        <v>45997</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45997</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45997</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13758-2023</t>
        </is>
      </c>
      <c r="B137" s="1" t="n">
        <v>45007.42528935185</v>
      </c>
      <c r="C137" s="1" t="n">
        <v>45997</v>
      </c>
      <c r="D137" t="inlineStr">
        <is>
          <t>ÖREBRO LÄN</t>
        </is>
      </c>
      <c r="E137" t="inlineStr">
        <is>
          <t>HÄLLEFORS</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35188-2023</t>
        </is>
      </c>
      <c r="B138" s="1" t="n">
        <v>45145.60365740741</v>
      </c>
      <c r="C138" s="1" t="n">
        <v>45997</v>
      </c>
      <c r="D138" t="inlineStr">
        <is>
          <t>ÖREBRO LÄN</t>
        </is>
      </c>
      <c r="E138" t="inlineStr">
        <is>
          <t>HÄLLEFORS</t>
        </is>
      </c>
      <c r="F138" t="inlineStr">
        <is>
          <t>Bergvik skog väst AB</t>
        </is>
      </c>
      <c r="G138" t="n">
        <v>12.9</v>
      </c>
      <c r="H138" t="n">
        <v>0</v>
      </c>
      <c r="I138" t="n">
        <v>0</v>
      </c>
      <c r="J138" t="n">
        <v>0</v>
      </c>
      <c r="K138" t="n">
        <v>0</v>
      </c>
      <c r="L138" t="n">
        <v>0</v>
      </c>
      <c r="M138" t="n">
        <v>0</v>
      </c>
      <c r="N138" t="n">
        <v>0</v>
      </c>
      <c r="O138" t="n">
        <v>0</v>
      </c>
      <c r="P138" t="n">
        <v>0</v>
      </c>
      <c r="Q138" t="n">
        <v>0</v>
      </c>
      <c r="R138" s="2" t="inlineStr"/>
    </row>
    <row r="139" ht="15" customHeight="1">
      <c r="A139" t="inlineStr">
        <is>
          <t>A 8387-2022</t>
        </is>
      </c>
      <c r="B139" s="1" t="n">
        <v>44610</v>
      </c>
      <c r="C139" s="1" t="n">
        <v>45997</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55099-2024</t>
        </is>
      </c>
      <c r="B140" s="1" t="n">
        <v>45621</v>
      </c>
      <c r="C140" s="1" t="n">
        <v>45997</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38010-2024</t>
        </is>
      </c>
      <c r="B141" s="1" t="n">
        <v>45544.62276620371</v>
      </c>
      <c r="C141" s="1" t="n">
        <v>45997</v>
      </c>
      <c r="D141" t="inlineStr">
        <is>
          <t>ÖREBRO LÄN</t>
        </is>
      </c>
      <c r="E141" t="inlineStr">
        <is>
          <t>HÄLLEFORS</t>
        </is>
      </c>
      <c r="G141" t="n">
        <v>22.7</v>
      </c>
      <c r="H141" t="n">
        <v>0</v>
      </c>
      <c r="I141" t="n">
        <v>0</v>
      </c>
      <c r="J141" t="n">
        <v>0</v>
      </c>
      <c r="K141" t="n">
        <v>0</v>
      </c>
      <c r="L141" t="n">
        <v>0</v>
      </c>
      <c r="M141" t="n">
        <v>0</v>
      </c>
      <c r="N141" t="n">
        <v>0</v>
      </c>
      <c r="O141" t="n">
        <v>0</v>
      </c>
      <c r="P141" t="n">
        <v>0</v>
      </c>
      <c r="Q141" t="n">
        <v>0</v>
      </c>
      <c r="R141" s="2" t="inlineStr"/>
    </row>
    <row r="142" ht="15" customHeight="1">
      <c r="A142" t="inlineStr">
        <is>
          <t>A 30592-2024</t>
        </is>
      </c>
      <c r="B142" s="1" t="n">
        <v>45493.31666666667</v>
      </c>
      <c r="C142" s="1" t="n">
        <v>45997</v>
      </c>
      <c r="D142" t="inlineStr">
        <is>
          <t>ÖREBRO LÄN</t>
        </is>
      </c>
      <c r="E142" t="inlineStr">
        <is>
          <t>HÄLLEFORS</t>
        </is>
      </c>
      <c r="G142" t="n">
        <v>7.1</v>
      </c>
      <c r="H142" t="n">
        <v>0</v>
      </c>
      <c r="I142" t="n">
        <v>0</v>
      </c>
      <c r="J142" t="n">
        <v>0</v>
      </c>
      <c r="K142" t="n">
        <v>0</v>
      </c>
      <c r="L142" t="n">
        <v>0</v>
      </c>
      <c r="M142" t="n">
        <v>0</v>
      </c>
      <c r="N142" t="n">
        <v>0</v>
      </c>
      <c r="O142" t="n">
        <v>0</v>
      </c>
      <c r="P142" t="n">
        <v>0</v>
      </c>
      <c r="Q142" t="n">
        <v>0</v>
      </c>
      <c r="R142" s="2" t="inlineStr"/>
    </row>
    <row r="143" ht="15" customHeight="1">
      <c r="A143" t="inlineStr">
        <is>
          <t>A 19033-2021</t>
        </is>
      </c>
      <c r="B143" s="1" t="n">
        <v>44308</v>
      </c>
      <c r="C143" s="1" t="n">
        <v>45997</v>
      </c>
      <c r="D143" t="inlineStr">
        <is>
          <t>ÖREBRO LÄN</t>
        </is>
      </c>
      <c r="E143" t="inlineStr">
        <is>
          <t>HÄLLEFORS</t>
        </is>
      </c>
      <c r="G143" t="n">
        <v>7.8</v>
      </c>
      <c r="H143" t="n">
        <v>0</v>
      </c>
      <c r="I143" t="n">
        <v>0</v>
      </c>
      <c r="J143" t="n">
        <v>0</v>
      </c>
      <c r="K143" t="n">
        <v>0</v>
      </c>
      <c r="L143" t="n">
        <v>0</v>
      </c>
      <c r="M143" t="n">
        <v>0</v>
      </c>
      <c r="N143" t="n">
        <v>0</v>
      </c>
      <c r="O143" t="n">
        <v>0</v>
      </c>
      <c r="P143" t="n">
        <v>0</v>
      </c>
      <c r="Q143" t="n">
        <v>0</v>
      </c>
      <c r="R143" s="2" t="inlineStr"/>
    </row>
    <row r="144" ht="15" customHeight="1">
      <c r="A144" t="inlineStr">
        <is>
          <t>A 7774-2022</t>
        </is>
      </c>
      <c r="B144" s="1" t="n">
        <v>44608.45725694444</v>
      </c>
      <c r="C144" s="1" t="n">
        <v>45997</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41193-2023</t>
        </is>
      </c>
      <c r="B145" s="1" t="n">
        <v>45174</v>
      </c>
      <c r="C145" s="1" t="n">
        <v>45997</v>
      </c>
      <c r="D145" t="inlineStr">
        <is>
          <t>ÖREBRO LÄN</t>
        </is>
      </c>
      <c r="E145" t="inlineStr">
        <is>
          <t>HÄLLEFORS</t>
        </is>
      </c>
      <c r="F145" t="inlineStr">
        <is>
          <t>Bergvik skog väst AB</t>
        </is>
      </c>
      <c r="G145" t="n">
        <v>10.9</v>
      </c>
      <c r="H145" t="n">
        <v>0</v>
      </c>
      <c r="I145" t="n">
        <v>0</v>
      </c>
      <c r="J145" t="n">
        <v>0</v>
      </c>
      <c r="K145" t="n">
        <v>0</v>
      </c>
      <c r="L145" t="n">
        <v>0</v>
      </c>
      <c r="M145" t="n">
        <v>0</v>
      </c>
      <c r="N145" t="n">
        <v>0</v>
      </c>
      <c r="O145" t="n">
        <v>0</v>
      </c>
      <c r="P145" t="n">
        <v>0</v>
      </c>
      <c r="Q145" t="n">
        <v>0</v>
      </c>
      <c r="R145" s="2" t="inlineStr"/>
    </row>
    <row r="146" ht="15" customHeight="1">
      <c r="A146" t="inlineStr">
        <is>
          <t>A 39513-2024</t>
        </is>
      </c>
      <c r="B146" s="1" t="n">
        <v>45551</v>
      </c>
      <c r="C146" s="1" t="n">
        <v>45997</v>
      </c>
      <c r="D146" t="inlineStr">
        <is>
          <t>ÖREBRO LÄN</t>
        </is>
      </c>
      <c r="E146" t="inlineStr">
        <is>
          <t>HÄLLEFORS</t>
        </is>
      </c>
      <c r="G146" t="n">
        <v>0.7</v>
      </c>
      <c r="H146" t="n">
        <v>0</v>
      </c>
      <c r="I146" t="n">
        <v>0</v>
      </c>
      <c r="J146" t="n">
        <v>0</v>
      </c>
      <c r="K146" t="n">
        <v>0</v>
      </c>
      <c r="L146" t="n">
        <v>0</v>
      </c>
      <c r="M146" t="n">
        <v>0</v>
      </c>
      <c r="N146" t="n">
        <v>0</v>
      </c>
      <c r="O146" t="n">
        <v>0</v>
      </c>
      <c r="P146" t="n">
        <v>0</v>
      </c>
      <c r="Q146" t="n">
        <v>0</v>
      </c>
      <c r="R146" s="2" t="inlineStr"/>
    </row>
    <row r="147" ht="15" customHeight="1">
      <c r="A147" t="inlineStr">
        <is>
          <t>A 49709-2023</t>
        </is>
      </c>
      <c r="B147" s="1" t="n">
        <v>45212</v>
      </c>
      <c r="C147" s="1" t="n">
        <v>45997</v>
      </c>
      <c r="D147" t="inlineStr">
        <is>
          <t>ÖREBRO LÄN</t>
        </is>
      </c>
      <c r="E147" t="inlineStr">
        <is>
          <t>HÄLLEFORS</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27935-2023</t>
        </is>
      </c>
      <c r="B148" s="1" t="n">
        <v>45098.65641203704</v>
      </c>
      <c r="C148" s="1" t="n">
        <v>45997</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4353-2023</t>
        </is>
      </c>
      <c r="B149" s="1" t="n">
        <v>44954.27407407408</v>
      </c>
      <c r="C149" s="1" t="n">
        <v>45997</v>
      </c>
      <c r="D149" t="inlineStr">
        <is>
          <t>ÖREBRO LÄN</t>
        </is>
      </c>
      <c r="E149" t="inlineStr">
        <is>
          <t>HÄLLEFORS</t>
        </is>
      </c>
      <c r="G149" t="n">
        <v>0.5</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45997</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45997</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51488-2021</t>
        </is>
      </c>
      <c r="B152" s="1" t="n">
        <v>44460</v>
      </c>
      <c r="C152" s="1" t="n">
        <v>45997</v>
      </c>
      <c r="D152" t="inlineStr">
        <is>
          <t>ÖREBRO LÄN</t>
        </is>
      </c>
      <c r="E152" t="inlineStr">
        <is>
          <t>HÄLLEFORS</t>
        </is>
      </c>
      <c r="G152" t="n">
        <v>2.8</v>
      </c>
      <c r="H152" t="n">
        <v>0</v>
      </c>
      <c r="I152" t="n">
        <v>0</v>
      </c>
      <c r="J152" t="n">
        <v>0</v>
      </c>
      <c r="K152" t="n">
        <v>0</v>
      </c>
      <c r="L152" t="n">
        <v>0</v>
      </c>
      <c r="M152" t="n">
        <v>0</v>
      </c>
      <c r="N152" t="n">
        <v>0</v>
      </c>
      <c r="O152" t="n">
        <v>0</v>
      </c>
      <c r="P152" t="n">
        <v>0</v>
      </c>
      <c r="Q152" t="n">
        <v>0</v>
      </c>
      <c r="R152" s="2" t="inlineStr"/>
    </row>
    <row r="153" ht="15" customHeight="1">
      <c r="A153" t="inlineStr">
        <is>
          <t>A 44105-2024</t>
        </is>
      </c>
      <c r="B153" s="1" t="n">
        <v>45572.62980324074</v>
      </c>
      <c r="C153" s="1" t="n">
        <v>45997</v>
      </c>
      <c r="D153" t="inlineStr">
        <is>
          <t>ÖREBRO LÄN</t>
        </is>
      </c>
      <c r="E153" t="inlineStr">
        <is>
          <t>HÄLLEFORS</t>
        </is>
      </c>
      <c r="F153" t="inlineStr">
        <is>
          <t>Bergvik skog väst AB</t>
        </is>
      </c>
      <c r="G153" t="n">
        <v>5.6</v>
      </c>
      <c r="H153" t="n">
        <v>0</v>
      </c>
      <c r="I153" t="n">
        <v>0</v>
      </c>
      <c r="J153" t="n">
        <v>0</v>
      </c>
      <c r="K153" t="n">
        <v>0</v>
      </c>
      <c r="L153" t="n">
        <v>0</v>
      </c>
      <c r="M153" t="n">
        <v>0</v>
      </c>
      <c r="N153" t="n">
        <v>0</v>
      </c>
      <c r="O153" t="n">
        <v>0</v>
      </c>
      <c r="P153" t="n">
        <v>0</v>
      </c>
      <c r="Q153" t="n">
        <v>0</v>
      </c>
      <c r="R153" s="2" t="inlineStr"/>
    </row>
    <row r="154" ht="15" customHeight="1">
      <c r="A154" t="inlineStr">
        <is>
          <t>A 46599-2024</t>
        </is>
      </c>
      <c r="B154" s="1" t="n">
        <v>45582</v>
      </c>
      <c r="C154" s="1" t="n">
        <v>45997</v>
      </c>
      <c r="D154" t="inlineStr">
        <is>
          <t>ÖREBRO LÄN</t>
        </is>
      </c>
      <c r="E154" t="inlineStr">
        <is>
          <t>HÄLLEFORS</t>
        </is>
      </c>
      <c r="F154" t="inlineStr">
        <is>
          <t>Sveaskog</t>
        </is>
      </c>
      <c r="G154" t="n">
        <v>10.1</v>
      </c>
      <c r="H154" t="n">
        <v>0</v>
      </c>
      <c r="I154" t="n">
        <v>0</v>
      </c>
      <c r="J154" t="n">
        <v>0</v>
      </c>
      <c r="K154" t="n">
        <v>0</v>
      </c>
      <c r="L154" t="n">
        <v>0</v>
      </c>
      <c r="M154" t="n">
        <v>0</v>
      </c>
      <c r="N154" t="n">
        <v>0</v>
      </c>
      <c r="O154" t="n">
        <v>0</v>
      </c>
      <c r="P154" t="n">
        <v>0</v>
      </c>
      <c r="Q154" t="n">
        <v>0</v>
      </c>
      <c r="R154" s="2" t="inlineStr"/>
    </row>
    <row r="155" ht="15" customHeight="1">
      <c r="A155" t="inlineStr">
        <is>
          <t>A 42920-2024</t>
        </is>
      </c>
      <c r="B155" s="1" t="n">
        <v>45567.29131944444</v>
      </c>
      <c r="C155" s="1" t="n">
        <v>45997</v>
      </c>
      <c r="D155" t="inlineStr">
        <is>
          <t>ÖREBRO LÄN</t>
        </is>
      </c>
      <c r="E155" t="inlineStr">
        <is>
          <t>HÄLLEFORS</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67027-2021</t>
        </is>
      </c>
      <c r="B156" s="1" t="n">
        <v>44522.66836805556</v>
      </c>
      <c r="C156" s="1" t="n">
        <v>45997</v>
      </c>
      <c r="D156" t="inlineStr">
        <is>
          <t>ÖREBRO LÄN</t>
        </is>
      </c>
      <c r="E156" t="inlineStr">
        <is>
          <t>HÄLLEFORS</t>
        </is>
      </c>
      <c r="G156" t="n">
        <v>1.7</v>
      </c>
      <c r="H156" t="n">
        <v>0</v>
      </c>
      <c r="I156" t="n">
        <v>0</v>
      </c>
      <c r="J156" t="n">
        <v>0</v>
      </c>
      <c r="K156" t="n">
        <v>0</v>
      </c>
      <c r="L156" t="n">
        <v>0</v>
      </c>
      <c r="M156" t="n">
        <v>0</v>
      </c>
      <c r="N156" t="n">
        <v>0</v>
      </c>
      <c r="O156" t="n">
        <v>0</v>
      </c>
      <c r="P156" t="n">
        <v>0</v>
      </c>
      <c r="Q156" t="n">
        <v>0</v>
      </c>
      <c r="R156" s="2" t="inlineStr"/>
    </row>
    <row r="157" ht="15" customHeight="1">
      <c r="A157" t="inlineStr">
        <is>
          <t>A 9009-2023</t>
        </is>
      </c>
      <c r="B157" s="1" t="n">
        <v>44979</v>
      </c>
      <c r="C157" s="1" t="n">
        <v>45997</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60518-2021</t>
        </is>
      </c>
      <c r="B158" s="1" t="n">
        <v>44496.5028125</v>
      </c>
      <c r="C158" s="1" t="n">
        <v>45997</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21315-2024</t>
        </is>
      </c>
      <c r="B159" s="1" t="n">
        <v>45440</v>
      </c>
      <c r="C159" s="1" t="n">
        <v>45997</v>
      </c>
      <c r="D159" t="inlineStr">
        <is>
          <t>ÖREBRO LÄN</t>
        </is>
      </c>
      <c r="E159" t="inlineStr">
        <is>
          <t>HÄLLEFORS</t>
        </is>
      </c>
      <c r="G159" t="n">
        <v>3.1</v>
      </c>
      <c r="H159" t="n">
        <v>0</v>
      </c>
      <c r="I159" t="n">
        <v>0</v>
      </c>
      <c r="J159" t="n">
        <v>0</v>
      </c>
      <c r="K159" t="n">
        <v>0</v>
      </c>
      <c r="L159" t="n">
        <v>0</v>
      </c>
      <c r="M159" t="n">
        <v>0</v>
      </c>
      <c r="N159" t="n">
        <v>0</v>
      </c>
      <c r="O159" t="n">
        <v>0</v>
      </c>
      <c r="P159" t="n">
        <v>0</v>
      </c>
      <c r="Q159" t="n">
        <v>0</v>
      </c>
      <c r="R159" s="2" t="inlineStr"/>
    </row>
    <row r="160" ht="15" customHeight="1">
      <c r="A160" t="inlineStr">
        <is>
          <t>A 60312-2024</t>
        </is>
      </c>
      <c r="B160" s="1" t="n">
        <v>45643</v>
      </c>
      <c r="C160" s="1" t="n">
        <v>45997</v>
      </c>
      <c r="D160" t="inlineStr">
        <is>
          <t>ÖREBRO LÄN</t>
        </is>
      </c>
      <c r="E160" t="inlineStr">
        <is>
          <t>HÄLLEFORS</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58768-2024</t>
        </is>
      </c>
      <c r="B161" s="1" t="n">
        <v>45635</v>
      </c>
      <c r="C161" s="1" t="n">
        <v>45997</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9537-2025</t>
        </is>
      </c>
      <c r="B162" s="1" t="n">
        <v>45715.57903935185</v>
      </c>
      <c r="C162" s="1" t="n">
        <v>45997</v>
      </c>
      <c r="D162" t="inlineStr">
        <is>
          <t>ÖREBRO LÄN</t>
        </is>
      </c>
      <c r="E162" t="inlineStr">
        <is>
          <t>HÄLLEFORS</t>
        </is>
      </c>
      <c r="G162" t="n">
        <v>2.7</v>
      </c>
      <c r="H162" t="n">
        <v>0</v>
      </c>
      <c r="I162" t="n">
        <v>0</v>
      </c>
      <c r="J162" t="n">
        <v>0</v>
      </c>
      <c r="K162" t="n">
        <v>0</v>
      </c>
      <c r="L162" t="n">
        <v>0</v>
      </c>
      <c r="M162" t="n">
        <v>0</v>
      </c>
      <c r="N162" t="n">
        <v>0</v>
      </c>
      <c r="O162" t="n">
        <v>0</v>
      </c>
      <c r="P162" t="n">
        <v>0</v>
      </c>
      <c r="Q162" t="n">
        <v>0</v>
      </c>
      <c r="R162" s="2" t="inlineStr"/>
    </row>
    <row r="163" ht="15" customHeight="1">
      <c r="A163" t="inlineStr">
        <is>
          <t>A 41810-2023</t>
        </is>
      </c>
      <c r="B163" s="1" t="n">
        <v>45176</v>
      </c>
      <c r="C163" s="1" t="n">
        <v>45997</v>
      </c>
      <c r="D163" t="inlineStr">
        <is>
          <t>ÖREBRO LÄN</t>
        </is>
      </c>
      <c r="E163" t="inlineStr">
        <is>
          <t>HÄLLEFORS</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43886-2024</t>
        </is>
      </c>
      <c r="B164" s="1" t="n">
        <v>45572.40844907407</v>
      </c>
      <c r="C164" s="1" t="n">
        <v>45997</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18715-2025</t>
        </is>
      </c>
      <c r="B165" s="1" t="n">
        <v>45763.64383101852</v>
      </c>
      <c r="C165" s="1" t="n">
        <v>45997</v>
      </c>
      <c r="D165" t="inlineStr">
        <is>
          <t>ÖREBRO LÄN</t>
        </is>
      </c>
      <c r="E165" t="inlineStr">
        <is>
          <t>HÄLLEFORS</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14669-2025</t>
        </is>
      </c>
      <c r="B166" s="1" t="n">
        <v>45742.55043981481</v>
      </c>
      <c r="C166" s="1" t="n">
        <v>45997</v>
      </c>
      <c r="D166" t="inlineStr">
        <is>
          <t>ÖREBRO LÄN</t>
        </is>
      </c>
      <c r="E166" t="inlineStr">
        <is>
          <t>HÄLLEFORS</t>
        </is>
      </c>
      <c r="G166" t="n">
        <v>0.8</v>
      </c>
      <c r="H166" t="n">
        <v>0</v>
      </c>
      <c r="I166" t="n">
        <v>0</v>
      </c>
      <c r="J166" t="n">
        <v>0</v>
      </c>
      <c r="K166" t="n">
        <v>0</v>
      </c>
      <c r="L166" t="n">
        <v>0</v>
      </c>
      <c r="M166" t="n">
        <v>0</v>
      </c>
      <c r="N166" t="n">
        <v>0</v>
      </c>
      <c r="O166" t="n">
        <v>0</v>
      </c>
      <c r="P166" t="n">
        <v>0</v>
      </c>
      <c r="Q166" t="n">
        <v>0</v>
      </c>
      <c r="R166" s="2" t="inlineStr"/>
    </row>
    <row r="167" ht="15" customHeight="1">
      <c r="A167" t="inlineStr">
        <is>
          <t>A 46642-2024</t>
        </is>
      </c>
      <c r="B167" s="1" t="n">
        <v>45583.34902777777</v>
      </c>
      <c r="C167" s="1" t="n">
        <v>45997</v>
      </c>
      <c r="D167" t="inlineStr">
        <is>
          <t>ÖREBRO LÄN</t>
        </is>
      </c>
      <c r="E167" t="inlineStr">
        <is>
          <t>HÄLLEFORS</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18888-2025</t>
        </is>
      </c>
      <c r="B168" s="1" t="n">
        <v>45764.44396990741</v>
      </c>
      <c r="C168" s="1" t="n">
        <v>45997</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20670-2025</t>
        </is>
      </c>
      <c r="B169" s="1" t="n">
        <v>45776.43351851852</v>
      </c>
      <c r="C169" s="1" t="n">
        <v>45997</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30591-2024</t>
        </is>
      </c>
      <c r="B170" s="1" t="n">
        <v>45493.3153125</v>
      </c>
      <c r="C170" s="1" t="n">
        <v>45997</v>
      </c>
      <c r="D170" t="inlineStr">
        <is>
          <t>ÖREBRO LÄN</t>
        </is>
      </c>
      <c r="E170" t="inlineStr">
        <is>
          <t>HÄLLEFORS</t>
        </is>
      </c>
      <c r="G170" t="n">
        <v>12.5</v>
      </c>
      <c r="H170" t="n">
        <v>0</v>
      </c>
      <c r="I170" t="n">
        <v>0</v>
      </c>
      <c r="J170" t="n">
        <v>0</v>
      </c>
      <c r="K170" t="n">
        <v>0</v>
      </c>
      <c r="L170" t="n">
        <v>0</v>
      </c>
      <c r="M170" t="n">
        <v>0</v>
      </c>
      <c r="N170" t="n">
        <v>0</v>
      </c>
      <c r="O170" t="n">
        <v>0</v>
      </c>
      <c r="P170" t="n">
        <v>0</v>
      </c>
      <c r="Q170" t="n">
        <v>0</v>
      </c>
      <c r="R170" s="2" t="inlineStr"/>
    </row>
    <row r="171" ht="15" customHeight="1">
      <c r="A171" t="inlineStr">
        <is>
          <t>A 21050-2025</t>
        </is>
      </c>
      <c r="B171" s="1" t="n">
        <v>45777.56322916667</v>
      </c>
      <c r="C171" s="1" t="n">
        <v>45997</v>
      </c>
      <c r="D171" t="inlineStr">
        <is>
          <t>ÖREBRO LÄN</t>
        </is>
      </c>
      <c r="E171" t="inlineStr">
        <is>
          <t>HÄLLEFORS</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38402-2023</t>
        </is>
      </c>
      <c r="B172" s="1" t="n">
        <v>45162</v>
      </c>
      <c r="C172" s="1" t="n">
        <v>45997</v>
      </c>
      <c r="D172" t="inlineStr">
        <is>
          <t>ÖREBRO LÄN</t>
        </is>
      </c>
      <c r="E172" t="inlineStr">
        <is>
          <t>HÄLLEFORS</t>
        </is>
      </c>
      <c r="F172" t="inlineStr">
        <is>
          <t>Bergvik skog väst AB</t>
        </is>
      </c>
      <c r="G172" t="n">
        <v>8.5</v>
      </c>
      <c r="H172" t="n">
        <v>0</v>
      </c>
      <c r="I172" t="n">
        <v>0</v>
      </c>
      <c r="J172" t="n">
        <v>0</v>
      </c>
      <c r="K172" t="n">
        <v>0</v>
      </c>
      <c r="L172" t="n">
        <v>0</v>
      </c>
      <c r="M172" t="n">
        <v>0</v>
      </c>
      <c r="N172" t="n">
        <v>0</v>
      </c>
      <c r="O172" t="n">
        <v>0</v>
      </c>
      <c r="P172" t="n">
        <v>0</v>
      </c>
      <c r="Q172" t="n">
        <v>0</v>
      </c>
      <c r="R172" s="2" t="inlineStr"/>
    </row>
    <row r="173" ht="15" customHeight="1">
      <c r="A173" t="inlineStr">
        <is>
          <t>A 62501-2022</t>
        </is>
      </c>
      <c r="B173" s="1" t="n">
        <v>44924.593125</v>
      </c>
      <c r="C173" s="1" t="n">
        <v>45997</v>
      </c>
      <c r="D173" t="inlineStr">
        <is>
          <t>ÖREBRO LÄN</t>
        </is>
      </c>
      <c r="E173" t="inlineStr">
        <is>
          <t>HÄLLEFORS</t>
        </is>
      </c>
      <c r="G173" t="n">
        <v>3</v>
      </c>
      <c r="H173" t="n">
        <v>0</v>
      </c>
      <c r="I173" t="n">
        <v>0</v>
      </c>
      <c r="J173" t="n">
        <v>0</v>
      </c>
      <c r="K173" t="n">
        <v>0</v>
      </c>
      <c r="L173" t="n">
        <v>0</v>
      </c>
      <c r="M173" t="n">
        <v>0</v>
      </c>
      <c r="N173" t="n">
        <v>0</v>
      </c>
      <c r="O173" t="n">
        <v>0</v>
      </c>
      <c r="P173" t="n">
        <v>0</v>
      </c>
      <c r="Q173" t="n">
        <v>0</v>
      </c>
      <c r="R173" s="2" t="inlineStr"/>
    </row>
    <row r="174" ht="15" customHeight="1">
      <c r="A174" t="inlineStr">
        <is>
          <t>A 20951-2025</t>
        </is>
      </c>
      <c r="B174" s="1" t="n">
        <v>45777.43930555556</v>
      </c>
      <c r="C174" s="1" t="n">
        <v>45997</v>
      </c>
      <c r="D174" t="inlineStr">
        <is>
          <t>ÖREBRO LÄN</t>
        </is>
      </c>
      <c r="E174" t="inlineStr">
        <is>
          <t>HÄLLEFORS</t>
        </is>
      </c>
      <c r="F174" t="inlineStr">
        <is>
          <t>Kyrkan</t>
        </is>
      </c>
      <c r="G174" t="n">
        <v>1</v>
      </c>
      <c r="H174" t="n">
        <v>0</v>
      </c>
      <c r="I174" t="n">
        <v>0</v>
      </c>
      <c r="J174" t="n">
        <v>0</v>
      </c>
      <c r="K174" t="n">
        <v>0</v>
      </c>
      <c r="L174" t="n">
        <v>0</v>
      </c>
      <c r="M174" t="n">
        <v>0</v>
      </c>
      <c r="N174" t="n">
        <v>0</v>
      </c>
      <c r="O174" t="n">
        <v>0</v>
      </c>
      <c r="P174" t="n">
        <v>0</v>
      </c>
      <c r="Q174" t="n">
        <v>0</v>
      </c>
      <c r="R174" s="2" t="inlineStr"/>
    </row>
    <row r="175" ht="15" customHeight="1">
      <c r="A175" t="inlineStr">
        <is>
          <t>A 11467-2024</t>
        </is>
      </c>
      <c r="B175" s="1" t="n">
        <v>45372.59753472222</v>
      </c>
      <c r="C175" s="1" t="n">
        <v>45997</v>
      </c>
      <c r="D175" t="inlineStr">
        <is>
          <t>ÖREBRO LÄN</t>
        </is>
      </c>
      <c r="E175" t="inlineStr">
        <is>
          <t>HÄLLEFORS</t>
        </is>
      </c>
      <c r="G175" t="n">
        <v>1</v>
      </c>
      <c r="H175" t="n">
        <v>0</v>
      </c>
      <c r="I175" t="n">
        <v>0</v>
      </c>
      <c r="J175" t="n">
        <v>0</v>
      </c>
      <c r="K175" t="n">
        <v>0</v>
      </c>
      <c r="L175" t="n">
        <v>0</v>
      </c>
      <c r="M175" t="n">
        <v>0</v>
      </c>
      <c r="N175" t="n">
        <v>0</v>
      </c>
      <c r="O175" t="n">
        <v>0</v>
      </c>
      <c r="P175" t="n">
        <v>0</v>
      </c>
      <c r="Q175" t="n">
        <v>0</v>
      </c>
      <c r="R175" s="2" t="inlineStr"/>
    </row>
    <row r="176" ht="15" customHeight="1">
      <c r="A176" t="inlineStr">
        <is>
          <t>A 3057-2024</t>
        </is>
      </c>
      <c r="B176" s="1" t="n">
        <v>45316</v>
      </c>
      <c r="C176" s="1" t="n">
        <v>45997</v>
      </c>
      <c r="D176" t="inlineStr">
        <is>
          <t>ÖREBRO LÄN</t>
        </is>
      </c>
      <c r="E176" t="inlineStr">
        <is>
          <t>HÄLLEFORS</t>
        </is>
      </c>
      <c r="F176" t="inlineStr">
        <is>
          <t>Bergvik skog väst AB</t>
        </is>
      </c>
      <c r="G176" t="n">
        <v>12.2</v>
      </c>
      <c r="H176" t="n">
        <v>0</v>
      </c>
      <c r="I176" t="n">
        <v>0</v>
      </c>
      <c r="J176" t="n">
        <v>0</v>
      </c>
      <c r="K176" t="n">
        <v>0</v>
      </c>
      <c r="L176" t="n">
        <v>0</v>
      </c>
      <c r="M176" t="n">
        <v>0</v>
      </c>
      <c r="N176" t="n">
        <v>0</v>
      </c>
      <c r="O176" t="n">
        <v>0</v>
      </c>
      <c r="P176" t="n">
        <v>0</v>
      </c>
      <c r="Q176" t="n">
        <v>0</v>
      </c>
      <c r="R176" s="2" t="inlineStr"/>
    </row>
    <row r="177" ht="15" customHeight="1">
      <c r="A177" t="inlineStr">
        <is>
          <t>A 21099-2025</t>
        </is>
      </c>
      <c r="B177" s="1" t="n">
        <v>45777.64827546296</v>
      </c>
      <c r="C177" s="1" t="n">
        <v>45997</v>
      </c>
      <c r="D177" t="inlineStr">
        <is>
          <t>ÖREBRO LÄN</t>
        </is>
      </c>
      <c r="E177" t="inlineStr">
        <is>
          <t>HÄLLEFORS</t>
        </is>
      </c>
      <c r="F177" t="inlineStr">
        <is>
          <t>Kyrkan</t>
        </is>
      </c>
      <c r="G177" t="n">
        <v>1.7</v>
      </c>
      <c r="H177" t="n">
        <v>0</v>
      </c>
      <c r="I177" t="n">
        <v>0</v>
      </c>
      <c r="J177" t="n">
        <v>0</v>
      </c>
      <c r="K177" t="n">
        <v>0</v>
      </c>
      <c r="L177" t="n">
        <v>0</v>
      </c>
      <c r="M177" t="n">
        <v>0</v>
      </c>
      <c r="N177" t="n">
        <v>0</v>
      </c>
      <c r="O177" t="n">
        <v>0</v>
      </c>
      <c r="P177" t="n">
        <v>0</v>
      </c>
      <c r="Q177" t="n">
        <v>0</v>
      </c>
      <c r="R177" s="2" t="inlineStr"/>
    </row>
    <row r="178" ht="15" customHeight="1">
      <c r="A178" t="inlineStr">
        <is>
          <t>A 18878-2025</t>
        </is>
      </c>
      <c r="B178" s="1" t="n">
        <v>45764</v>
      </c>
      <c r="C178" s="1" t="n">
        <v>45997</v>
      </c>
      <c r="D178" t="inlineStr">
        <is>
          <t>ÖREBRO LÄN</t>
        </is>
      </c>
      <c r="E178" t="inlineStr">
        <is>
          <t>HÄLLEFORS</t>
        </is>
      </c>
      <c r="G178" t="n">
        <v>1.4</v>
      </c>
      <c r="H178" t="n">
        <v>0</v>
      </c>
      <c r="I178" t="n">
        <v>0</v>
      </c>
      <c r="J178" t="n">
        <v>0</v>
      </c>
      <c r="K178" t="n">
        <v>0</v>
      </c>
      <c r="L178" t="n">
        <v>0</v>
      </c>
      <c r="M178" t="n">
        <v>0</v>
      </c>
      <c r="N178" t="n">
        <v>0</v>
      </c>
      <c r="O178" t="n">
        <v>0</v>
      </c>
      <c r="P178" t="n">
        <v>0</v>
      </c>
      <c r="Q178" t="n">
        <v>0</v>
      </c>
      <c r="R178" s="2" t="inlineStr"/>
    </row>
    <row r="179" ht="15" customHeight="1">
      <c r="A179" t="inlineStr">
        <is>
          <t>A 8615-2025</t>
        </is>
      </c>
      <c r="B179" s="1" t="n">
        <v>45710.81305555555</v>
      </c>
      <c r="C179" s="1" t="n">
        <v>45997</v>
      </c>
      <c r="D179" t="inlineStr">
        <is>
          <t>ÖREBRO LÄN</t>
        </is>
      </c>
      <c r="E179" t="inlineStr">
        <is>
          <t>HÄLLEFORS</t>
        </is>
      </c>
      <c r="G179" t="n">
        <v>6.2</v>
      </c>
      <c r="H179" t="n">
        <v>0</v>
      </c>
      <c r="I179" t="n">
        <v>0</v>
      </c>
      <c r="J179" t="n">
        <v>0</v>
      </c>
      <c r="K179" t="n">
        <v>0</v>
      </c>
      <c r="L179" t="n">
        <v>0</v>
      </c>
      <c r="M179" t="n">
        <v>0</v>
      </c>
      <c r="N179" t="n">
        <v>0</v>
      </c>
      <c r="O179" t="n">
        <v>0</v>
      </c>
      <c r="P179" t="n">
        <v>0</v>
      </c>
      <c r="Q179" t="n">
        <v>0</v>
      </c>
      <c r="R179" s="2" t="inlineStr"/>
    </row>
    <row r="180" ht="15" customHeight="1">
      <c r="A180" t="inlineStr">
        <is>
          <t>A 18987-2025</t>
        </is>
      </c>
      <c r="B180" s="1" t="n">
        <v>45764.56091435185</v>
      </c>
      <c r="C180" s="1" t="n">
        <v>45997</v>
      </c>
      <c r="D180" t="inlineStr">
        <is>
          <t>ÖREBRO LÄN</t>
        </is>
      </c>
      <c r="E180" t="inlineStr">
        <is>
          <t>HÄLLEFORS</t>
        </is>
      </c>
      <c r="F180" t="inlineStr">
        <is>
          <t>Bergvik skog väst AB</t>
        </is>
      </c>
      <c r="G180" t="n">
        <v>2.8</v>
      </c>
      <c r="H180" t="n">
        <v>0</v>
      </c>
      <c r="I180" t="n">
        <v>0</v>
      </c>
      <c r="J180" t="n">
        <v>0</v>
      </c>
      <c r="K180" t="n">
        <v>0</v>
      </c>
      <c r="L180" t="n">
        <v>0</v>
      </c>
      <c r="M180" t="n">
        <v>0</v>
      </c>
      <c r="N180" t="n">
        <v>0</v>
      </c>
      <c r="O180" t="n">
        <v>0</v>
      </c>
      <c r="P180" t="n">
        <v>0</v>
      </c>
      <c r="Q180" t="n">
        <v>0</v>
      </c>
      <c r="R180" s="2" t="inlineStr"/>
    </row>
    <row r="181" ht="15" customHeight="1">
      <c r="A181" t="inlineStr">
        <is>
          <t>A 18790-2025</t>
        </is>
      </c>
      <c r="B181" s="1" t="n">
        <v>45764</v>
      </c>
      <c r="C181" s="1" t="n">
        <v>45997</v>
      </c>
      <c r="D181" t="inlineStr">
        <is>
          <t>ÖREBRO LÄN</t>
        </is>
      </c>
      <c r="E181" t="inlineStr">
        <is>
          <t>HÄLLEFORS</t>
        </is>
      </c>
      <c r="G181" t="n">
        <v>14.9</v>
      </c>
      <c r="H181" t="n">
        <v>0</v>
      </c>
      <c r="I181" t="n">
        <v>0</v>
      </c>
      <c r="J181" t="n">
        <v>0</v>
      </c>
      <c r="K181" t="n">
        <v>0</v>
      </c>
      <c r="L181" t="n">
        <v>0</v>
      </c>
      <c r="M181" t="n">
        <v>0</v>
      </c>
      <c r="N181" t="n">
        <v>0</v>
      </c>
      <c r="O181" t="n">
        <v>0</v>
      </c>
      <c r="P181" t="n">
        <v>0</v>
      </c>
      <c r="Q181" t="n">
        <v>0</v>
      </c>
      <c r="R181" s="2" t="inlineStr"/>
    </row>
    <row r="182" ht="15" customHeight="1">
      <c r="A182" t="inlineStr">
        <is>
          <t>A 18852-2025</t>
        </is>
      </c>
      <c r="B182" s="1" t="n">
        <v>45764</v>
      </c>
      <c r="C182" s="1" t="n">
        <v>45997</v>
      </c>
      <c r="D182" t="inlineStr">
        <is>
          <t>ÖREBRO LÄN</t>
        </is>
      </c>
      <c r="E182" t="inlineStr">
        <is>
          <t>HÄLLEFORS</t>
        </is>
      </c>
      <c r="G182" t="n">
        <v>6.8</v>
      </c>
      <c r="H182" t="n">
        <v>0</v>
      </c>
      <c r="I182" t="n">
        <v>0</v>
      </c>
      <c r="J182" t="n">
        <v>0</v>
      </c>
      <c r="K182" t="n">
        <v>0</v>
      </c>
      <c r="L182" t="n">
        <v>0</v>
      </c>
      <c r="M182" t="n">
        <v>0</v>
      </c>
      <c r="N182" t="n">
        <v>0</v>
      </c>
      <c r="O182" t="n">
        <v>0</v>
      </c>
      <c r="P182" t="n">
        <v>0</v>
      </c>
      <c r="Q182" t="n">
        <v>0</v>
      </c>
      <c r="R182" s="2" t="inlineStr"/>
    </row>
    <row r="183" ht="15" customHeight="1">
      <c r="A183" t="inlineStr">
        <is>
          <t>A 18869-2025</t>
        </is>
      </c>
      <c r="B183" s="1" t="n">
        <v>45764</v>
      </c>
      <c r="C183" s="1" t="n">
        <v>45997</v>
      </c>
      <c r="D183" t="inlineStr">
        <is>
          <t>ÖREBRO LÄN</t>
        </is>
      </c>
      <c r="E183" t="inlineStr">
        <is>
          <t>HÄLLEFORS</t>
        </is>
      </c>
      <c r="G183" t="n">
        <v>3.7</v>
      </c>
      <c r="H183" t="n">
        <v>0</v>
      </c>
      <c r="I183" t="n">
        <v>0</v>
      </c>
      <c r="J183" t="n">
        <v>0</v>
      </c>
      <c r="K183" t="n">
        <v>0</v>
      </c>
      <c r="L183" t="n">
        <v>0</v>
      </c>
      <c r="M183" t="n">
        <v>0</v>
      </c>
      <c r="N183" t="n">
        <v>0</v>
      </c>
      <c r="O183" t="n">
        <v>0</v>
      </c>
      <c r="P183" t="n">
        <v>0</v>
      </c>
      <c r="Q183" t="n">
        <v>0</v>
      </c>
      <c r="R183" s="2" t="inlineStr"/>
    </row>
    <row r="184" ht="15" customHeight="1">
      <c r="A184" t="inlineStr">
        <is>
          <t>A 18891-2025</t>
        </is>
      </c>
      <c r="B184" s="1" t="n">
        <v>45764</v>
      </c>
      <c r="C184" s="1" t="n">
        <v>45997</v>
      </c>
      <c r="D184" t="inlineStr">
        <is>
          <t>ÖREBRO LÄN</t>
        </is>
      </c>
      <c r="E184" t="inlineStr">
        <is>
          <t>HÄLLEFORS</t>
        </is>
      </c>
      <c r="G184" t="n">
        <v>2.2</v>
      </c>
      <c r="H184" t="n">
        <v>0</v>
      </c>
      <c r="I184" t="n">
        <v>0</v>
      </c>
      <c r="J184" t="n">
        <v>0</v>
      </c>
      <c r="K184" t="n">
        <v>0</v>
      </c>
      <c r="L184" t="n">
        <v>0</v>
      </c>
      <c r="M184" t="n">
        <v>0</v>
      </c>
      <c r="N184" t="n">
        <v>0</v>
      </c>
      <c r="O184" t="n">
        <v>0</v>
      </c>
      <c r="P184" t="n">
        <v>0</v>
      </c>
      <c r="Q184" t="n">
        <v>0</v>
      </c>
      <c r="R184" s="2" t="inlineStr"/>
    </row>
    <row r="185" ht="15" customHeight="1">
      <c r="A185" t="inlineStr">
        <is>
          <t>A 21853-2025</t>
        </is>
      </c>
      <c r="B185" s="1" t="n">
        <v>45784.34652777778</v>
      </c>
      <c r="C185" s="1" t="n">
        <v>45997</v>
      </c>
      <c r="D185" t="inlineStr">
        <is>
          <t>ÖREBRO LÄN</t>
        </is>
      </c>
      <c r="E185" t="inlineStr">
        <is>
          <t>HÄLLEFORS</t>
        </is>
      </c>
      <c r="G185" t="n">
        <v>23.4</v>
      </c>
      <c r="H185" t="n">
        <v>0</v>
      </c>
      <c r="I185" t="n">
        <v>0</v>
      </c>
      <c r="J185" t="n">
        <v>0</v>
      </c>
      <c r="K185" t="n">
        <v>0</v>
      </c>
      <c r="L185" t="n">
        <v>0</v>
      </c>
      <c r="M185" t="n">
        <v>0</v>
      </c>
      <c r="N185" t="n">
        <v>0</v>
      </c>
      <c r="O185" t="n">
        <v>0</v>
      </c>
      <c r="P185" t="n">
        <v>0</v>
      </c>
      <c r="Q185" t="n">
        <v>0</v>
      </c>
      <c r="R185" s="2" t="inlineStr"/>
    </row>
    <row r="186" ht="15" customHeight="1">
      <c r="A186" t="inlineStr">
        <is>
          <t>A 17112-2025</t>
        </is>
      </c>
      <c r="B186" s="1" t="n">
        <v>45755</v>
      </c>
      <c r="C186" s="1" t="n">
        <v>45997</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44091-2024</t>
        </is>
      </c>
      <c r="B187" s="1" t="n">
        <v>45572.6216087963</v>
      </c>
      <c r="C187" s="1" t="n">
        <v>45997</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44052-2024</t>
        </is>
      </c>
      <c r="B188" s="1" t="n">
        <v>45572.59605324074</v>
      </c>
      <c r="C188" s="1" t="n">
        <v>45997</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30307-2024</t>
        </is>
      </c>
      <c r="B189" s="1" t="n">
        <v>45490.70074074074</v>
      </c>
      <c r="C189" s="1" t="n">
        <v>45997</v>
      </c>
      <c r="D189" t="inlineStr">
        <is>
          <t>ÖREBRO LÄN</t>
        </is>
      </c>
      <c r="E189" t="inlineStr">
        <is>
          <t>HÄLLEFORS</t>
        </is>
      </c>
      <c r="G189" t="n">
        <v>2.5</v>
      </c>
      <c r="H189" t="n">
        <v>0</v>
      </c>
      <c r="I189" t="n">
        <v>0</v>
      </c>
      <c r="J189" t="n">
        <v>0</v>
      </c>
      <c r="K189" t="n">
        <v>0</v>
      </c>
      <c r="L189" t="n">
        <v>0</v>
      </c>
      <c r="M189" t="n">
        <v>0</v>
      </c>
      <c r="N189" t="n">
        <v>0</v>
      </c>
      <c r="O189" t="n">
        <v>0</v>
      </c>
      <c r="P189" t="n">
        <v>0</v>
      </c>
      <c r="Q189" t="n">
        <v>0</v>
      </c>
      <c r="R189" s="2" t="inlineStr"/>
    </row>
    <row r="190" ht="15" customHeight="1">
      <c r="A190" t="inlineStr">
        <is>
          <t>A 45694-2023</t>
        </is>
      </c>
      <c r="B190" s="1" t="n">
        <v>45195</v>
      </c>
      <c r="C190" s="1" t="n">
        <v>45997</v>
      </c>
      <c r="D190" t="inlineStr">
        <is>
          <t>ÖREBRO LÄN</t>
        </is>
      </c>
      <c r="E190" t="inlineStr">
        <is>
          <t>HÄLLEFORS</t>
        </is>
      </c>
      <c r="G190" t="n">
        <v>10.8</v>
      </c>
      <c r="H190" t="n">
        <v>0</v>
      </c>
      <c r="I190" t="n">
        <v>0</v>
      </c>
      <c r="J190" t="n">
        <v>0</v>
      </c>
      <c r="K190" t="n">
        <v>0</v>
      </c>
      <c r="L190" t="n">
        <v>0</v>
      </c>
      <c r="M190" t="n">
        <v>0</v>
      </c>
      <c r="N190" t="n">
        <v>0</v>
      </c>
      <c r="O190" t="n">
        <v>0</v>
      </c>
      <c r="P190" t="n">
        <v>0</v>
      </c>
      <c r="Q190" t="n">
        <v>0</v>
      </c>
      <c r="R190" s="2" t="inlineStr"/>
    </row>
    <row r="191" ht="15" customHeight="1">
      <c r="A191" t="inlineStr">
        <is>
          <t>A 18168-2024</t>
        </is>
      </c>
      <c r="B191" s="1" t="n">
        <v>45420</v>
      </c>
      <c r="C191" s="1" t="n">
        <v>45997</v>
      </c>
      <c r="D191" t="inlineStr">
        <is>
          <t>ÖREBRO LÄN</t>
        </is>
      </c>
      <c r="E191" t="inlineStr">
        <is>
          <t>HÄLLEFORS</t>
        </is>
      </c>
      <c r="G191" t="n">
        <v>1.4</v>
      </c>
      <c r="H191" t="n">
        <v>0</v>
      </c>
      <c r="I191" t="n">
        <v>0</v>
      </c>
      <c r="J191" t="n">
        <v>0</v>
      </c>
      <c r="K191" t="n">
        <v>0</v>
      </c>
      <c r="L191" t="n">
        <v>0</v>
      </c>
      <c r="M191" t="n">
        <v>0</v>
      </c>
      <c r="N191" t="n">
        <v>0</v>
      </c>
      <c r="O191" t="n">
        <v>0</v>
      </c>
      <c r="P191" t="n">
        <v>0</v>
      </c>
      <c r="Q191" t="n">
        <v>0</v>
      </c>
      <c r="R191" s="2" t="inlineStr"/>
    </row>
    <row r="192" ht="15" customHeight="1">
      <c r="A192" t="inlineStr">
        <is>
          <t>A 21852-2025</t>
        </is>
      </c>
      <c r="B192" s="1" t="n">
        <v>45784</v>
      </c>
      <c r="C192" s="1" t="n">
        <v>45997</v>
      </c>
      <c r="D192" t="inlineStr">
        <is>
          <t>ÖREBRO LÄN</t>
        </is>
      </c>
      <c r="E192" t="inlineStr">
        <is>
          <t>HÄLLEFORS</t>
        </is>
      </c>
      <c r="G192" t="n">
        <v>4.2</v>
      </c>
      <c r="H192" t="n">
        <v>0</v>
      </c>
      <c r="I192" t="n">
        <v>0</v>
      </c>
      <c r="J192" t="n">
        <v>0</v>
      </c>
      <c r="K192" t="n">
        <v>0</v>
      </c>
      <c r="L192" t="n">
        <v>0</v>
      </c>
      <c r="M192" t="n">
        <v>0</v>
      </c>
      <c r="N192" t="n">
        <v>0</v>
      </c>
      <c r="O192" t="n">
        <v>0</v>
      </c>
      <c r="P192" t="n">
        <v>0</v>
      </c>
      <c r="Q192" t="n">
        <v>0</v>
      </c>
      <c r="R192" s="2" t="inlineStr"/>
    </row>
    <row r="193" ht="15" customHeight="1">
      <c r="A193" t="inlineStr">
        <is>
          <t>A 46912-2023</t>
        </is>
      </c>
      <c r="B193" s="1" t="n">
        <v>45201</v>
      </c>
      <c r="C193" s="1" t="n">
        <v>45997</v>
      </c>
      <c r="D193" t="inlineStr">
        <is>
          <t>ÖREBRO LÄN</t>
        </is>
      </c>
      <c r="E193" t="inlineStr">
        <is>
          <t>HÄLLEFORS</t>
        </is>
      </c>
      <c r="G193" t="n">
        <v>1</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44515.35802083334</v>
      </c>
      <c r="C194" s="1" t="n">
        <v>45997</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2283-2023</t>
        </is>
      </c>
      <c r="B195" s="1" t="n">
        <v>44942</v>
      </c>
      <c r="C195" s="1" t="n">
        <v>45997</v>
      </c>
      <c r="D195" t="inlineStr">
        <is>
          <t>ÖREBRO LÄN</t>
        </is>
      </c>
      <c r="E195" t="inlineStr">
        <is>
          <t>HÄLLEFORS</t>
        </is>
      </c>
      <c r="G195" t="n">
        <v>3.2</v>
      </c>
      <c r="H195" t="n">
        <v>0</v>
      </c>
      <c r="I195" t="n">
        <v>0</v>
      </c>
      <c r="J195" t="n">
        <v>0</v>
      </c>
      <c r="K195" t="n">
        <v>0</v>
      </c>
      <c r="L195" t="n">
        <v>0</v>
      </c>
      <c r="M195" t="n">
        <v>0</v>
      </c>
      <c r="N195" t="n">
        <v>0</v>
      </c>
      <c r="O195" t="n">
        <v>0</v>
      </c>
      <c r="P195" t="n">
        <v>0</v>
      </c>
      <c r="Q195" t="n">
        <v>0</v>
      </c>
      <c r="R195" s="2" t="inlineStr"/>
    </row>
    <row r="196" ht="15" customHeight="1">
      <c r="A196" t="inlineStr">
        <is>
          <t>A 47190-2022</t>
        </is>
      </c>
      <c r="B196" s="1" t="n">
        <v>44852</v>
      </c>
      <c r="C196" s="1" t="n">
        <v>45997</v>
      </c>
      <c r="D196" t="inlineStr">
        <is>
          <t>ÖREBRO LÄN</t>
        </is>
      </c>
      <c r="E196" t="inlineStr">
        <is>
          <t>HÄLLEFORS</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18535-2025</t>
        </is>
      </c>
      <c r="B197" s="1" t="n">
        <v>45763</v>
      </c>
      <c r="C197" s="1" t="n">
        <v>45997</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11044-2021</t>
        </is>
      </c>
      <c r="B198" s="1" t="n">
        <v>44260</v>
      </c>
      <c r="C198" s="1" t="n">
        <v>45997</v>
      </c>
      <c r="D198" t="inlineStr">
        <is>
          <t>ÖREBRO LÄN</t>
        </is>
      </c>
      <c r="E198" t="inlineStr">
        <is>
          <t>HÄLLEFORS</t>
        </is>
      </c>
      <c r="F198" t="inlineStr">
        <is>
          <t>Kyrkan</t>
        </is>
      </c>
      <c r="G198" t="n">
        <v>3.6</v>
      </c>
      <c r="H198" t="n">
        <v>0</v>
      </c>
      <c r="I198" t="n">
        <v>0</v>
      </c>
      <c r="J198" t="n">
        <v>0</v>
      </c>
      <c r="K198" t="n">
        <v>0</v>
      </c>
      <c r="L198" t="n">
        <v>0</v>
      </c>
      <c r="M198" t="n">
        <v>0</v>
      </c>
      <c r="N198" t="n">
        <v>0</v>
      </c>
      <c r="O198" t="n">
        <v>0</v>
      </c>
      <c r="P198" t="n">
        <v>0</v>
      </c>
      <c r="Q198" t="n">
        <v>0</v>
      </c>
      <c r="R198" s="2" t="inlineStr"/>
    </row>
    <row r="199" ht="15" customHeight="1">
      <c r="A199" t="inlineStr">
        <is>
          <t>A 59957-2024</t>
        </is>
      </c>
      <c r="B199" s="1" t="n">
        <v>45642.35061342592</v>
      </c>
      <c r="C199" s="1" t="n">
        <v>45997</v>
      </c>
      <c r="D199" t="inlineStr">
        <is>
          <t>ÖREBRO LÄN</t>
        </is>
      </c>
      <c r="E199" t="inlineStr">
        <is>
          <t>HÄLLEFORS</t>
        </is>
      </c>
      <c r="F199" t="inlineStr">
        <is>
          <t>Bergvik skog väst AB</t>
        </is>
      </c>
      <c r="G199" t="n">
        <v>4.3</v>
      </c>
      <c r="H199" t="n">
        <v>0</v>
      </c>
      <c r="I199" t="n">
        <v>0</v>
      </c>
      <c r="J199" t="n">
        <v>0</v>
      </c>
      <c r="K199" t="n">
        <v>0</v>
      </c>
      <c r="L199" t="n">
        <v>0</v>
      </c>
      <c r="M199" t="n">
        <v>0</v>
      </c>
      <c r="N199" t="n">
        <v>0</v>
      </c>
      <c r="O199" t="n">
        <v>0</v>
      </c>
      <c r="P199" t="n">
        <v>0</v>
      </c>
      <c r="Q199" t="n">
        <v>0</v>
      </c>
      <c r="R199" s="2" t="inlineStr"/>
    </row>
    <row r="200" ht="15" customHeight="1">
      <c r="A200" t="inlineStr">
        <is>
          <t>A 59959-2024</t>
        </is>
      </c>
      <c r="B200" s="1" t="n">
        <v>45642.35097222222</v>
      </c>
      <c r="C200" s="1" t="n">
        <v>45997</v>
      </c>
      <c r="D200" t="inlineStr">
        <is>
          <t>ÖREBRO LÄN</t>
        </is>
      </c>
      <c r="E200" t="inlineStr">
        <is>
          <t>HÄLLEFORS</t>
        </is>
      </c>
      <c r="F200" t="inlineStr">
        <is>
          <t>Bergvik skog väst AB</t>
        </is>
      </c>
      <c r="G200" t="n">
        <v>4.9</v>
      </c>
      <c r="H200" t="n">
        <v>0</v>
      </c>
      <c r="I200" t="n">
        <v>0</v>
      </c>
      <c r="J200" t="n">
        <v>0</v>
      </c>
      <c r="K200" t="n">
        <v>0</v>
      </c>
      <c r="L200" t="n">
        <v>0</v>
      </c>
      <c r="M200" t="n">
        <v>0</v>
      </c>
      <c r="N200" t="n">
        <v>0</v>
      </c>
      <c r="O200" t="n">
        <v>0</v>
      </c>
      <c r="P200" t="n">
        <v>0</v>
      </c>
      <c r="Q200" t="n">
        <v>0</v>
      </c>
      <c r="R200" s="2" t="inlineStr"/>
    </row>
    <row r="201" ht="15" customHeight="1">
      <c r="A201" t="inlineStr">
        <is>
          <t>A 9518-2023</t>
        </is>
      </c>
      <c r="B201" s="1" t="n">
        <v>44981</v>
      </c>
      <c r="C201" s="1" t="n">
        <v>45997</v>
      </c>
      <c r="D201" t="inlineStr">
        <is>
          <t>ÖREBRO LÄN</t>
        </is>
      </c>
      <c r="E201" t="inlineStr">
        <is>
          <t>HÄLLEFORS</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8503-2022</t>
        </is>
      </c>
      <c r="B202" s="1" t="n">
        <v>44613</v>
      </c>
      <c r="C202" s="1" t="n">
        <v>45997</v>
      </c>
      <c r="D202" t="inlineStr">
        <is>
          <t>ÖREBRO LÄN</t>
        </is>
      </c>
      <c r="E202" t="inlineStr">
        <is>
          <t>HÄLLEFORS</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17072-2025</t>
        </is>
      </c>
      <c r="B203" s="1" t="n">
        <v>45755.61793981482</v>
      </c>
      <c r="C203" s="1" t="n">
        <v>45997</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55745-2024</t>
        </is>
      </c>
      <c r="B204" s="1" t="n">
        <v>45623.3168287037</v>
      </c>
      <c r="C204" s="1" t="n">
        <v>45997</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51213-2023</t>
        </is>
      </c>
      <c r="B205" s="1" t="n">
        <v>45219.44515046296</v>
      </c>
      <c r="C205" s="1" t="n">
        <v>45997</v>
      </c>
      <c r="D205" t="inlineStr">
        <is>
          <t>ÖREBRO LÄN</t>
        </is>
      </c>
      <c r="E205" t="inlineStr">
        <is>
          <t>HÄLLEFORS</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33617-2022</t>
        </is>
      </c>
      <c r="B206" s="1" t="n">
        <v>44782</v>
      </c>
      <c r="C206" s="1" t="n">
        <v>45997</v>
      </c>
      <c r="D206" t="inlineStr">
        <is>
          <t>ÖREBRO LÄN</t>
        </is>
      </c>
      <c r="E206" t="inlineStr">
        <is>
          <t>HÄLLEFORS</t>
        </is>
      </c>
      <c r="G206" t="n">
        <v>8.6</v>
      </c>
      <c r="H206" t="n">
        <v>0</v>
      </c>
      <c r="I206" t="n">
        <v>0</v>
      </c>
      <c r="J206" t="n">
        <v>0</v>
      </c>
      <c r="K206" t="n">
        <v>0</v>
      </c>
      <c r="L206" t="n">
        <v>0</v>
      </c>
      <c r="M206" t="n">
        <v>0</v>
      </c>
      <c r="N206" t="n">
        <v>0</v>
      </c>
      <c r="O206" t="n">
        <v>0</v>
      </c>
      <c r="P206" t="n">
        <v>0</v>
      </c>
      <c r="Q206" t="n">
        <v>0</v>
      </c>
      <c r="R206" s="2" t="inlineStr"/>
    </row>
    <row r="207" ht="15" customHeight="1">
      <c r="A207" t="inlineStr">
        <is>
          <t>A 1019-2025</t>
        </is>
      </c>
      <c r="B207" s="1" t="n">
        <v>45666.49216435185</v>
      </c>
      <c r="C207" s="1" t="n">
        <v>45997</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3619-2021</t>
        </is>
      </c>
      <c r="B208" s="1" t="n">
        <v>44221</v>
      </c>
      <c r="C208" s="1" t="n">
        <v>45997</v>
      </c>
      <c r="D208" t="inlineStr">
        <is>
          <t>ÖREBRO LÄN</t>
        </is>
      </c>
      <c r="E208" t="inlineStr">
        <is>
          <t>HÄLLEFORS</t>
        </is>
      </c>
      <c r="F208" t="inlineStr">
        <is>
          <t>Kyrkan</t>
        </is>
      </c>
      <c r="G208" t="n">
        <v>0.6</v>
      </c>
      <c r="H208" t="n">
        <v>0</v>
      </c>
      <c r="I208" t="n">
        <v>0</v>
      </c>
      <c r="J208" t="n">
        <v>0</v>
      </c>
      <c r="K208" t="n">
        <v>0</v>
      </c>
      <c r="L208" t="n">
        <v>0</v>
      </c>
      <c r="M208" t="n">
        <v>0</v>
      </c>
      <c r="N208" t="n">
        <v>0</v>
      </c>
      <c r="O208" t="n">
        <v>0</v>
      </c>
      <c r="P208" t="n">
        <v>0</v>
      </c>
      <c r="Q208" t="n">
        <v>0</v>
      </c>
      <c r="R208" s="2" t="inlineStr"/>
    </row>
    <row r="209" ht="15" customHeight="1">
      <c r="A209" t="inlineStr">
        <is>
          <t>A 53340-2024</t>
        </is>
      </c>
      <c r="B209" s="1" t="n">
        <v>45614.43358796297</v>
      </c>
      <c r="C209" s="1" t="n">
        <v>45997</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58499-2022</t>
        </is>
      </c>
      <c r="B210" s="1" t="n">
        <v>44902.3759375</v>
      </c>
      <c r="C210" s="1" t="n">
        <v>45997</v>
      </c>
      <c r="D210" t="inlineStr">
        <is>
          <t>ÖREBRO LÄN</t>
        </is>
      </c>
      <c r="E210" t="inlineStr">
        <is>
          <t>HÄLLEFORS</t>
        </is>
      </c>
      <c r="F210" t="inlineStr">
        <is>
          <t>Bergvik skog väst AB</t>
        </is>
      </c>
      <c r="G210" t="n">
        <v>4.2</v>
      </c>
      <c r="H210" t="n">
        <v>0</v>
      </c>
      <c r="I210" t="n">
        <v>0</v>
      </c>
      <c r="J210" t="n">
        <v>0</v>
      </c>
      <c r="K210" t="n">
        <v>0</v>
      </c>
      <c r="L210" t="n">
        <v>0</v>
      </c>
      <c r="M210" t="n">
        <v>0</v>
      </c>
      <c r="N210" t="n">
        <v>0</v>
      </c>
      <c r="O210" t="n">
        <v>0</v>
      </c>
      <c r="P210" t="n">
        <v>0</v>
      </c>
      <c r="Q210" t="n">
        <v>0</v>
      </c>
      <c r="R210" s="2" t="inlineStr"/>
    </row>
    <row r="211" ht="15" customHeight="1">
      <c r="A211" t="inlineStr">
        <is>
          <t>A 20128-2024</t>
        </is>
      </c>
      <c r="B211" s="1" t="n">
        <v>45434.5571412037</v>
      </c>
      <c r="C211" s="1" t="n">
        <v>45997</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45997</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15771-2022</t>
        </is>
      </c>
      <c r="B213" s="1" t="n">
        <v>44663.63033564815</v>
      </c>
      <c r="C213" s="1" t="n">
        <v>45997</v>
      </c>
      <c r="D213" t="inlineStr">
        <is>
          <t>ÖREBRO LÄN</t>
        </is>
      </c>
      <c r="E213" t="inlineStr">
        <is>
          <t>HÄLLEFORS</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60523-2024</t>
        </is>
      </c>
      <c r="B214" s="1" t="n">
        <v>45643.69060185185</v>
      </c>
      <c r="C214" s="1" t="n">
        <v>45997</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26537-2021</t>
        </is>
      </c>
      <c r="B215" s="1" t="n">
        <v>44348</v>
      </c>
      <c r="C215" s="1" t="n">
        <v>45997</v>
      </c>
      <c r="D215" t="inlineStr">
        <is>
          <t>ÖREBRO LÄN</t>
        </is>
      </c>
      <c r="E215" t="inlineStr">
        <is>
          <t>HÄLLEFORS</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45710-2023</t>
        </is>
      </c>
      <c r="B216" s="1" t="n">
        <v>45195.35254629629</v>
      </c>
      <c r="C216" s="1" t="n">
        <v>45997</v>
      </c>
      <c r="D216" t="inlineStr">
        <is>
          <t>ÖREBRO LÄN</t>
        </is>
      </c>
      <c r="E216" t="inlineStr">
        <is>
          <t>HÄLLEFORS</t>
        </is>
      </c>
      <c r="G216" t="n">
        <v>5.4</v>
      </c>
      <c r="H216" t="n">
        <v>0</v>
      </c>
      <c r="I216" t="n">
        <v>0</v>
      </c>
      <c r="J216" t="n">
        <v>0</v>
      </c>
      <c r="K216" t="n">
        <v>0</v>
      </c>
      <c r="L216" t="n">
        <v>0</v>
      </c>
      <c r="M216" t="n">
        <v>0</v>
      </c>
      <c r="N216" t="n">
        <v>0</v>
      </c>
      <c r="O216" t="n">
        <v>0</v>
      </c>
      <c r="P216" t="n">
        <v>0</v>
      </c>
      <c r="Q216" t="n">
        <v>0</v>
      </c>
      <c r="R216" s="2" t="inlineStr"/>
    </row>
    <row r="217" ht="15" customHeight="1">
      <c r="A217" t="inlineStr">
        <is>
          <t>A 59955-2024</t>
        </is>
      </c>
      <c r="B217" s="1" t="n">
        <v>45642.34987268518</v>
      </c>
      <c r="C217" s="1" t="n">
        <v>45997</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45997</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55397-2023</t>
        </is>
      </c>
      <c r="B219" s="1" t="n">
        <v>45238</v>
      </c>
      <c r="C219" s="1" t="n">
        <v>45997</v>
      </c>
      <c r="D219" t="inlineStr">
        <is>
          <t>ÖREBRO LÄN</t>
        </is>
      </c>
      <c r="E219" t="inlineStr">
        <is>
          <t>HÄLLEFORS</t>
        </is>
      </c>
      <c r="G219" t="n">
        <v>1.3</v>
      </c>
      <c r="H219" t="n">
        <v>0</v>
      </c>
      <c r="I219" t="n">
        <v>0</v>
      </c>
      <c r="J219" t="n">
        <v>0</v>
      </c>
      <c r="K219" t="n">
        <v>0</v>
      </c>
      <c r="L219" t="n">
        <v>0</v>
      </c>
      <c r="M219" t="n">
        <v>0</v>
      </c>
      <c r="N219" t="n">
        <v>0</v>
      </c>
      <c r="O219" t="n">
        <v>0</v>
      </c>
      <c r="P219" t="n">
        <v>0</v>
      </c>
      <c r="Q219" t="n">
        <v>0</v>
      </c>
      <c r="R219" s="2" t="inlineStr"/>
    </row>
    <row r="220" ht="15" customHeight="1">
      <c r="A220" t="inlineStr">
        <is>
          <t>A 44088-2024</t>
        </is>
      </c>
      <c r="B220" s="1" t="n">
        <v>45572.61984953703</v>
      </c>
      <c r="C220" s="1" t="n">
        <v>45997</v>
      </c>
      <c r="D220" t="inlineStr">
        <is>
          <t>ÖREBRO LÄN</t>
        </is>
      </c>
      <c r="E220" t="inlineStr">
        <is>
          <t>HÄLLEFORS</t>
        </is>
      </c>
      <c r="G220" t="n">
        <v>4</v>
      </c>
      <c r="H220" t="n">
        <v>0</v>
      </c>
      <c r="I220" t="n">
        <v>0</v>
      </c>
      <c r="J220" t="n">
        <v>0</v>
      </c>
      <c r="K220" t="n">
        <v>0</v>
      </c>
      <c r="L220" t="n">
        <v>0</v>
      </c>
      <c r="M220" t="n">
        <v>0</v>
      </c>
      <c r="N220" t="n">
        <v>0</v>
      </c>
      <c r="O220" t="n">
        <v>0</v>
      </c>
      <c r="P220" t="n">
        <v>0</v>
      </c>
      <c r="Q220" t="n">
        <v>0</v>
      </c>
      <c r="R220" s="2" t="inlineStr"/>
    </row>
    <row r="221" ht="15" customHeight="1">
      <c r="A221" t="inlineStr">
        <is>
          <t>A 4716-2022</t>
        </is>
      </c>
      <c r="B221" s="1" t="n">
        <v>44592</v>
      </c>
      <c r="C221" s="1" t="n">
        <v>45997</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28788-2022</t>
        </is>
      </c>
      <c r="B222" s="1" t="n">
        <v>44749.39806712963</v>
      </c>
      <c r="C222" s="1" t="n">
        <v>45997</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43941-2023</t>
        </is>
      </c>
      <c r="B223" s="1" t="n">
        <v>45187</v>
      </c>
      <c r="C223" s="1" t="n">
        <v>45997</v>
      </c>
      <c r="D223" t="inlineStr">
        <is>
          <t>ÖREBRO LÄN</t>
        </is>
      </c>
      <c r="E223" t="inlineStr">
        <is>
          <t>HÄLLEFORS</t>
        </is>
      </c>
      <c r="G223" t="n">
        <v>1.5</v>
      </c>
      <c r="H223" t="n">
        <v>0</v>
      </c>
      <c r="I223" t="n">
        <v>0</v>
      </c>
      <c r="J223" t="n">
        <v>0</v>
      </c>
      <c r="K223" t="n">
        <v>0</v>
      </c>
      <c r="L223" t="n">
        <v>0</v>
      </c>
      <c r="M223" t="n">
        <v>0</v>
      </c>
      <c r="N223" t="n">
        <v>0</v>
      </c>
      <c r="O223" t="n">
        <v>0</v>
      </c>
      <c r="P223" t="n">
        <v>0</v>
      </c>
      <c r="Q223" t="n">
        <v>0</v>
      </c>
      <c r="R223" s="2" t="inlineStr"/>
    </row>
    <row r="224" ht="15" customHeight="1">
      <c r="A224" t="inlineStr">
        <is>
          <t>A 60303-2024</t>
        </is>
      </c>
      <c r="B224" s="1" t="n">
        <v>45643</v>
      </c>
      <c r="C224" s="1" t="n">
        <v>45997</v>
      </c>
      <c r="D224" t="inlineStr">
        <is>
          <t>ÖREBRO LÄN</t>
        </is>
      </c>
      <c r="E224" t="inlineStr">
        <is>
          <t>HÄLLEFORS</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48429-2024</t>
        </is>
      </c>
      <c r="B225" s="1" t="n">
        <v>45590</v>
      </c>
      <c r="C225" s="1" t="n">
        <v>45997</v>
      </c>
      <c r="D225" t="inlineStr">
        <is>
          <t>ÖREBRO LÄN</t>
        </is>
      </c>
      <c r="E225" t="inlineStr">
        <is>
          <t>HÄLLEFORS</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16999-2024</t>
        </is>
      </c>
      <c r="B226" s="1" t="n">
        <v>45412.35543981481</v>
      </c>
      <c r="C226" s="1" t="n">
        <v>45997</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19245-2025</t>
        </is>
      </c>
      <c r="B227" s="1" t="n">
        <v>45769</v>
      </c>
      <c r="C227" s="1" t="n">
        <v>45997</v>
      </c>
      <c r="D227" t="inlineStr">
        <is>
          <t>ÖREBRO LÄN</t>
        </is>
      </c>
      <c r="E227" t="inlineStr">
        <is>
          <t>HÄLLEFORS</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35106-2023</t>
        </is>
      </c>
      <c r="B228" s="1" t="n">
        <v>45145</v>
      </c>
      <c r="C228" s="1" t="n">
        <v>45997</v>
      </c>
      <c r="D228" t="inlineStr">
        <is>
          <t>ÖREBRO LÄN</t>
        </is>
      </c>
      <c r="E228" t="inlineStr">
        <is>
          <t>HÄLLEFORS</t>
        </is>
      </c>
      <c r="F228" t="inlineStr">
        <is>
          <t>Bergvik skog väst AB</t>
        </is>
      </c>
      <c r="G228" t="n">
        <v>13.9</v>
      </c>
      <c r="H228" t="n">
        <v>0</v>
      </c>
      <c r="I228" t="n">
        <v>0</v>
      </c>
      <c r="J228" t="n">
        <v>0</v>
      </c>
      <c r="K228" t="n">
        <v>0</v>
      </c>
      <c r="L228" t="n">
        <v>0</v>
      </c>
      <c r="M228" t="n">
        <v>0</v>
      </c>
      <c r="N228" t="n">
        <v>0</v>
      </c>
      <c r="O228" t="n">
        <v>0</v>
      </c>
      <c r="P228" t="n">
        <v>0</v>
      </c>
      <c r="Q228" t="n">
        <v>0</v>
      </c>
      <c r="R228" s="2" t="inlineStr"/>
    </row>
    <row r="229" ht="15" customHeight="1">
      <c r="A229" t="inlineStr">
        <is>
          <t>A 39178-2022</t>
        </is>
      </c>
      <c r="B229" s="1" t="n">
        <v>44817.50186342592</v>
      </c>
      <c r="C229" s="1" t="n">
        <v>45997</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47907-2024</t>
        </is>
      </c>
      <c r="B230" s="1" t="n">
        <v>45589.31677083333</v>
      </c>
      <c r="C230" s="1" t="n">
        <v>45997</v>
      </c>
      <c r="D230" t="inlineStr">
        <is>
          <t>ÖREBRO LÄN</t>
        </is>
      </c>
      <c r="E230" t="inlineStr">
        <is>
          <t>HÄLLEFORS</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39869-2023</t>
        </is>
      </c>
      <c r="B231" s="1" t="n">
        <v>45168</v>
      </c>
      <c r="C231" s="1" t="n">
        <v>45997</v>
      </c>
      <c r="D231" t="inlineStr">
        <is>
          <t>ÖREBRO LÄN</t>
        </is>
      </c>
      <c r="E231" t="inlineStr">
        <is>
          <t>HÄLLEFORS</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59963-2024</t>
        </is>
      </c>
      <c r="B232" s="1" t="n">
        <v>45642.35274305556</v>
      </c>
      <c r="C232" s="1" t="n">
        <v>45997</v>
      </c>
      <c r="D232" t="inlineStr">
        <is>
          <t>ÖREBRO LÄN</t>
        </is>
      </c>
      <c r="E232" t="inlineStr">
        <is>
          <t>HÄLLEFORS</t>
        </is>
      </c>
      <c r="F232" t="inlineStr">
        <is>
          <t>Bergvik skog väst AB</t>
        </is>
      </c>
      <c r="G232" t="n">
        <v>8.4</v>
      </c>
      <c r="H232" t="n">
        <v>0</v>
      </c>
      <c r="I232" t="n">
        <v>0</v>
      </c>
      <c r="J232" t="n">
        <v>0</v>
      </c>
      <c r="K232" t="n">
        <v>0</v>
      </c>
      <c r="L232" t="n">
        <v>0</v>
      </c>
      <c r="M232" t="n">
        <v>0</v>
      </c>
      <c r="N232" t="n">
        <v>0</v>
      </c>
      <c r="O232" t="n">
        <v>0</v>
      </c>
      <c r="P232" t="n">
        <v>0</v>
      </c>
      <c r="Q232" t="n">
        <v>0</v>
      </c>
      <c r="R232" s="2" t="inlineStr"/>
    </row>
    <row r="233" ht="15" customHeight="1">
      <c r="A233" t="inlineStr">
        <is>
          <t>A 55756-2023</t>
        </is>
      </c>
      <c r="B233" s="1" t="n">
        <v>45239</v>
      </c>
      <c r="C233" s="1" t="n">
        <v>45997</v>
      </c>
      <c r="D233" t="inlineStr">
        <is>
          <t>ÖREBRO LÄN</t>
        </is>
      </c>
      <c r="E233" t="inlineStr">
        <is>
          <t>HÄLLEFORS</t>
        </is>
      </c>
      <c r="G233" t="n">
        <v>1.6</v>
      </c>
      <c r="H233" t="n">
        <v>0</v>
      </c>
      <c r="I233" t="n">
        <v>0</v>
      </c>
      <c r="J233" t="n">
        <v>0</v>
      </c>
      <c r="K233" t="n">
        <v>0</v>
      </c>
      <c r="L233" t="n">
        <v>0</v>
      </c>
      <c r="M233" t="n">
        <v>0</v>
      </c>
      <c r="N233" t="n">
        <v>0</v>
      </c>
      <c r="O233" t="n">
        <v>0</v>
      </c>
      <c r="P233" t="n">
        <v>0</v>
      </c>
      <c r="Q233" t="n">
        <v>0</v>
      </c>
      <c r="R233" s="2" t="inlineStr"/>
    </row>
    <row r="234" ht="15" customHeight="1">
      <c r="A234" t="inlineStr">
        <is>
          <t>A 18945-2025</t>
        </is>
      </c>
      <c r="B234" s="1" t="n">
        <v>45764.50498842593</v>
      </c>
      <c r="C234" s="1" t="n">
        <v>45997</v>
      </c>
      <c r="D234" t="inlineStr">
        <is>
          <t>ÖREBRO LÄN</t>
        </is>
      </c>
      <c r="E234" t="inlineStr">
        <is>
          <t>HÄLLEFORS</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17338-2025</t>
        </is>
      </c>
      <c r="B235" s="1" t="n">
        <v>45756</v>
      </c>
      <c r="C235" s="1" t="n">
        <v>45997</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49215-2022</t>
        </is>
      </c>
      <c r="B236" s="1" t="n">
        <v>44861</v>
      </c>
      <c r="C236" s="1" t="n">
        <v>45997</v>
      </c>
      <c r="D236" t="inlineStr">
        <is>
          <t>ÖREBRO LÄN</t>
        </is>
      </c>
      <c r="E236" t="inlineStr">
        <is>
          <t>HÄLLEFORS</t>
        </is>
      </c>
      <c r="F236" t="inlineStr">
        <is>
          <t>Bergvik skog väst AB</t>
        </is>
      </c>
      <c r="G236" t="n">
        <v>9</v>
      </c>
      <c r="H236" t="n">
        <v>0</v>
      </c>
      <c r="I236" t="n">
        <v>0</v>
      </c>
      <c r="J236" t="n">
        <v>0</v>
      </c>
      <c r="K236" t="n">
        <v>0</v>
      </c>
      <c r="L236" t="n">
        <v>0</v>
      </c>
      <c r="M236" t="n">
        <v>0</v>
      </c>
      <c r="N236" t="n">
        <v>0</v>
      </c>
      <c r="O236" t="n">
        <v>0</v>
      </c>
      <c r="P236" t="n">
        <v>0</v>
      </c>
      <c r="Q236" t="n">
        <v>0</v>
      </c>
      <c r="R236" s="2" t="inlineStr"/>
    </row>
    <row r="237" ht="15" customHeight="1">
      <c r="A237" t="inlineStr">
        <is>
          <t>A 54843-2023</t>
        </is>
      </c>
      <c r="B237" s="1" t="n">
        <v>45236.58434027778</v>
      </c>
      <c r="C237" s="1" t="n">
        <v>45997</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36090-2024</t>
        </is>
      </c>
      <c r="B238" s="1" t="n">
        <v>45533.68363425926</v>
      </c>
      <c r="C238" s="1" t="n">
        <v>45997</v>
      </c>
      <c r="D238" t="inlineStr">
        <is>
          <t>ÖREBRO LÄN</t>
        </is>
      </c>
      <c r="E238" t="inlineStr">
        <is>
          <t>HÄLLEFORS</t>
        </is>
      </c>
      <c r="F238" t="inlineStr">
        <is>
          <t>Bergvik skog väst AB</t>
        </is>
      </c>
      <c r="G238" t="n">
        <v>5.2</v>
      </c>
      <c r="H238" t="n">
        <v>0</v>
      </c>
      <c r="I238" t="n">
        <v>0</v>
      </c>
      <c r="J238" t="n">
        <v>0</v>
      </c>
      <c r="K238" t="n">
        <v>0</v>
      </c>
      <c r="L238" t="n">
        <v>0</v>
      </c>
      <c r="M238" t="n">
        <v>0</v>
      </c>
      <c r="N238" t="n">
        <v>0</v>
      </c>
      <c r="O238" t="n">
        <v>0</v>
      </c>
      <c r="P238" t="n">
        <v>0</v>
      </c>
      <c r="Q238" t="n">
        <v>0</v>
      </c>
      <c r="R238" s="2" t="inlineStr"/>
    </row>
    <row r="239" ht="15" customHeight="1">
      <c r="A239" t="inlineStr">
        <is>
          <t>A 12559-2025</t>
        </is>
      </c>
      <c r="B239" s="1" t="n">
        <v>45731.47399305556</v>
      </c>
      <c r="C239" s="1" t="n">
        <v>45997</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5762-2024</t>
        </is>
      </c>
      <c r="B240" s="1" t="n">
        <v>45335</v>
      </c>
      <c r="C240" s="1" t="n">
        <v>45997</v>
      </c>
      <c r="D240" t="inlineStr">
        <is>
          <t>ÖREBRO LÄN</t>
        </is>
      </c>
      <c r="E240" t="inlineStr">
        <is>
          <t>HÄLLEFORS</t>
        </is>
      </c>
      <c r="G240" t="n">
        <v>12.1</v>
      </c>
      <c r="H240" t="n">
        <v>0</v>
      </c>
      <c r="I240" t="n">
        <v>0</v>
      </c>
      <c r="J240" t="n">
        <v>0</v>
      </c>
      <c r="K240" t="n">
        <v>0</v>
      </c>
      <c r="L240" t="n">
        <v>0</v>
      </c>
      <c r="M240" t="n">
        <v>0</v>
      </c>
      <c r="N240" t="n">
        <v>0</v>
      </c>
      <c r="O240" t="n">
        <v>0</v>
      </c>
      <c r="P240" t="n">
        <v>0</v>
      </c>
      <c r="Q240" t="n">
        <v>0</v>
      </c>
      <c r="R240" s="2" t="inlineStr"/>
    </row>
    <row r="241" ht="15" customHeight="1">
      <c r="A241" t="inlineStr">
        <is>
          <t>A 37542-2024</t>
        </is>
      </c>
      <c r="B241" s="1" t="n">
        <v>45541.42298611111</v>
      </c>
      <c r="C241" s="1" t="n">
        <v>45997</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29662-2022</t>
        </is>
      </c>
      <c r="B242" s="1" t="n">
        <v>44754</v>
      </c>
      <c r="C242" s="1" t="n">
        <v>45997</v>
      </c>
      <c r="D242" t="inlineStr">
        <is>
          <t>ÖREBRO LÄN</t>
        </is>
      </c>
      <c r="E242" t="inlineStr">
        <is>
          <t>HÄLLEFORS</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18979-2025</t>
        </is>
      </c>
      <c r="B243" s="1" t="n">
        <v>45764.55017361111</v>
      </c>
      <c r="C243" s="1" t="n">
        <v>45997</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50754-2023</t>
        </is>
      </c>
      <c r="B244" s="1" t="n">
        <v>45217</v>
      </c>
      <c r="C244" s="1" t="n">
        <v>45997</v>
      </c>
      <c r="D244" t="inlineStr">
        <is>
          <t>ÖREBRO LÄN</t>
        </is>
      </c>
      <c r="E244" t="inlineStr">
        <is>
          <t>HÄLLEFORS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5256-2025</t>
        </is>
      </c>
      <c r="B245" s="1" t="n">
        <v>45692.36032407408</v>
      </c>
      <c r="C245" s="1" t="n">
        <v>45997</v>
      </c>
      <c r="D245" t="inlineStr">
        <is>
          <t>ÖREBRO LÄN</t>
        </is>
      </c>
      <c r="E245" t="inlineStr">
        <is>
          <t>HÄLLEFORS</t>
        </is>
      </c>
      <c r="F245" t="inlineStr">
        <is>
          <t>Bergvik skog väst AB</t>
        </is>
      </c>
      <c r="G245" t="n">
        <v>6.3</v>
      </c>
      <c r="H245" t="n">
        <v>0</v>
      </c>
      <c r="I245" t="n">
        <v>0</v>
      </c>
      <c r="J245" t="n">
        <v>0</v>
      </c>
      <c r="K245" t="n">
        <v>0</v>
      </c>
      <c r="L245" t="n">
        <v>0</v>
      </c>
      <c r="M245" t="n">
        <v>0</v>
      </c>
      <c r="N245" t="n">
        <v>0</v>
      </c>
      <c r="O245" t="n">
        <v>0</v>
      </c>
      <c r="P245" t="n">
        <v>0</v>
      </c>
      <c r="Q245" t="n">
        <v>0</v>
      </c>
      <c r="R245" s="2" t="inlineStr"/>
    </row>
    <row r="246" ht="15" customHeight="1">
      <c r="A246" t="inlineStr">
        <is>
          <t>A 35183-2023</t>
        </is>
      </c>
      <c r="B246" s="1" t="n">
        <v>45145.59578703704</v>
      </c>
      <c r="C246" s="1" t="n">
        <v>45997</v>
      </c>
      <c r="D246" t="inlineStr">
        <is>
          <t>ÖREBRO LÄN</t>
        </is>
      </c>
      <c r="E246" t="inlineStr">
        <is>
          <t>HÄLLEFORS</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17045-2025</t>
        </is>
      </c>
      <c r="B247" s="1" t="n">
        <v>45755.59307870371</v>
      </c>
      <c r="C247" s="1" t="n">
        <v>45997</v>
      </c>
      <c r="D247" t="inlineStr">
        <is>
          <t>ÖREBRO LÄN</t>
        </is>
      </c>
      <c r="E247" t="inlineStr">
        <is>
          <t>HÄLLEFORS</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5245-2025</t>
        </is>
      </c>
      <c r="B248" s="1" t="n">
        <v>45692</v>
      </c>
      <c r="C248" s="1" t="n">
        <v>45997</v>
      </c>
      <c r="D248" t="inlineStr">
        <is>
          <t>ÖREBRO LÄN</t>
        </is>
      </c>
      <c r="E248" t="inlineStr">
        <is>
          <t>HÄLLEFORS</t>
        </is>
      </c>
      <c r="F248" t="inlineStr">
        <is>
          <t>Bergvik skog väst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47811-2024</t>
        </is>
      </c>
      <c r="B249" s="1" t="n">
        <v>45588.61716435185</v>
      </c>
      <c r="C249" s="1" t="n">
        <v>45997</v>
      </c>
      <c r="D249" t="inlineStr">
        <is>
          <t>ÖREBRO LÄN</t>
        </is>
      </c>
      <c r="E249" t="inlineStr">
        <is>
          <t>HÄLLEFORS</t>
        </is>
      </c>
      <c r="F249" t="inlineStr">
        <is>
          <t>Bergvik skog väst AB</t>
        </is>
      </c>
      <c r="G249" t="n">
        <v>5.9</v>
      </c>
      <c r="H249" t="n">
        <v>0</v>
      </c>
      <c r="I249" t="n">
        <v>0</v>
      </c>
      <c r="J249" t="n">
        <v>0</v>
      </c>
      <c r="K249" t="n">
        <v>0</v>
      </c>
      <c r="L249" t="n">
        <v>0</v>
      </c>
      <c r="M249" t="n">
        <v>0</v>
      </c>
      <c r="N249" t="n">
        <v>0</v>
      </c>
      <c r="O249" t="n">
        <v>0</v>
      </c>
      <c r="P249" t="n">
        <v>0</v>
      </c>
      <c r="Q249" t="n">
        <v>0</v>
      </c>
      <c r="R249" s="2" t="inlineStr"/>
    </row>
    <row r="250" ht="15" customHeight="1">
      <c r="A250" t="inlineStr">
        <is>
          <t>A 12558-2025</t>
        </is>
      </c>
      <c r="B250" s="1" t="n">
        <v>45731.46960648148</v>
      </c>
      <c r="C250" s="1" t="n">
        <v>45997</v>
      </c>
      <c r="D250" t="inlineStr">
        <is>
          <t>ÖREBRO LÄN</t>
        </is>
      </c>
      <c r="E250" t="inlineStr">
        <is>
          <t>HÄLLEFORS</t>
        </is>
      </c>
      <c r="G250" t="n">
        <v>2.2</v>
      </c>
      <c r="H250" t="n">
        <v>0</v>
      </c>
      <c r="I250" t="n">
        <v>0</v>
      </c>
      <c r="J250" t="n">
        <v>0</v>
      </c>
      <c r="K250" t="n">
        <v>0</v>
      </c>
      <c r="L250" t="n">
        <v>0</v>
      </c>
      <c r="M250" t="n">
        <v>0</v>
      </c>
      <c r="N250" t="n">
        <v>0</v>
      </c>
      <c r="O250" t="n">
        <v>0</v>
      </c>
      <c r="P250" t="n">
        <v>0</v>
      </c>
      <c r="Q250" t="n">
        <v>0</v>
      </c>
      <c r="R250" s="2" t="inlineStr"/>
    </row>
    <row r="251" ht="15" customHeight="1">
      <c r="A251" t="inlineStr">
        <is>
          <t>A 25059-2024</t>
        </is>
      </c>
      <c r="B251" s="1" t="n">
        <v>45462.35787037037</v>
      </c>
      <c r="C251" s="1" t="n">
        <v>45997</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42918-2024</t>
        </is>
      </c>
      <c r="B252" s="1" t="n">
        <v>45567.27908564815</v>
      </c>
      <c r="C252" s="1" t="n">
        <v>45997</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35860-2024</t>
        </is>
      </c>
      <c r="B253" s="1" t="n">
        <v>45533</v>
      </c>
      <c r="C253" s="1" t="n">
        <v>45997</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36114-2024</t>
        </is>
      </c>
      <c r="B254" s="1" t="n">
        <v>45534.30509259259</v>
      </c>
      <c r="C254" s="1" t="n">
        <v>45997</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13757-2023</t>
        </is>
      </c>
      <c r="B255" s="1" t="n">
        <v>45007.42442129629</v>
      </c>
      <c r="C255" s="1" t="n">
        <v>45997</v>
      </c>
      <c r="D255" t="inlineStr">
        <is>
          <t>ÖREBRO LÄN</t>
        </is>
      </c>
      <c r="E255" t="inlineStr">
        <is>
          <t>HÄLLEFORS</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37232-2025</t>
        </is>
      </c>
      <c r="B256" s="1" t="n">
        <v>45876.34452546296</v>
      </c>
      <c r="C256" s="1" t="n">
        <v>45997</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53344-2024</t>
        </is>
      </c>
      <c r="B257" s="1" t="n">
        <v>45614.44175925926</v>
      </c>
      <c r="C257" s="1" t="n">
        <v>45997</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5583-2023</t>
        </is>
      </c>
      <c r="B258" s="1" t="n">
        <v>44960.50733796296</v>
      </c>
      <c r="C258" s="1" t="n">
        <v>45997</v>
      </c>
      <c r="D258" t="inlineStr">
        <is>
          <t>ÖREBRO LÄN</t>
        </is>
      </c>
      <c r="E258" t="inlineStr">
        <is>
          <t>HÄLLEFORS</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46980-2023</t>
        </is>
      </c>
      <c r="B259" s="1" t="n">
        <v>45201</v>
      </c>
      <c r="C259" s="1" t="n">
        <v>45997</v>
      </c>
      <c r="D259" t="inlineStr">
        <is>
          <t>ÖREBRO LÄN</t>
        </is>
      </c>
      <c r="E259" t="inlineStr">
        <is>
          <t>HÄLLEFORS</t>
        </is>
      </c>
      <c r="F259" t="inlineStr">
        <is>
          <t>Bergvik skog väst AB</t>
        </is>
      </c>
      <c r="G259" t="n">
        <v>7.5</v>
      </c>
      <c r="H259" t="n">
        <v>0</v>
      </c>
      <c r="I259" t="n">
        <v>0</v>
      </c>
      <c r="J259" t="n">
        <v>0</v>
      </c>
      <c r="K259" t="n">
        <v>0</v>
      </c>
      <c r="L259" t="n">
        <v>0</v>
      </c>
      <c r="M259" t="n">
        <v>0</v>
      </c>
      <c r="N259" t="n">
        <v>0</v>
      </c>
      <c r="O259" t="n">
        <v>0</v>
      </c>
      <c r="P259" t="n">
        <v>0</v>
      </c>
      <c r="Q259" t="n">
        <v>0</v>
      </c>
      <c r="R259" s="2" t="inlineStr"/>
    </row>
    <row r="260" ht="15" customHeight="1">
      <c r="A260" t="inlineStr">
        <is>
          <t>A 39183-2025</t>
        </is>
      </c>
      <c r="B260" s="1" t="n">
        <v>45888.6637962963</v>
      </c>
      <c r="C260" s="1" t="n">
        <v>45997</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29280-2025</t>
        </is>
      </c>
      <c r="B261" s="1" t="n">
        <v>45824</v>
      </c>
      <c r="C261" s="1" t="n">
        <v>45997</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18582-2025</t>
        </is>
      </c>
      <c r="B262" s="1" t="n">
        <v>45763</v>
      </c>
      <c r="C262" s="1" t="n">
        <v>45997</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45997</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38532-2025</t>
        </is>
      </c>
      <c r="B264" s="1" t="n">
        <v>45884</v>
      </c>
      <c r="C264" s="1" t="n">
        <v>45997</v>
      </c>
      <c r="D264" t="inlineStr">
        <is>
          <t>ÖREBRO LÄN</t>
        </is>
      </c>
      <c r="E264" t="inlineStr">
        <is>
          <t>HÄLLEFORS</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5263-2025</t>
        </is>
      </c>
      <c r="B265" s="1" t="n">
        <v>45692.37509259259</v>
      </c>
      <c r="C265" s="1" t="n">
        <v>45997</v>
      </c>
      <c r="D265" t="inlineStr">
        <is>
          <t>ÖREBRO LÄN</t>
        </is>
      </c>
      <c r="E265" t="inlineStr">
        <is>
          <t>HÄLLEFORS</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5045-2025</t>
        </is>
      </c>
      <c r="B266" s="1" t="n">
        <v>45691.44689814815</v>
      </c>
      <c r="C266" s="1" t="n">
        <v>45997</v>
      </c>
      <c r="D266" t="inlineStr">
        <is>
          <t>ÖREBRO LÄN</t>
        </is>
      </c>
      <c r="E266" t="inlineStr">
        <is>
          <t>HÄLLEFORS</t>
        </is>
      </c>
      <c r="F266" t="inlineStr">
        <is>
          <t>Bergvik skog väst AB</t>
        </is>
      </c>
      <c r="G266" t="n">
        <v>6.4</v>
      </c>
      <c r="H266" t="n">
        <v>0</v>
      </c>
      <c r="I266" t="n">
        <v>0</v>
      </c>
      <c r="J266" t="n">
        <v>0</v>
      </c>
      <c r="K266" t="n">
        <v>0</v>
      </c>
      <c r="L266" t="n">
        <v>0</v>
      </c>
      <c r="M266" t="n">
        <v>0</v>
      </c>
      <c r="N266" t="n">
        <v>0</v>
      </c>
      <c r="O266" t="n">
        <v>0</v>
      </c>
      <c r="P266" t="n">
        <v>0</v>
      </c>
      <c r="Q266" t="n">
        <v>0</v>
      </c>
      <c r="R266" s="2" t="inlineStr"/>
    </row>
    <row r="267" ht="15" customHeight="1">
      <c r="A267" t="inlineStr">
        <is>
          <t>A 39926-2025</t>
        </is>
      </c>
      <c r="B267" s="1" t="n">
        <v>45891.68451388889</v>
      </c>
      <c r="C267" s="1" t="n">
        <v>45997</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17098-2025</t>
        </is>
      </c>
      <c r="B268" s="1" t="n">
        <v>45755.65709490741</v>
      </c>
      <c r="C268" s="1" t="n">
        <v>45997</v>
      </c>
      <c r="D268" t="inlineStr">
        <is>
          <t>ÖREBRO LÄN</t>
        </is>
      </c>
      <c r="E268" t="inlineStr">
        <is>
          <t>HÄLLEFORS</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44693-2025</t>
        </is>
      </c>
      <c r="B269" s="1" t="n">
        <v>45917</v>
      </c>
      <c r="C269" s="1" t="n">
        <v>45997</v>
      </c>
      <c r="D269" t="inlineStr">
        <is>
          <t>ÖREBRO LÄN</t>
        </is>
      </c>
      <c r="E269" t="inlineStr">
        <is>
          <t>HÄLLEFORS</t>
        </is>
      </c>
      <c r="G269" t="n">
        <v>10.3</v>
      </c>
      <c r="H269" t="n">
        <v>0</v>
      </c>
      <c r="I269" t="n">
        <v>0</v>
      </c>
      <c r="J269" t="n">
        <v>0</v>
      </c>
      <c r="K269" t="n">
        <v>0</v>
      </c>
      <c r="L269" t="n">
        <v>0</v>
      </c>
      <c r="M269" t="n">
        <v>0</v>
      </c>
      <c r="N269" t="n">
        <v>0</v>
      </c>
      <c r="O269" t="n">
        <v>0</v>
      </c>
      <c r="P269" t="n">
        <v>0</v>
      </c>
      <c r="Q269" t="n">
        <v>0</v>
      </c>
      <c r="R269" s="2" t="inlineStr"/>
    </row>
    <row r="270" ht="15" customHeight="1">
      <c r="A270" t="inlineStr">
        <is>
          <t>A 28564-2024</t>
        </is>
      </c>
      <c r="B270" s="1" t="n">
        <v>45478.38640046296</v>
      </c>
      <c r="C270" s="1" t="n">
        <v>45997</v>
      </c>
      <c r="D270" t="inlineStr">
        <is>
          <t>ÖREBRO LÄN</t>
        </is>
      </c>
      <c r="E270" t="inlineStr">
        <is>
          <t>HÄLLEFORS</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40485-2025</t>
        </is>
      </c>
      <c r="B271" s="1" t="n">
        <v>45895.85320601852</v>
      </c>
      <c r="C271" s="1" t="n">
        <v>45997</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47847-2025</t>
        </is>
      </c>
      <c r="B272" s="1" t="n">
        <v>45932.38244212963</v>
      </c>
      <c r="C272" s="1" t="n">
        <v>45997</v>
      </c>
      <c r="D272" t="inlineStr">
        <is>
          <t>ÖREBRO LÄN</t>
        </is>
      </c>
      <c r="E272" t="inlineStr">
        <is>
          <t>HÄLLEFORS</t>
        </is>
      </c>
      <c r="F272" t="inlineStr">
        <is>
          <t>Bergvik skog väst AB</t>
        </is>
      </c>
      <c r="G272" t="n">
        <v>11.5</v>
      </c>
      <c r="H272" t="n">
        <v>0</v>
      </c>
      <c r="I272" t="n">
        <v>0</v>
      </c>
      <c r="J272" t="n">
        <v>0</v>
      </c>
      <c r="K272" t="n">
        <v>0</v>
      </c>
      <c r="L272" t="n">
        <v>0</v>
      </c>
      <c r="M272" t="n">
        <v>0</v>
      </c>
      <c r="N272" t="n">
        <v>0</v>
      </c>
      <c r="O272" t="n">
        <v>0</v>
      </c>
      <c r="P272" t="n">
        <v>0</v>
      </c>
      <c r="Q272" t="n">
        <v>0</v>
      </c>
      <c r="R272" s="2" t="inlineStr"/>
    </row>
    <row r="273" ht="15" customHeight="1">
      <c r="A273" t="inlineStr">
        <is>
          <t>A 47862-2025</t>
        </is>
      </c>
      <c r="B273" s="1" t="n">
        <v>45932.42637731481</v>
      </c>
      <c r="C273" s="1" t="n">
        <v>45997</v>
      </c>
      <c r="D273" t="inlineStr">
        <is>
          <t>ÖREBRO LÄN</t>
        </is>
      </c>
      <c r="E273" t="inlineStr">
        <is>
          <t>HÄLLEFORS</t>
        </is>
      </c>
      <c r="F273" t="inlineStr">
        <is>
          <t>Bergvik skog väst AB</t>
        </is>
      </c>
      <c r="G273" t="n">
        <v>6.3</v>
      </c>
      <c r="H273" t="n">
        <v>0</v>
      </c>
      <c r="I273" t="n">
        <v>0</v>
      </c>
      <c r="J273" t="n">
        <v>0</v>
      </c>
      <c r="K273" t="n">
        <v>0</v>
      </c>
      <c r="L273" t="n">
        <v>0</v>
      </c>
      <c r="M273" t="n">
        <v>0</v>
      </c>
      <c r="N273" t="n">
        <v>0</v>
      </c>
      <c r="O273" t="n">
        <v>0</v>
      </c>
      <c r="P273" t="n">
        <v>0</v>
      </c>
      <c r="Q273" t="n">
        <v>0</v>
      </c>
      <c r="R273" s="2" t="inlineStr"/>
    </row>
    <row r="274" ht="15" customHeight="1">
      <c r="A274" t="inlineStr">
        <is>
          <t>A 47852-2025</t>
        </is>
      </c>
      <c r="B274" s="1" t="n">
        <v>45932.38914351852</v>
      </c>
      <c r="C274" s="1" t="n">
        <v>45997</v>
      </c>
      <c r="D274" t="inlineStr">
        <is>
          <t>ÖREBRO LÄN</t>
        </is>
      </c>
      <c r="E274" t="inlineStr">
        <is>
          <t>HÄLLEFORS</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47854-2025</t>
        </is>
      </c>
      <c r="B275" s="1" t="n">
        <v>45932.39532407407</v>
      </c>
      <c r="C275" s="1" t="n">
        <v>45997</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47856-2025</t>
        </is>
      </c>
      <c r="B276" s="1" t="n">
        <v>45932.40252314815</v>
      </c>
      <c r="C276" s="1" t="n">
        <v>45997</v>
      </c>
      <c r="D276" t="inlineStr">
        <is>
          <t>ÖREBRO LÄN</t>
        </is>
      </c>
      <c r="E276" t="inlineStr">
        <is>
          <t>HÄLLEFORS</t>
        </is>
      </c>
      <c r="F276" t="inlineStr">
        <is>
          <t>Bergvik skog väst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41152-2025</t>
        </is>
      </c>
      <c r="B277" s="1" t="n">
        <v>45898.5128587963</v>
      </c>
      <c r="C277" s="1" t="n">
        <v>45997</v>
      </c>
      <c r="D277" t="inlineStr">
        <is>
          <t>ÖREBRO LÄN</t>
        </is>
      </c>
      <c r="E277" t="inlineStr">
        <is>
          <t>HÄLLEFORS</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32937-2024</t>
        </is>
      </c>
      <c r="B278" s="1" t="n">
        <v>45517.32866898148</v>
      </c>
      <c r="C278" s="1" t="n">
        <v>45997</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53035-2022</t>
        </is>
      </c>
      <c r="B279" s="1" t="n">
        <v>44876.30667824074</v>
      </c>
      <c r="C279" s="1" t="n">
        <v>45997</v>
      </c>
      <c r="D279" t="inlineStr">
        <is>
          <t>ÖREBRO LÄN</t>
        </is>
      </c>
      <c r="E279" t="inlineStr">
        <is>
          <t>HÄLLEFORS</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60306-2024</t>
        </is>
      </c>
      <c r="B280" s="1" t="n">
        <v>45643.34040509259</v>
      </c>
      <c r="C280" s="1" t="n">
        <v>45997</v>
      </c>
      <c r="D280" t="inlineStr">
        <is>
          <t>ÖREBRO LÄN</t>
        </is>
      </c>
      <c r="E280" t="inlineStr">
        <is>
          <t>HÄLLEFORS</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5237-2025</t>
        </is>
      </c>
      <c r="B281" s="1" t="n">
        <v>45692.30760416666</v>
      </c>
      <c r="C281" s="1" t="n">
        <v>45997</v>
      </c>
      <c r="D281" t="inlineStr">
        <is>
          <t>ÖREBRO LÄN</t>
        </is>
      </c>
      <c r="E281" t="inlineStr">
        <is>
          <t>HÄLLEFORS</t>
        </is>
      </c>
      <c r="F281" t="inlineStr">
        <is>
          <t>Bergvik skog väst AB</t>
        </is>
      </c>
      <c r="G281" t="n">
        <v>4.6</v>
      </c>
      <c r="H281" t="n">
        <v>0</v>
      </c>
      <c r="I281" t="n">
        <v>0</v>
      </c>
      <c r="J281" t="n">
        <v>0</v>
      </c>
      <c r="K281" t="n">
        <v>0</v>
      </c>
      <c r="L281" t="n">
        <v>0</v>
      </c>
      <c r="M281" t="n">
        <v>0</v>
      </c>
      <c r="N281" t="n">
        <v>0</v>
      </c>
      <c r="O281" t="n">
        <v>0</v>
      </c>
      <c r="P281" t="n">
        <v>0</v>
      </c>
      <c r="Q281" t="n">
        <v>0</v>
      </c>
      <c r="R281" s="2" t="inlineStr"/>
    </row>
    <row r="282" ht="15" customHeight="1">
      <c r="A282" t="inlineStr">
        <is>
          <t>A 48961-2025</t>
        </is>
      </c>
      <c r="B282" s="1" t="n">
        <v>45936</v>
      </c>
      <c r="C282" s="1" t="n">
        <v>45997</v>
      </c>
      <c r="D282" t="inlineStr">
        <is>
          <t>ÖREBRO LÄN</t>
        </is>
      </c>
      <c r="E282" t="inlineStr">
        <is>
          <t>HÄLLEFORS</t>
        </is>
      </c>
      <c r="G282" t="n">
        <v>3.7</v>
      </c>
      <c r="H282" t="n">
        <v>0</v>
      </c>
      <c r="I282" t="n">
        <v>0</v>
      </c>
      <c r="J282" t="n">
        <v>0</v>
      </c>
      <c r="K282" t="n">
        <v>0</v>
      </c>
      <c r="L282" t="n">
        <v>0</v>
      </c>
      <c r="M282" t="n">
        <v>0</v>
      </c>
      <c r="N282" t="n">
        <v>0</v>
      </c>
      <c r="O282" t="n">
        <v>0</v>
      </c>
      <c r="P282" t="n">
        <v>0</v>
      </c>
      <c r="Q282" t="n">
        <v>0</v>
      </c>
      <c r="R282" s="2" t="inlineStr"/>
    </row>
    <row r="283" ht="15" customHeight="1">
      <c r="A283" t="inlineStr">
        <is>
          <t>A 35861-2024</t>
        </is>
      </c>
      <c r="B283" s="1" t="n">
        <v>45533.33751157407</v>
      </c>
      <c r="C283" s="1" t="n">
        <v>45997</v>
      </c>
      <c r="D283" t="inlineStr">
        <is>
          <t>ÖREBRO LÄN</t>
        </is>
      </c>
      <c r="E283" t="inlineStr">
        <is>
          <t>HÄLLEFORS</t>
        </is>
      </c>
      <c r="F283" t="inlineStr">
        <is>
          <t>Bergvik skog väst AB</t>
        </is>
      </c>
      <c r="G283" t="n">
        <v>25.9</v>
      </c>
      <c r="H283" t="n">
        <v>0</v>
      </c>
      <c r="I283" t="n">
        <v>0</v>
      </c>
      <c r="J283" t="n">
        <v>0</v>
      </c>
      <c r="K283" t="n">
        <v>0</v>
      </c>
      <c r="L283" t="n">
        <v>0</v>
      </c>
      <c r="M283" t="n">
        <v>0</v>
      </c>
      <c r="N283" t="n">
        <v>0</v>
      </c>
      <c r="O283" t="n">
        <v>0</v>
      </c>
      <c r="P283" t="n">
        <v>0</v>
      </c>
      <c r="Q283" t="n">
        <v>0</v>
      </c>
      <c r="R283" s="2" t="inlineStr"/>
    </row>
    <row r="284" ht="15" customHeight="1">
      <c r="A284" t="inlineStr">
        <is>
          <t>A 5042-2025</t>
        </is>
      </c>
      <c r="B284" s="1" t="n">
        <v>45691.43619212963</v>
      </c>
      <c r="C284" s="1" t="n">
        <v>45997</v>
      </c>
      <c r="D284" t="inlineStr">
        <is>
          <t>ÖREBRO LÄN</t>
        </is>
      </c>
      <c r="E284" t="inlineStr">
        <is>
          <t>HÄLLEFORS</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54995-2024</t>
        </is>
      </c>
      <c r="B285" s="1" t="n">
        <v>45621.28127314815</v>
      </c>
      <c r="C285" s="1" t="n">
        <v>45997</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16928-2025</t>
        </is>
      </c>
      <c r="B286" s="1" t="n">
        <v>45755.39711805555</v>
      </c>
      <c r="C286" s="1" t="n">
        <v>45997</v>
      </c>
      <c r="D286" t="inlineStr">
        <is>
          <t>ÖREBRO LÄN</t>
        </is>
      </c>
      <c r="E286" t="inlineStr">
        <is>
          <t>HÄLLEFORS</t>
        </is>
      </c>
      <c r="F286" t="inlineStr">
        <is>
          <t>Bergvik skog väst AB</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7066-2024</t>
        </is>
      </c>
      <c r="B287" s="1" t="n">
        <v>45343</v>
      </c>
      <c r="C287" s="1" t="n">
        <v>45997</v>
      </c>
      <c r="D287" t="inlineStr">
        <is>
          <t>ÖREBRO LÄN</t>
        </is>
      </c>
      <c r="E287" t="inlineStr">
        <is>
          <t>HÄLLEFORS</t>
        </is>
      </c>
      <c r="G287" t="n">
        <v>1.2</v>
      </c>
      <c r="H287" t="n">
        <v>0</v>
      </c>
      <c r="I287" t="n">
        <v>0</v>
      </c>
      <c r="J287" t="n">
        <v>0</v>
      </c>
      <c r="K287" t="n">
        <v>0</v>
      </c>
      <c r="L287" t="n">
        <v>0</v>
      </c>
      <c r="M287" t="n">
        <v>0</v>
      </c>
      <c r="N287" t="n">
        <v>0</v>
      </c>
      <c r="O287" t="n">
        <v>0</v>
      </c>
      <c r="P287" t="n">
        <v>0</v>
      </c>
      <c r="Q287" t="n">
        <v>0</v>
      </c>
      <c r="R287" s="2" t="inlineStr"/>
    </row>
    <row r="288" ht="15" customHeight="1">
      <c r="A288" t="inlineStr">
        <is>
          <t>A 4583-2025</t>
        </is>
      </c>
      <c r="B288" s="1" t="n">
        <v>45687.51539351852</v>
      </c>
      <c r="C288" s="1" t="n">
        <v>45997</v>
      </c>
      <c r="D288" t="inlineStr">
        <is>
          <t>ÖREBRO LÄN</t>
        </is>
      </c>
      <c r="E288" t="inlineStr">
        <is>
          <t>HÄLLEFORS</t>
        </is>
      </c>
      <c r="G288" t="n">
        <v>3.3</v>
      </c>
      <c r="H288" t="n">
        <v>0</v>
      </c>
      <c r="I288" t="n">
        <v>0</v>
      </c>
      <c r="J288" t="n">
        <v>0</v>
      </c>
      <c r="K288" t="n">
        <v>0</v>
      </c>
      <c r="L288" t="n">
        <v>0</v>
      </c>
      <c r="M288" t="n">
        <v>0</v>
      </c>
      <c r="N288" t="n">
        <v>0</v>
      </c>
      <c r="O288" t="n">
        <v>0</v>
      </c>
      <c r="P288" t="n">
        <v>0</v>
      </c>
      <c r="Q288" t="n">
        <v>0</v>
      </c>
      <c r="R288" s="2" t="inlineStr"/>
    </row>
    <row r="289" ht="15" customHeight="1">
      <c r="A289" t="inlineStr">
        <is>
          <t>A 16053-2023</t>
        </is>
      </c>
      <c r="B289" s="1" t="n">
        <v>45027</v>
      </c>
      <c r="C289" s="1" t="n">
        <v>45997</v>
      </c>
      <c r="D289" t="inlineStr">
        <is>
          <t>ÖREBRO LÄN</t>
        </is>
      </c>
      <c r="E289" t="inlineStr">
        <is>
          <t>HÄLLEFORS</t>
        </is>
      </c>
      <c r="F289" t="inlineStr">
        <is>
          <t>Bergvik skog väst AB</t>
        </is>
      </c>
      <c r="G289" t="n">
        <v>14.7</v>
      </c>
      <c r="H289" t="n">
        <v>0</v>
      </c>
      <c r="I289" t="n">
        <v>0</v>
      </c>
      <c r="J289" t="n">
        <v>0</v>
      </c>
      <c r="K289" t="n">
        <v>0</v>
      </c>
      <c r="L289" t="n">
        <v>0</v>
      </c>
      <c r="M289" t="n">
        <v>0</v>
      </c>
      <c r="N289" t="n">
        <v>0</v>
      </c>
      <c r="O289" t="n">
        <v>0</v>
      </c>
      <c r="P289" t="n">
        <v>0</v>
      </c>
      <c r="Q289" t="n">
        <v>0</v>
      </c>
      <c r="R289" s="2" t="inlineStr"/>
    </row>
    <row r="290" ht="15" customHeight="1">
      <c r="A290" t="inlineStr">
        <is>
          <t>A 44122-2024</t>
        </is>
      </c>
      <c r="B290" s="1" t="n">
        <v>45572.6396875</v>
      </c>
      <c r="C290" s="1" t="n">
        <v>45997</v>
      </c>
      <c r="D290" t="inlineStr">
        <is>
          <t>ÖREBRO LÄN</t>
        </is>
      </c>
      <c r="E290" t="inlineStr">
        <is>
          <t>HÄLLEFORS</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16927-2025</t>
        </is>
      </c>
      <c r="B291" s="1" t="n">
        <v>45755.39212962963</v>
      </c>
      <c r="C291" s="1" t="n">
        <v>45997</v>
      </c>
      <c r="D291" t="inlineStr">
        <is>
          <t>ÖREBRO LÄN</t>
        </is>
      </c>
      <c r="E291" t="inlineStr">
        <is>
          <t>HÄLLEFORS</t>
        </is>
      </c>
      <c r="F291" t="inlineStr">
        <is>
          <t>Bergvik skog väst AB</t>
        </is>
      </c>
      <c r="G291" t="n">
        <v>4.1</v>
      </c>
      <c r="H291" t="n">
        <v>0</v>
      </c>
      <c r="I291" t="n">
        <v>0</v>
      </c>
      <c r="J291" t="n">
        <v>0</v>
      </c>
      <c r="K291" t="n">
        <v>0</v>
      </c>
      <c r="L291" t="n">
        <v>0</v>
      </c>
      <c r="M291" t="n">
        <v>0</v>
      </c>
      <c r="N291" t="n">
        <v>0</v>
      </c>
      <c r="O291" t="n">
        <v>0</v>
      </c>
      <c r="P291" t="n">
        <v>0</v>
      </c>
      <c r="Q291" t="n">
        <v>0</v>
      </c>
      <c r="R291" s="2" t="inlineStr"/>
    </row>
    <row r="292" ht="15" customHeight="1">
      <c r="A292" t="inlineStr">
        <is>
          <t>A 43966-2024</t>
        </is>
      </c>
      <c r="B292" s="1" t="n">
        <v>45572.48516203704</v>
      </c>
      <c r="C292" s="1" t="n">
        <v>45997</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12648-2025</t>
        </is>
      </c>
      <c r="B293" s="1" t="n">
        <v>45733.39797453704</v>
      </c>
      <c r="C293" s="1" t="n">
        <v>45997</v>
      </c>
      <c r="D293" t="inlineStr">
        <is>
          <t>ÖREBRO LÄN</t>
        </is>
      </c>
      <c r="E293" t="inlineStr">
        <is>
          <t>HÄLLEFORS</t>
        </is>
      </c>
      <c r="F293" t="inlineStr">
        <is>
          <t>Bergvik skog väst AB</t>
        </is>
      </c>
      <c r="G293" t="n">
        <v>5</v>
      </c>
      <c r="H293" t="n">
        <v>0</v>
      </c>
      <c r="I293" t="n">
        <v>0</v>
      </c>
      <c r="J293" t="n">
        <v>0</v>
      </c>
      <c r="K293" t="n">
        <v>0</v>
      </c>
      <c r="L293" t="n">
        <v>0</v>
      </c>
      <c r="M293" t="n">
        <v>0</v>
      </c>
      <c r="N293" t="n">
        <v>0</v>
      </c>
      <c r="O293" t="n">
        <v>0</v>
      </c>
      <c r="P293" t="n">
        <v>0</v>
      </c>
      <c r="Q293" t="n">
        <v>0</v>
      </c>
      <c r="R293" s="2" t="inlineStr"/>
    </row>
    <row r="294" ht="15" customHeight="1">
      <c r="A294" t="inlineStr">
        <is>
          <t>A 57421-2025</t>
        </is>
      </c>
      <c r="B294" s="1" t="n">
        <v>45980.45798611111</v>
      </c>
      <c r="C294" s="1" t="n">
        <v>45997</v>
      </c>
      <c r="D294" t="inlineStr">
        <is>
          <t>ÖREBRO LÄN</t>
        </is>
      </c>
      <c r="E294" t="inlineStr">
        <is>
          <t>HÄLLEFORS</t>
        </is>
      </c>
      <c r="G294" t="n">
        <v>2.5</v>
      </c>
      <c r="H294" t="n">
        <v>0</v>
      </c>
      <c r="I294" t="n">
        <v>0</v>
      </c>
      <c r="J294" t="n">
        <v>0</v>
      </c>
      <c r="K294" t="n">
        <v>0</v>
      </c>
      <c r="L294" t="n">
        <v>0</v>
      </c>
      <c r="M294" t="n">
        <v>0</v>
      </c>
      <c r="N294" t="n">
        <v>0</v>
      </c>
      <c r="O294" t="n">
        <v>0</v>
      </c>
      <c r="P294" t="n">
        <v>0</v>
      </c>
      <c r="Q294" t="n">
        <v>0</v>
      </c>
      <c r="R294" s="2" t="inlineStr"/>
    </row>
    <row r="295" ht="15" customHeight="1">
      <c r="A295" t="inlineStr">
        <is>
          <t>A 65856-2020</t>
        </is>
      </c>
      <c r="B295" s="1" t="n">
        <v>44174</v>
      </c>
      <c r="C295" s="1" t="n">
        <v>45997</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57494-2025</t>
        </is>
      </c>
      <c r="B296" s="1" t="n">
        <v>45980.5859375</v>
      </c>
      <c r="C296" s="1" t="n">
        <v>45997</v>
      </c>
      <c r="D296" t="inlineStr">
        <is>
          <t>ÖREBRO LÄN</t>
        </is>
      </c>
      <c r="E296" t="inlineStr">
        <is>
          <t>HÄLLEFORS</t>
        </is>
      </c>
      <c r="G296" t="n">
        <v>2.3</v>
      </c>
      <c r="H296" t="n">
        <v>0</v>
      </c>
      <c r="I296" t="n">
        <v>0</v>
      </c>
      <c r="J296" t="n">
        <v>0</v>
      </c>
      <c r="K296" t="n">
        <v>0</v>
      </c>
      <c r="L296" t="n">
        <v>0</v>
      </c>
      <c r="M296" t="n">
        <v>0</v>
      </c>
      <c r="N296" t="n">
        <v>0</v>
      </c>
      <c r="O296" t="n">
        <v>0</v>
      </c>
      <c r="P296" t="n">
        <v>0</v>
      </c>
      <c r="Q296" t="n">
        <v>0</v>
      </c>
      <c r="R296" s="2" t="inlineStr"/>
    </row>
    <row r="297" ht="15" customHeight="1">
      <c r="A297" t="inlineStr">
        <is>
          <t>A 48765-2025</t>
        </is>
      </c>
      <c r="B297" s="1" t="n">
        <v>45936.85859953704</v>
      </c>
      <c r="C297" s="1" t="n">
        <v>45997</v>
      </c>
      <c r="D297" t="inlineStr">
        <is>
          <t>ÖREBRO LÄN</t>
        </is>
      </c>
      <c r="E297" t="inlineStr">
        <is>
          <t>HÄLLEFORS</t>
        </is>
      </c>
      <c r="F297" t="inlineStr">
        <is>
          <t>Bergvik skog väst AB</t>
        </is>
      </c>
      <c r="G297" t="n">
        <v>17.6</v>
      </c>
      <c r="H297" t="n">
        <v>0</v>
      </c>
      <c r="I297" t="n">
        <v>0</v>
      </c>
      <c r="J297" t="n">
        <v>0</v>
      </c>
      <c r="K297" t="n">
        <v>0</v>
      </c>
      <c r="L297" t="n">
        <v>0</v>
      </c>
      <c r="M297" t="n">
        <v>0</v>
      </c>
      <c r="N297" t="n">
        <v>0</v>
      </c>
      <c r="O297" t="n">
        <v>0</v>
      </c>
      <c r="P297" t="n">
        <v>0</v>
      </c>
      <c r="Q297" t="n">
        <v>0</v>
      </c>
      <c r="R297" s="2" t="inlineStr"/>
    </row>
    <row r="298" ht="15" customHeight="1">
      <c r="A298" t="inlineStr">
        <is>
          <t>A 44400-2025</t>
        </is>
      </c>
      <c r="B298" s="1" t="n">
        <v>45916.5037037037</v>
      </c>
      <c r="C298" s="1" t="n">
        <v>45997</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53337-2025</t>
        </is>
      </c>
      <c r="B299" s="1" t="n">
        <v>45959.40310185185</v>
      </c>
      <c r="C299" s="1" t="n">
        <v>45997</v>
      </c>
      <c r="D299" t="inlineStr">
        <is>
          <t>ÖREBRO LÄN</t>
        </is>
      </c>
      <c r="E299" t="inlineStr">
        <is>
          <t>HÄLLEFORS</t>
        </is>
      </c>
      <c r="G299" t="n">
        <v>4.8</v>
      </c>
      <c r="H299" t="n">
        <v>0</v>
      </c>
      <c r="I299" t="n">
        <v>0</v>
      </c>
      <c r="J299" t="n">
        <v>0</v>
      </c>
      <c r="K299" t="n">
        <v>0</v>
      </c>
      <c r="L299" t="n">
        <v>0</v>
      </c>
      <c r="M299" t="n">
        <v>0</v>
      </c>
      <c r="N299" t="n">
        <v>0</v>
      </c>
      <c r="O299" t="n">
        <v>0</v>
      </c>
      <c r="P299" t="n">
        <v>0</v>
      </c>
      <c r="Q299" t="n">
        <v>0</v>
      </c>
      <c r="R299" s="2" t="inlineStr"/>
    </row>
    <row r="300" ht="15" customHeight="1">
      <c r="A300" t="inlineStr">
        <is>
          <t>A 53335-2025</t>
        </is>
      </c>
      <c r="B300" s="1" t="n">
        <v>45959.38943287037</v>
      </c>
      <c r="C300" s="1" t="n">
        <v>45997</v>
      </c>
      <c r="D300" t="inlineStr">
        <is>
          <t>ÖREBRO LÄN</t>
        </is>
      </c>
      <c r="E300" t="inlineStr">
        <is>
          <t>HÄLLEFORS</t>
        </is>
      </c>
      <c r="G300" t="n">
        <v>2</v>
      </c>
      <c r="H300" t="n">
        <v>0</v>
      </c>
      <c r="I300" t="n">
        <v>0</v>
      </c>
      <c r="J300" t="n">
        <v>0</v>
      </c>
      <c r="K300" t="n">
        <v>0</v>
      </c>
      <c r="L300" t="n">
        <v>0</v>
      </c>
      <c r="M300" t="n">
        <v>0</v>
      </c>
      <c r="N300" t="n">
        <v>0</v>
      </c>
      <c r="O300" t="n">
        <v>0</v>
      </c>
      <c r="P300" t="n">
        <v>0</v>
      </c>
      <c r="Q300" t="n">
        <v>0</v>
      </c>
      <c r="R300" s="2" t="inlineStr"/>
    </row>
    <row r="301" ht="15" customHeight="1">
      <c r="A301" t="inlineStr">
        <is>
          <t>A 39031-2022</t>
        </is>
      </c>
      <c r="B301" s="1" t="n">
        <v>44817.34144675926</v>
      </c>
      <c r="C301" s="1" t="n">
        <v>45997</v>
      </c>
      <c r="D301" t="inlineStr">
        <is>
          <t>ÖREBRO LÄN</t>
        </is>
      </c>
      <c r="E301" t="inlineStr">
        <is>
          <t>HÄLLEFORS</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53331-2025</t>
        </is>
      </c>
      <c r="B302" s="1" t="n">
        <v>45959.37532407408</v>
      </c>
      <c r="C302" s="1" t="n">
        <v>45997</v>
      </c>
      <c r="D302" t="inlineStr">
        <is>
          <t>ÖREBRO LÄN</t>
        </is>
      </c>
      <c r="E302" t="inlineStr">
        <is>
          <t>HÄLLEFORS</t>
        </is>
      </c>
      <c r="G302" t="n">
        <v>3.2</v>
      </c>
      <c r="H302" t="n">
        <v>0</v>
      </c>
      <c r="I302" t="n">
        <v>0</v>
      </c>
      <c r="J302" t="n">
        <v>0</v>
      </c>
      <c r="K302" t="n">
        <v>0</v>
      </c>
      <c r="L302" t="n">
        <v>0</v>
      </c>
      <c r="M302" t="n">
        <v>0</v>
      </c>
      <c r="N302" t="n">
        <v>0</v>
      </c>
      <c r="O302" t="n">
        <v>0</v>
      </c>
      <c r="P302" t="n">
        <v>0</v>
      </c>
      <c r="Q302" t="n">
        <v>0</v>
      </c>
      <c r="R302" s="2" t="inlineStr"/>
    </row>
    <row r="303" ht="15" customHeight="1">
      <c r="A303" t="inlineStr">
        <is>
          <t>A 53341-2025</t>
        </is>
      </c>
      <c r="B303" s="1" t="n">
        <v>45959.41048611111</v>
      </c>
      <c r="C303" s="1" t="n">
        <v>45997</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53952-2025</t>
        </is>
      </c>
      <c r="B304" s="1" t="n">
        <v>45961.5049537037</v>
      </c>
      <c r="C304" s="1" t="n">
        <v>45997</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58941-2025</t>
        </is>
      </c>
      <c r="B305" s="1" t="n">
        <v>45987.57491898148</v>
      </c>
      <c r="C305" s="1" t="n">
        <v>45997</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45997</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58940-2025</t>
        </is>
      </c>
      <c r="B307" s="1" t="n">
        <v>45987.57128472222</v>
      </c>
      <c r="C307" s="1" t="n">
        <v>45997</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58942-2025</t>
        </is>
      </c>
      <c r="B308" s="1" t="n">
        <v>45987.57672453704</v>
      </c>
      <c r="C308" s="1" t="n">
        <v>45997</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50881-2025</t>
        </is>
      </c>
      <c r="B309" s="1" t="n">
        <v>45946.62914351852</v>
      </c>
      <c r="C309" s="1" t="n">
        <v>45997</v>
      </c>
      <c r="D309" t="inlineStr">
        <is>
          <t>ÖREBRO LÄN</t>
        </is>
      </c>
      <c r="E309" t="inlineStr">
        <is>
          <t>HÄLLEFORS</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50798-2025</t>
        </is>
      </c>
      <c r="B310" s="1" t="n">
        <v>45946.48537037037</v>
      </c>
      <c r="C310" s="1" t="n">
        <v>45997</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50794-2025</t>
        </is>
      </c>
      <c r="B311" s="1" t="n">
        <v>45946.47722222222</v>
      </c>
      <c r="C311" s="1" t="n">
        <v>45997</v>
      </c>
      <c r="D311" t="inlineStr">
        <is>
          <t>ÖREBRO LÄN</t>
        </is>
      </c>
      <c r="E311" t="inlineStr">
        <is>
          <t>HÄLLEFORS</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58947-2025</t>
        </is>
      </c>
      <c r="B312" s="1" t="n">
        <v>45987.58177083333</v>
      </c>
      <c r="C312" s="1" t="n">
        <v>45997</v>
      </c>
      <c r="D312" t="inlineStr">
        <is>
          <t>ÖREBRO LÄN</t>
        </is>
      </c>
      <c r="E312" t="inlineStr">
        <is>
          <t>HÄLLEFORS</t>
        </is>
      </c>
      <c r="F312" t="inlineStr">
        <is>
          <t>Bergvik skog väst AB</t>
        </is>
      </c>
      <c r="G312" t="n">
        <v>3.8</v>
      </c>
      <c r="H312" t="n">
        <v>0</v>
      </c>
      <c r="I312" t="n">
        <v>0</v>
      </c>
      <c r="J312" t="n">
        <v>0</v>
      </c>
      <c r="K312" t="n">
        <v>0</v>
      </c>
      <c r="L312" t="n">
        <v>0</v>
      </c>
      <c r="M312" t="n">
        <v>0</v>
      </c>
      <c r="N312" t="n">
        <v>0</v>
      </c>
      <c r="O312" t="n">
        <v>0</v>
      </c>
      <c r="P312" t="n">
        <v>0</v>
      </c>
      <c r="Q312" t="n">
        <v>0</v>
      </c>
      <c r="R312" s="2" t="inlineStr"/>
    </row>
    <row r="313" ht="15" customHeight="1">
      <c r="A313" t="inlineStr">
        <is>
          <t>A 58949-2025</t>
        </is>
      </c>
      <c r="B313" s="1" t="n">
        <v>45987.58652777778</v>
      </c>
      <c r="C313" s="1" t="n">
        <v>45997</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45997</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58930-2025</t>
        </is>
      </c>
      <c r="B315" s="1" t="n">
        <v>45987.55640046296</v>
      </c>
      <c r="C315" s="1" t="n">
        <v>45997</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45916-2025</t>
        </is>
      </c>
      <c r="B316" s="1" t="n">
        <v>45923.83761574074</v>
      </c>
      <c r="C316" s="1" t="n">
        <v>45997</v>
      </c>
      <c r="D316" t="inlineStr">
        <is>
          <t>ÖREBRO LÄN</t>
        </is>
      </c>
      <c r="E316" t="inlineStr">
        <is>
          <t>HÄLLEFORS</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58934-2025</t>
        </is>
      </c>
      <c r="B317" s="1" t="n">
        <v>45987.56333333333</v>
      </c>
      <c r="C317" s="1" t="n">
        <v>45997</v>
      </c>
      <c r="D317" t="inlineStr">
        <is>
          <t>ÖREBRO LÄN</t>
        </is>
      </c>
      <c r="E317" t="inlineStr">
        <is>
          <t>HÄLLEFORS</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28979-2025</t>
        </is>
      </c>
      <c r="B318" s="1" t="n">
        <v>45821.35136574074</v>
      </c>
      <c r="C318" s="1" t="n">
        <v>45997</v>
      </c>
      <c r="D318" t="inlineStr">
        <is>
          <t>ÖREBRO LÄN</t>
        </is>
      </c>
      <c r="E318" t="inlineStr">
        <is>
          <t>HÄLLEFORS</t>
        </is>
      </c>
      <c r="G318" t="n">
        <v>2.9</v>
      </c>
      <c r="H318" t="n">
        <v>0</v>
      </c>
      <c r="I318" t="n">
        <v>0</v>
      </c>
      <c r="J318" t="n">
        <v>0</v>
      </c>
      <c r="K318" t="n">
        <v>0</v>
      </c>
      <c r="L318" t="n">
        <v>0</v>
      </c>
      <c r="M318" t="n">
        <v>0</v>
      </c>
      <c r="N318" t="n">
        <v>0</v>
      </c>
      <c r="O318" t="n">
        <v>0</v>
      </c>
      <c r="P318" t="n">
        <v>0</v>
      </c>
      <c r="Q318" t="n">
        <v>0</v>
      </c>
      <c r="R318" s="2" t="inlineStr"/>
    </row>
    <row r="319" ht="15" customHeight="1">
      <c r="A319" t="inlineStr">
        <is>
          <t>A 28975-2025</t>
        </is>
      </c>
      <c r="B319" s="1" t="n">
        <v>45821</v>
      </c>
      <c r="C319" s="1" t="n">
        <v>45997</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46667-2025</t>
        </is>
      </c>
      <c r="B320" s="1" t="n">
        <v>45926.52738425926</v>
      </c>
      <c r="C320" s="1" t="n">
        <v>45997</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55183-2025</t>
        </is>
      </c>
      <c r="B321" s="1" t="n">
        <v>45968.533125</v>
      </c>
      <c r="C321" s="1" t="n">
        <v>45997</v>
      </c>
      <c r="D321" t="inlineStr">
        <is>
          <t>ÖREBRO LÄN</t>
        </is>
      </c>
      <c r="E321" t="inlineStr">
        <is>
          <t>HÄLLEFORS</t>
        </is>
      </c>
      <c r="G321" t="n">
        <v>0.7</v>
      </c>
      <c r="H321" t="n">
        <v>0</v>
      </c>
      <c r="I321" t="n">
        <v>0</v>
      </c>
      <c r="J321" t="n">
        <v>0</v>
      </c>
      <c r="K321" t="n">
        <v>0</v>
      </c>
      <c r="L321" t="n">
        <v>0</v>
      </c>
      <c r="M321" t="n">
        <v>0</v>
      </c>
      <c r="N321" t="n">
        <v>0</v>
      </c>
      <c r="O321" t="n">
        <v>0</v>
      </c>
      <c r="P321" t="n">
        <v>0</v>
      </c>
      <c r="Q321" t="n">
        <v>0</v>
      </c>
      <c r="R321" s="2" t="inlineStr"/>
    </row>
    <row r="322" ht="15" customHeight="1">
      <c r="A322" t="inlineStr">
        <is>
          <t>A 30747-2025</t>
        </is>
      </c>
      <c r="B322" s="1" t="n">
        <v>45831.58487268518</v>
      </c>
      <c r="C322" s="1" t="n">
        <v>45997</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52125-2025</t>
        </is>
      </c>
      <c r="B323" s="1" t="n">
        <v>45952.72060185186</v>
      </c>
      <c r="C323" s="1" t="n">
        <v>45997</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45997</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52453-2025</t>
        </is>
      </c>
      <c r="B325" s="1" t="n">
        <v>45954.42596064815</v>
      </c>
      <c r="C325" s="1" t="n">
        <v>45997</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32217-2025</t>
        </is>
      </c>
      <c r="B326" s="1" t="n">
        <v>45835.58846064815</v>
      </c>
      <c r="C326" s="1" t="n">
        <v>45997</v>
      </c>
      <c r="D326" t="inlineStr">
        <is>
          <t>ÖREBRO LÄN</t>
        </is>
      </c>
      <c r="E326" t="inlineStr">
        <is>
          <t>HÄLLEFORS</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52449-2025</t>
        </is>
      </c>
      <c r="B327" s="1" t="n">
        <v>45954.41862268518</v>
      </c>
      <c r="C327" s="1" t="n">
        <v>45997</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32813-2025</t>
        </is>
      </c>
      <c r="B328" s="1" t="n">
        <v>45839.51949074074</v>
      </c>
      <c r="C328" s="1" t="n">
        <v>45997</v>
      </c>
      <c r="D328" t="inlineStr">
        <is>
          <t>ÖREBRO LÄN</t>
        </is>
      </c>
      <c r="E328" t="inlineStr">
        <is>
          <t>HÄLLEFORS</t>
        </is>
      </c>
      <c r="G328" t="n">
        <v>3.5</v>
      </c>
      <c r="H328" t="n">
        <v>0</v>
      </c>
      <c r="I328" t="n">
        <v>0</v>
      </c>
      <c r="J328" t="n">
        <v>0</v>
      </c>
      <c r="K328" t="n">
        <v>0</v>
      </c>
      <c r="L328" t="n">
        <v>0</v>
      </c>
      <c r="M328" t="n">
        <v>0</v>
      </c>
      <c r="N328" t="n">
        <v>0</v>
      </c>
      <c r="O328" t="n">
        <v>0</v>
      </c>
      <c r="P328" t="n">
        <v>0</v>
      </c>
      <c r="Q328" t="n">
        <v>0</v>
      </c>
      <c r="R328" s="2" t="inlineStr"/>
    </row>
    <row r="329" ht="15" customHeight="1">
      <c r="A329" t="inlineStr">
        <is>
          <t>A 32808-2025</t>
        </is>
      </c>
      <c r="B329" s="1" t="n">
        <v>45839.50719907408</v>
      </c>
      <c r="C329" s="1" t="n">
        <v>45997</v>
      </c>
      <c r="D329" t="inlineStr">
        <is>
          <t>ÖREBRO LÄN</t>
        </is>
      </c>
      <c r="E329" t="inlineStr">
        <is>
          <t>HÄLLEFORS</t>
        </is>
      </c>
      <c r="G329" t="n">
        <v>4.3</v>
      </c>
      <c r="H329" t="n">
        <v>0</v>
      </c>
      <c r="I329" t="n">
        <v>0</v>
      </c>
      <c r="J329" t="n">
        <v>0</v>
      </c>
      <c r="K329" t="n">
        <v>0</v>
      </c>
      <c r="L329" t="n">
        <v>0</v>
      </c>
      <c r="M329" t="n">
        <v>0</v>
      </c>
      <c r="N329" t="n">
        <v>0</v>
      </c>
      <c r="O329" t="n">
        <v>0</v>
      </c>
      <c r="P329" t="n">
        <v>0</v>
      </c>
      <c r="Q329" t="n">
        <v>0</v>
      </c>
      <c r="R329" s="2" t="inlineStr"/>
    </row>
    <row r="330" ht="15" customHeight="1">
      <c r="A330" t="inlineStr">
        <is>
          <t>A 35191-2023</t>
        </is>
      </c>
      <c r="B330" s="1" t="n">
        <v>45145.61096064815</v>
      </c>
      <c r="C330" s="1" t="n">
        <v>45997</v>
      </c>
      <c r="D330" t="inlineStr">
        <is>
          <t>ÖREBRO LÄN</t>
        </is>
      </c>
      <c r="E330" t="inlineStr">
        <is>
          <t>HÄLLEFORS</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34062-2025</t>
        </is>
      </c>
      <c r="B331" s="1" t="n">
        <v>45845.4264699074</v>
      </c>
      <c r="C331" s="1" t="n">
        <v>45997</v>
      </c>
      <c r="D331" t="inlineStr">
        <is>
          <t>ÖREBRO LÄN</t>
        </is>
      </c>
      <c r="E331" t="inlineStr">
        <is>
          <t>HÄLLEFORS</t>
        </is>
      </c>
      <c r="G331" t="n">
        <v>1.3</v>
      </c>
      <c r="H331" t="n">
        <v>0</v>
      </c>
      <c r="I331" t="n">
        <v>0</v>
      </c>
      <c r="J331" t="n">
        <v>0</v>
      </c>
      <c r="K331" t="n">
        <v>0</v>
      </c>
      <c r="L331" t="n">
        <v>0</v>
      </c>
      <c r="M331" t="n">
        <v>0</v>
      </c>
      <c r="N331" t="n">
        <v>0</v>
      </c>
      <c r="O331" t="n">
        <v>0</v>
      </c>
      <c r="P331" t="n">
        <v>0</v>
      </c>
      <c r="Q331" t="n">
        <v>0</v>
      </c>
      <c r="R331" s="2" t="inlineStr"/>
    </row>
    <row r="332" ht="15" customHeight="1">
      <c r="A332" t="inlineStr">
        <is>
          <t>A 34023-2025</t>
        </is>
      </c>
      <c r="B332" s="1" t="n">
        <v>45845.35355324074</v>
      </c>
      <c r="C332" s="1" t="n">
        <v>45997</v>
      </c>
      <c r="D332" t="inlineStr">
        <is>
          <t>ÖREBRO LÄN</t>
        </is>
      </c>
      <c r="E332" t="inlineStr">
        <is>
          <t>HÄLLEFORS</t>
        </is>
      </c>
      <c r="F332" t="inlineStr">
        <is>
          <t>Bergvik skog väst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15013-2024</t>
        </is>
      </c>
      <c r="B333" s="1" t="n">
        <v>45399</v>
      </c>
      <c r="C333" s="1" t="n">
        <v>45997</v>
      </c>
      <c r="D333" t="inlineStr">
        <is>
          <t>ÖREBRO LÄN</t>
        </is>
      </c>
      <c r="E333" t="inlineStr">
        <is>
          <t>HÄLLEFORS</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34022-2025</t>
        </is>
      </c>
      <c r="B334" s="1" t="n">
        <v>45845.34983796296</v>
      </c>
      <c r="C334" s="1" t="n">
        <v>45997</v>
      </c>
      <c r="D334" t="inlineStr">
        <is>
          <t>ÖREBRO LÄN</t>
        </is>
      </c>
      <c r="E334" t="inlineStr">
        <is>
          <t>HÄLLEFORS</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34025-2025</t>
        </is>
      </c>
      <c r="B335" s="1" t="n">
        <v>45845.35546296297</v>
      </c>
      <c r="C335" s="1" t="n">
        <v>45997</v>
      </c>
      <c r="D335" t="inlineStr">
        <is>
          <t>ÖREBRO LÄN</t>
        </is>
      </c>
      <c r="E335" t="inlineStr">
        <is>
          <t>HÄLLEFORS</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34029-2025</t>
        </is>
      </c>
      <c r="B336" s="1" t="n">
        <v>45845.36309027778</v>
      </c>
      <c r="C336" s="1" t="n">
        <v>45997</v>
      </c>
      <c r="D336" t="inlineStr">
        <is>
          <t>ÖREBRO LÄN</t>
        </is>
      </c>
      <c r="E336" t="inlineStr">
        <is>
          <t>HÄLLEFORS</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45997</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34059-2025</t>
        </is>
      </c>
      <c r="B338" s="1" t="n">
        <v>45845.41988425926</v>
      </c>
      <c r="C338" s="1" t="n">
        <v>45997</v>
      </c>
      <c r="D338" t="inlineStr">
        <is>
          <t>ÖREBRO LÄN</t>
        </is>
      </c>
      <c r="E338" t="inlineStr">
        <is>
          <t>HÄLLEFORS</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34033-2025</t>
        </is>
      </c>
      <c r="B339" s="1" t="n">
        <v>45845.36700231482</v>
      </c>
      <c r="C339" s="1" t="n">
        <v>45997</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34037-2025</t>
        </is>
      </c>
      <c r="B340" s="1" t="n">
        <v>45845.37002314815</v>
      </c>
      <c r="C340" s="1" t="n">
        <v>45997</v>
      </c>
      <c r="D340" t="inlineStr">
        <is>
          <t>ÖREBRO LÄN</t>
        </is>
      </c>
      <c r="E340" t="inlineStr">
        <is>
          <t>HÄLLEFORS</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44907.59805555556</v>
      </c>
      <c r="C341" s="1" t="n">
        <v>45997</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67439-2021</t>
        </is>
      </c>
      <c r="B342" s="1" t="n">
        <v>44523</v>
      </c>
      <c r="C342" s="1" t="n">
        <v>45997</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34093-2025</t>
        </is>
      </c>
      <c r="B343" s="1" t="n">
        <v>45845.47775462963</v>
      </c>
      <c r="C343" s="1" t="n">
        <v>45997</v>
      </c>
      <c r="D343" t="inlineStr">
        <is>
          <t>ÖREBRO LÄN</t>
        </is>
      </c>
      <c r="E343" t="inlineStr">
        <is>
          <t>HÄLLEFORS</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34057-2025</t>
        </is>
      </c>
      <c r="B344" s="1" t="n">
        <v>45845.41581018519</v>
      </c>
      <c r="C344" s="1" t="n">
        <v>45997</v>
      </c>
      <c r="D344" t="inlineStr">
        <is>
          <t>ÖREBRO LÄN</t>
        </is>
      </c>
      <c r="E344" t="inlineStr">
        <is>
          <t>HÄLLEFORS</t>
        </is>
      </c>
      <c r="G344" t="n">
        <v>2.1</v>
      </c>
      <c r="H344" t="n">
        <v>0</v>
      </c>
      <c r="I344" t="n">
        <v>0</v>
      </c>
      <c r="J344" t="n">
        <v>0</v>
      </c>
      <c r="K344" t="n">
        <v>0</v>
      </c>
      <c r="L344" t="n">
        <v>0</v>
      </c>
      <c r="M344" t="n">
        <v>0</v>
      </c>
      <c r="N344" t="n">
        <v>0</v>
      </c>
      <c r="O344" t="n">
        <v>0</v>
      </c>
      <c r="P344" t="n">
        <v>0</v>
      </c>
      <c r="Q344" t="n">
        <v>0</v>
      </c>
      <c r="R344" s="2" t="inlineStr"/>
    </row>
    <row r="345" ht="15" customHeight="1">
      <c r="A345" t="inlineStr">
        <is>
          <t>A 34018-2025</t>
        </is>
      </c>
      <c r="B345" s="1" t="n">
        <v>45845.34341435185</v>
      </c>
      <c r="C345" s="1" t="n">
        <v>45997</v>
      </c>
      <c r="D345" t="inlineStr">
        <is>
          <t>ÖREBRO LÄN</t>
        </is>
      </c>
      <c r="E345" t="inlineStr">
        <is>
          <t>HÄLLEFORS</t>
        </is>
      </c>
      <c r="G345" t="n">
        <v>6.4</v>
      </c>
      <c r="H345" t="n">
        <v>0</v>
      </c>
      <c r="I345" t="n">
        <v>0</v>
      </c>
      <c r="J345" t="n">
        <v>0</v>
      </c>
      <c r="K345" t="n">
        <v>0</v>
      </c>
      <c r="L345" t="n">
        <v>0</v>
      </c>
      <c r="M345" t="n">
        <v>0</v>
      </c>
      <c r="N345" t="n">
        <v>0</v>
      </c>
      <c r="O345" t="n">
        <v>0</v>
      </c>
      <c r="P345" t="n">
        <v>0</v>
      </c>
      <c r="Q345" t="n">
        <v>0</v>
      </c>
      <c r="R345" s="2" t="inlineStr"/>
    </row>
    <row r="346" ht="15" customHeight="1">
      <c r="A346" t="inlineStr">
        <is>
          <t>A 34020-2025</t>
        </is>
      </c>
      <c r="B346" s="1" t="n">
        <v>45845.34695601852</v>
      </c>
      <c r="C346" s="1" t="n">
        <v>45997</v>
      </c>
      <c r="D346" t="inlineStr">
        <is>
          <t>ÖREBRO LÄN</t>
        </is>
      </c>
      <c r="E346" t="inlineStr">
        <is>
          <t>HÄLLEFORS</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34042-2025</t>
        </is>
      </c>
      <c r="B347" s="1" t="n">
        <v>45845.37733796296</v>
      </c>
      <c r="C347" s="1" t="n">
        <v>45997</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34045-2025</t>
        </is>
      </c>
      <c r="B348" s="1" t="n">
        <v>45845.38480324074</v>
      </c>
      <c r="C348" s="1" t="n">
        <v>45997</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45997</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17075-2025</t>
        </is>
      </c>
      <c r="B350" s="1" t="n">
        <v>45755.62278935185</v>
      </c>
      <c r="C350" s="1" t="n">
        <v>45997</v>
      </c>
      <c r="D350" t="inlineStr">
        <is>
          <t>ÖREBRO LÄN</t>
        </is>
      </c>
      <c r="E350" t="inlineStr">
        <is>
          <t>HÄLLEFORS</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39171-2024</t>
        </is>
      </c>
      <c r="B351" s="1" t="n">
        <v>45548</v>
      </c>
      <c r="C351" s="1" t="n">
        <v>45997</v>
      </c>
      <c r="D351" t="inlineStr">
        <is>
          <t>ÖREBRO LÄN</t>
        </is>
      </c>
      <c r="E351" t="inlineStr">
        <is>
          <t>HÄLLEFORS</t>
        </is>
      </c>
      <c r="G351" t="n">
        <v>3.8</v>
      </c>
      <c r="H351" t="n">
        <v>0</v>
      </c>
      <c r="I351" t="n">
        <v>0</v>
      </c>
      <c r="J351" t="n">
        <v>0</v>
      </c>
      <c r="K351" t="n">
        <v>0</v>
      </c>
      <c r="L351" t="n">
        <v>0</v>
      </c>
      <c r="M351" t="n">
        <v>0</v>
      </c>
      <c r="N351" t="n">
        <v>0</v>
      </c>
      <c r="O351" t="n">
        <v>0</v>
      </c>
      <c r="P351" t="n">
        <v>0</v>
      </c>
      <c r="Q351" t="n">
        <v>0</v>
      </c>
      <c r="R351" s="2" t="inlineStr"/>
    </row>
    <row r="352" ht="15" customHeight="1">
      <c r="A352" t="inlineStr">
        <is>
          <t>A 9411-2022</t>
        </is>
      </c>
      <c r="B352" s="1" t="n">
        <v>44616</v>
      </c>
      <c r="C352" s="1" t="n">
        <v>45997</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5033-2025</t>
        </is>
      </c>
      <c r="B353" s="1" t="n">
        <v>45691.425625</v>
      </c>
      <c r="C353" s="1" t="n">
        <v>45997</v>
      </c>
      <c r="D353" t="inlineStr">
        <is>
          <t>ÖREBRO LÄN</t>
        </is>
      </c>
      <c r="E353" t="inlineStr">
        <is>
          <t>HÄLLEFORS</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17350-2025</t>
        </is>
      </c>
      <c r="B354" s="1" t="n">
        <v>45756.68074074074</v>
      </c>
      <c r="C354" s="1" t="n">
        <v>45997</v>
      </c>
      <c r="D354" t="inlineStr">
        <is>
          <t>ÖREBRO LÄN</t>
        </is>
      </c>
      <c r="E354" t="inlineStr">
        <is>
          <t>HÄLLEFORS</t>
        </is>
      </c>
      <c r="F354" t="inlineStr">
        <is>
          <t>Bergvik skog väst AB</t>
        </is>
      </c>
      <c r="G354" t="n">
        <v>6.9</v>
      </c>
      <c r="H354" t="n">
        <v>0</v>
      </c>
      <c r="I354" t="n">
        <v>0</v>
      </c>
      <c r="J354" t="n">
        <v>0</v>
      </c>
      <c r="K354" t="n">
        <v>0</v>
      </c>
      <c r="L354" t="n">
        <v>0</v>
      </c>
      <c r="M354" t="n">
        <v>0</v>
      </c>
      <c r="N354" t="n">
        <v>0</v>
      </c>
      <c r="O354" t="n">
        <v>0</v>
      </c>
      <c r="P354" t="n">
        <v>0</v>
      </c>
      <c r="Q354" t="n">
        <v>0</v>
      </c>
      <c r="R354" s="2" t="inlineStr"/>
    </row>
    <row r="355" ht="15" customHeight="1">
      <c r="A355" t="inlineStr">
        <is>
          <t>A 33944-2024</t>
        </is>
      </c>
      <c r="B355" s="1" t="n">
        <v>45523</v>
      </c>
      <c r="C355" s="1" t="n">
        <v>45997</v>
      </c>
      <c r="D355" t="inlineStr">
        <is>
          <t>ÖREBRO LÄN</t>
        </is>
      </c>
      <c r="E355" t="inlineStr">
        <is>
          <t>HÄLLEFORS</t>
        </is>
      </c>
      <c r="G355" t="n">
        <v>5.9</v>
      </c>
      <c r="H355" t="n">
        <v>0</v>
      </c>
      <c r="I355" t="n">
        <v>0</v>
      </c>
      <c r="J355" t="n">
        <v>0</v>
      </c>
      <c r="K355" t="n">
        <v>0</v>
      </c>
      <c r="L355" t="n">
        <v>0</v>
      </c>
      <c r="M355" t="n">
        <v>0</v>
      </c>
      <c r="N355" t="n">
        <v>0</v>
      </c>
      <c r="O355" t="n">
        <v>0</v>
      </c>
      <c r="P355" t="n">
        <v>0</v>
      </c>
      <c r="Q355" t="n">
        <v>0</v>
      </c>
      <c r="R355" s="2" t="inlineStr"/>
    </row>
    <row r="356" ht="15" customHeight="1">
      <c r="A356" t="inlineStr">
        <is>
          <t>A 18927-2025</t>
        </is>
      </c>
      <c r="B356" s="1" t="n">
        <v>45764.4846412037</v>
      </c>
      <c r="C356" s="1" t="n">
        <v>45997</v>
      </c>
      <c r="D356" t="inlineStr">
        <is>
          <t>ÖREBRO LÄN</t>
        </is>
      </c>
      <c r="E356" t="inlineStr">
        <is>
          <t>HÄLLEFORS</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18941-2025</t>
        </is>
      </c>
      <c r="B357" s="1" t="n">
        <v>45764.495625</v>
      </c>
      <c r="C357" s="1" t="n">
        <v>45997</v>
      </c>
      <c r="D357" t="inlineStr">
        <is>
          <t>ÖREBRO LÄN</t>
        </is>
      </c>
      <c r="E357" t="inlineStr">
        <is>
          <t>HÄLLEFORS</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28004-2022</t>
        </is>
      </c>
      <c r="B358" s="1" t="n">
        <v>44746.34457175926</v>
      </c>
      <c r="C358" s="1" t="n">
        <v>45997</v>
      </c>
      <c r="D358" t="inlineStr">
        <is>
          <t>ÖREBRO LÄN</t>
        </is>
      </c>
      <c r="E358" t="inlineStr">
        <is>
          <t>HÄLLEFORS</t>
        </is>
      </c>
      <c r="G358" t="n">
        <v>2.9</v>
      </c>
      <c r="H358" t="n">
        <v>0</v>
      </c>
      <c r="I358" t="n">
        <v>0</v>
      </c>
      <c r="J358" t="n">
        <v>0</v>
      </c>
      <c r="K358" t="n">
        <v>0</v>
      </c>
      <c r="L358" t="n">
        <v>0</v>
      </c>
      <c r="M358" t="n">
        <v>0</v>
      </c>
      <c r="N358" t="n">
        <v>0</v>
      </c>
      <c r="O358" t="n">
        <v>0</v>
      </c>
      <c r="P358" t="n">
        <v>0</v>
      </c>
      <c r="Q358" t="n">
        <v>0</v>
      </c>
      <c r="R358" s="2" t="inlineStr"/>
    </row>
    <row r="359" ht="15" customHeight="1">
      <c r="A359" t="inlineStr">
        <is>
          <t>A 55453-2023</t>
        </is>
      </c>
      <c r="B359" s="1" t="n">
        <v>45238</v>
      </c>
      <c r="C359" s="1" t="n">
        <v>45997</v>
      </c>
      <c r="D359" t="inlineStr">
        <is>
          <t>ÖREBRO LÄN</t>
        </is>
      </c>
      <c r="E359" t="inlineStr">
        <is>
          <t>HÄLLEFORS</t>
        </is>
      </c>
      <c r="G359" t="n">
        <v>0.8</v>
      </c>
      <c r="H359" t="n">
        <v>0</v>
      </c>
      <c r="I359" t="n">
        <v>0</v>
      </c>
      <c r="J359" t="n">
        <v>0</v>
      </c>
      <c r="K359" t="n">
        <v>0</v>
      </c>
      <c r="L359" t="n">
        <v>0</v>
      </c>
      <c r="M359" t="n">
        <v>0</v>
      </c>
      <c r="N359" t="n">
        <v>0</v>
      </c>
      <c r="O359" t="n">
        <v>0</v>
      </c>
      <c r="P359" t="n">
        <v>0</v>
      </c>
      <c r="Q359" t="n">
        <v>0</v>
      </c>
      <c r="R359" s="2" t="inlineStr"/>
    </row>
    <row r="360" ht="15" customHeight="1">
      <c r="A360" t="inlineStr">
        <is>
          <t>A 18889-2024</t>
        </is>
      </c>
      <c r="B360" s="1" t="n">
        <v>45427.26467592592</v>
      </c>
      <c r="C360" s="1" t="n">
        <v>45997</v>
      </c>
      <c r="D360" t="inlineStr">
        <is>
          <t>ÖREBRO LÄN</t>
        </is>
      </c>
      <c r="E360" t="inlineStr">
        <is>
          <t>HÄLLEFORS</t>
        </is>
      </c>
      <c r="G360" t="n">
        <v>8.5</v>
      </c>
      <c r="H360" t="n">
        <v>0</v>
      </c>
      <c r="I360" t="n">
        <v>0</v>
      </c>
      <c r="J360" t="n">
        <v>0</v>
      </c>
      <c r="K360" t="n">
        <v>0</v>
      </c>
      <c r="L360" t="n">
        <v>0</v>
      </c>
      <c r="M360" t="n">
        <v>0</v>
      </c>
      <c r="N360" t="n">
        <v>0</v>
      </c>
      <c r="O360" t="n">
        <v>0</v>
      </c>
      <c r="P360" t="n">
        <v>0</v>
      </c>
      <c r="Q360" t="n">
        <v>0</v>
      </c>
      <c r="R360" s="2" t="inlineStr"/>
    </row>
    <row r="361" ht="15" customHeight="1">
      <c r="A361" t="inlineStr">
        <is>
          <t>A 18627-2025</t>
        </is>
      </c>
      <c r="B361" s="1" t="n">
        <v>45763.53284722222</v>
      </c>
      <c r="C361" s="1" t="n">
        <v>45997</v>
      </c>
      <c r="D361" t="inlineStr">
        <is>
          <t>ÖREBRO LÄN</t>
        </is>
      </c>
      <c r="E361" t="inlineStr">
        <is>
          <t>HÄLLEFORS</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12511-2025</t>
        </is>
      </c>
      <c r="B362" s="1" t="n">
        <v>45730.6371412037</v>
      </c>
      <c r="C362" s="1" t="n">
        <v>45997</v>
      </c>
      <c r="D362" t="inlineStr">
        <is>
          <t>ÖREBRO LÄN</t>
        </is>
      </c>
      <c r="E362" t="inlineStr">
        <is>
          <t>HÄLLEFORS</t>
        </is>
      </c>
      <c r="G362" t="n">
        <v>0.7</v>
      </c>
      <c r="H362" t="n">
        <v>0</v>
      </c>
      <c r="I362" t="n">
        <v>0</v>
      </c>
      <c r="J362" t="n">
        <v>0</v>
      </c>
      <c r="K362" t="n">
        <v>0</v>
      </c>
      <c r="L362" t="n">
        <v>0</v>
      </c>
      <c r="M362" t="n">
        <v>0</v>
      </c>
      <c r="N362" t="n">
        <v>0</v>
      </c>
      <c r="O362" t="n">
        <v>0</v>
      </c>
      <c r="P362" t="n">
        <v>0</v>
      </c>
      <c r="Q362" t="n">
        <v>0</v>
      </c>
      <c r="R362" s="2" t="inlineStr"/>
    </row>
    <row r="363" ht="15" customHeight="1">
      <c r="A363" t="inlineStr">
        <is>
          <t>A 55747-2024</t>
        </is>
      </c>
      <c r="B363" s="1" t="n">
        <v>45623.32141203704</v>
      </c>
      <c r="C363" s="1" t="n">
        <v>45997</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1288-2024</t>
        </is>
      </c>
      <c r="B364" s="1" t="n">
        <v>45303</v>
      </c>
      <c r="C364" s="1" t="n">
        <v>45997</v>
      </c>
      <c r="D364" t="inlineStr">
        <is>
          <t>ÖREBRO LÄN</t>
        </is>
      </c>
      <c r="E364" t="inlineStr">
        <is>
          <t>HÄLLEFORS</t>
        </is>
      </c>
      <c r="G364" t="n">
        <v>1.2</v>
      </c>
      <c r="H364" t="n">
        <v>0</v>
      </c>
      <c r="I364" t="n">
        <v>0</v>
      </c>
      <c r="J364" t="n">
        <v>0</v>
      </c>
      <c r="K364" t="n">
        <v>0</v>
      </c>
      <c r="L364" t="n">
        <v>0</v>
      </c>
      <c r="M364" t="n">
        <v>0</v>
      </c>
      <c r="N364" t="n">
        <v>0</v>
      </c>
      <c r="O364" t="n">
        <v>0</v>
      </c>
      <c r="P364" t="n">
        <v>0</v>
      </c>
      <c r="Q364" t="n">
        <v>0</v>
      </c>
      <c r="R364" s="2" t="inlineStr"/>
    </row>
    <row r="365" ht="15" customHeight="1">
      <c r="A365" t="inlineStr">
        <is>
          <t>A 56298-2024</t>
        </is>
      </c>
      <c r="B365" s="1" t="n">
        <v>45624.68584490741</v>
      </c>
      <c r="C365" s="1" t="n">
        <v>45997</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14120-2023</t>
        </is>
      </c>
      <c r="B366" s="1" t="n">
        <v>45009</v>
      </c>
      <c r="C366" s="1" t="n">
        <v>45997</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50714-2022</t>
        </is>
      </c>
      <c r="B367" s="1" t="n">
        <v>44867.35501157407</v>
      </c>
      <c r="C367" s="1" t="n">
        <v>45997</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59976-2024</t>
        </is>
      </c>
      <c r="B368" s="1" t="n">
        <v>45642.37226851852</v>
      </c>
      <c r="C368" s="1" t="n">
        <v>45997</v>
      </c>
      <c r="D368" t="inlineStr">
        <is>
          <t>ÖREBRO LÄN</t>
        </is>
      </c>
      <c r="E368" t="inlineStr">
        <is>
          <t>HÄLLEFORS</t>
        </is>
      </c>
      <c r="F368" t="inlineStr">
        <is>
          <t>Bergvik skog väst AB</t>
        </is>
      </c>
      <c r="G368" t="n">
        <v>8.9</v>
      </c>
      <c r="H368" t="n">
        <v>0</v>
      </c>
      <c r="I368" t="n">
        <v>0</v>
      </c>
      <c r="J368" t="n">
        <v>0</v>
      </c>
      <c r="K368" t="n">
        <v>0</v>
      </c>
      <c r="L368" t="n">
        <v>0</v>
      </c>
      <c r="M368" t="n">
        <v>0</v>
      </c>
      <c r="N368" t="n">
        <v>0</v>
      </c>
      <c r="O368" t="n">
        <v>0</v>
      </c>
      <c r="P368" t="n">
        <v>0</v>
      </c>
      <c r="Q368" t="n">
        <v>0</v>
      </c>
      <c r="R368" s="2" t="inlineStr"/>
    </row>
    <row r="369" ht="15" customHeight="1">
      <c r="A369" t="inlineStr">
        <is>
          <t>A 15941-2023</t>
        </is>
      </c>
      <c r="B369" s="1" t="n">
        <v>45022</v>
      </c>
      <c r="C369" s="1" t="n">
        <v>45997</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45997</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6281-2025</t>
        </is>
      </c>
      <c r="B371" s="1" t="n">
        <v>45698</v>
      </c>
      <c r="C371" s="1" t="n">
        <v>45997</v>
      </c>
      <c r="D371" t="inlineStr">
        <is>
          <t>ÖREBRO LÄN</t>
        </is>
      </c>
      <c r="E371" t="inlineStr">
        <is>
          <t>HÄLLEFORS</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19055-2024</t>
        </is>
      </c>
      <c r="B372" s="1" t="n">
        <v>45427.79534722222</v>
      </c>
      <c r="C372" s="1" t="n">
        <v>45997</v>
      </c>
      <c r="D372" t="inlineStr">
        <is>
          <t>ÖREBRO LÄN</t>
        </is>
      </c>
      <c r="E372" t="inlineStr">
        <is>
          <t>HÄLLEFORS</t>
        </is>
      </c>
      <c r="G372" t="n">
        <v>0.6</v>
      </c>
      <c r="H372" t="n">
        <v>0</v>
      </c>
      <c r="I372" t="n">
        <v>0</v>
      </c>
      <c r="J372" t="n">
        <v>0</v>
      </c>
      <c r="K372" t="n">
        <v>0</v>
      </c>
      <c r="L372" t="n">
        <v>0</v>
      </c>
      <c r="M372" t="n">
        <v>0</v>
      </c>
      <c r="N372" t="n">
        <v>0</v>
      </c>
      <c r="O372" t="n">
        <v>0</v>
      </c>
      <c r="P372" t="n">
        <v>0</v>
      </c>
      <c r="Q372" t="n">
        <v>0</v>
      </c>
      <c r="R372" s="2" t="inlineStr"/>
    </row>
    <row r="373" ht="15" customHeight="1">
      <c r="A373" t="inlineStr">
        <is>
          <t>A 50571-2024</t>
        </is>
      </c>
      <c r="B373" s="1" t="n">
        <v>45601.60576388889</v>
      </c>
      <c r="C373" s="1" t="n">
        <v>45997</v>
      </c>
      <c r="D373" t="inlineStr">
        <is>
          <t>ÖREBRO LÄN</t>
        </is>
      </c>
      <c r="E373" t="inlineStr">
        <is>
          <t>HÄLLEFORS</t>
        </is>
      </c>
      <c r="F373" t="inlineStr">
        <is>
          <t>Bergvik skog väst AB</t>
        </is>
      </c>
      <c r="G373" t="n">
        <v>4.6</v>
      </c>
      <c r="H373" t="n">
        <v>0</v>
      </c>
      <c r="I373" t="n">
        <v>0</v>
      </c>
      <c r="J373" t="n">
        <v>0</v>
      </c>
      <c r="K373" t="n">
        <v>0</v>
      </c>
      <c r="L373" t="n">
        <v>0</v>
      </c>
      <c r="M373" t="n">
        <v>0</v>
      </c>
      <c r="N373" t="n">
        <v>0</v>
      </c>
      <c r="O373" t="n">
        <v>0</v>
      </c>
      <c r="P373" t="n">
        <v>0</v>
      </c>
      <c r="Q373" t="n">
        <v>0</v>
      </c>
      <c r="R373" s="2" t="inlineStr"/>
    </row>
    <row r="374" ht="15" customHeight="1">
      <c r="A374" t="inlineStr">
        <is>
          <t>A 3643-2025</t>
        </is>
      </c>
      <c r="B374" s="1" t="n">
        <v>45681</v>
      </c>
      <c r="C374" s="1" t="n">
        <v>45997</v>
      </c>
      <c r="D374" t="inlineStr">
        <is>
          <t>ÖREBRO LÄN</t>
        </is>
      </c>
      <c r="E374" t="inlineStr">
        <is>
          <t>HÄLLEFORS</t>
        </is>
      </c>
      <c r="G374" t="n">
        <v>20.8</v>
      </c>
      <c r="H374" t="n">
        <v>0</v>
      </c>
      <c r="I374" t="n">
        <v>0</v>
      </c>
      <c r="J374" t="n">
        <v>0</v>
      </c>
      <c r="K374" t="n">
        <v>0</v>
      </c>
      <c r="L374" t="n">
        <v>0</v>
      </c>
      <c r="M374" t="n">
        <v>0</v>
      </c>
      <c r="N374" t="n">
        <v>0</v>
      </c>
      <c r="O374" t="n">
        <v>0</v>
      </c>
      <c r="P374" t="n">
        <v>0</v>
      </c>
      <c r="Q374" t="n">
        <v>0</v>
      </c>
      <c r="R374" s="2" t="inlineStr"/>
    </row>
    <row r="375" ht="15" customHeight="1">
      <c r="A375" t="inlineStr">
        <is>
          <t>A 1018-2025</t>
        </is>
      </c>
      <c r="B375" s="1" t="n">
        <v>45666.49185185185</v>
      </c>
      <c r="C375" s="1" t="n">
        <v>45997</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5684-2025</t>
        </is>
      </c>
      <c r="B376" s="1" t="n">
        <v>45694</v>
      </c>
      <c r="C376" s="1" t="n">
        <v>45997</v>
      </c>
      <c r="D376" t="inlineStr">
        <is>
          <t>ÖREBRO LÄN</t>
        </is>
      </c>
      <c r="E376" t="inlineStr">
        <is>
          <t>HÄLLEFORS</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29884-2022</t>
        </is>
      </c>
      <c r="B377" s="1" t="n">
        <v>44756</v>
      </c>
      <c r="C377" s="1" t="n">
        <v>45997</v>
      </c>
      <c r="D377" t="inlineStr">
        <is>
          <t>ÖREBRO LÄN</t>
        </is>
      </c>
      <c r="E377" t="inlineStr">
        <is>
          <t>HÄLLEFORS</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17041-2025</t>
        </is>
      </c>
      <c r="B378" s="1" t="n">
        <v>45755.58488425926</v>
      </c>
      <c r="C378" s="1" t="n">
        <v>45997</v>
      </c>
      <c r="D378" t="inlineStr">
        <is>
          <t>ÖREBRO LÄN</t>
        </is>
      </c>
      <c r="E378" t="inlineStr">
        <is>
          <t>HÄLLEFORS</t>
        </is>
      </c>
      <c r="F378" t="inlineStr">
        <is>
          <t>Bergvik skog väst AB</t>
        </is>
      </c>
      <c r="G378" t="n">
        <v>3.7</v>
      </c>
      <c r="H378" t="n">
        <v>0</v>
      </c>
      <c r="I378" t="n">
        <v>0</v>
      </c>
      <c r="J378" t="n">
        <v>0</v>
      </c>
      <c r="K378" t="n">
        <v>0</v>
      </c>
      <c r="L378" t="n">
        <v>0</v>
      </c>
      <c r="M378" t="n">
        <v>0</v>
      </c>
      <c r="N378" t="n">
        <v>0</v>
      </c>
      <c r="O378" t="n">
        <v>0</v>
      </c>
      <c r="P378" t="n">
        <v>0</v>
      </c>
      <c r="Q378" t="n">
        <v>0</v>
      </c>
      <c r="R378" s="2" t="inlineStr"/>
    </row>
    <row r="379" ht="15" customHeight="1">
      <c r="A379" t="inlineStr">
        <is>
          <t>A 29340-2024</t>
        </is>
      </c>
      <c r="B379" s="1" t="n">
        <v>45483.46465277778</v>
      </c>
      <c r="C379" s="1" t="n">
        <v>45997</v>
      </c>
      <c r="D379" t="inlineStr">
        <is>
          <t>ÖREBRO LÄN</t>
        </is>
      </c>
      <c r="E379" t="inlineStr">
        <is>
          <t>HÄLLEFORS</t>
        </is>
      </c>
      <c r="G379" t="n">
        <v>1.7</v>
      </c>
      <c r="H379" t="n">
        <v>0</v>
      </c>
      <c r="I379" t="n">
        <v>0</v>
      </c>
      <c r="J379" t="n">
        <v>0</v>
      </c>
      <c r="K379" t="n">
        <v>0</v>
      </c>
      <c r="L379" t="n">
        <v>0</v>
      </c>
      <c r="M379" t="n">
        <v>0</v>
      </c>
      <c r="N379" t="n">
        <v>0</v>
      </c>
      <c r="O379" t="n">
        <v>0</v>
      </c>
      <c r="P379" t="n">
        <v>0</v>
      </c>
      <c r="Q379" t="n">
        <v>0</v>
      </c>
      <c r="R379" s="2" t="inlineStr"/>
    </row>
    <row r="380" ht="15" customHeight="1">
      <c r="A380" t="inlineStr">
        <is>
          <t>A 17050-2025</t>
        </is>
      </c>
      <c r="B380" s="1" t="n">
        <v>45755.5997337963</v>
      </c>
      <c r="C380" s="1" t="n">
        <v>45997</v>
      </c>
      <c r="D380" t="inlineStr">
        <is>
          <t>ÖREBRO LÄN</t>
        </is>
      </c>
      <c r="E380" t="inlineStr">
        <is>
          <t>HÄLLEFORS</t>
        </is>
      </c>
      <c r="F380" t="inlineStr">
        <is>
          <t>Bergvik skog väst AB</t>
        </is>
      </c>
      <c r="G380" t="n">
        <v>2.3</v>
      </c>
      <c r="H380" t="n">
        <v>0</v>
      </c>
      <c r="I380" t="n">
        <v>0</v>
      </c>
      <c r="J380" t="n">
        <v>0</v>
      </c>
      <c r="K380" t="n">
        <v>0</v>
      </c>
      <c r="L380" t="n">
        <v>0</v>
      </c>
      <c r="M380" t="n">
        <v>0</v>
      </c>
      <c r="N380" t="n">
        <v>0</v>
      </c>
      <c r="O380" t="n">
        <v>0</v>
      </c>
      <c r="P380" t="n">
        <v>0</v>
      </c>
      <c r="Q380" t="n">
        <v>0</v>
      </c>
      <c r="R380" s="2" t="inlineStr"/>
    </row>
    <row r="381" ht="15" customHeight="1">
      <c r="A381" t="inlineStr">
        <is>
          <t>A 20170-2023</t>
        </is>
      </c>
      <c r="B381" s="1" t="n">
        <v>45055</v>
      </c>
      <c r="C381" s="1" t="n">
        <v>45997</v>
      </c>
      <c r="D381" t="inlineStr">
        <is>
          <t>ÖREBRO LÄN</t>
        </is>
      </c>
      <c r="E381" t="inlineStr">
        <is>
          <t>HÄLLEFORS</t>
        </is>
      </c>
      <c r="G381" t="n">
        <v>1.1</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45997</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36276-2024</t>
        </is>
      </c>
      <c r="B383" s="1" t="n">
        <v>45534.58140046296</v>
      </c>
      <c r="C383" s="1" t="n">
        <v>45997</v>
      </c>
      <c r="D383" t="inlineStr">
        <is>
          <t>ÖREBRO LÄN</t>
        </is>
      </c>
      <c r="E383" t="inlineStr">
        <is>
          <t>HÄLLEFORS</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6761-2025</t>
        </is>
      </c>
      <c r="B384" s="1" t="n">
        <v>45700.62762731482</v>
      </c>
      <c r="C384" s="1" t="n">
        <v>45997</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34898-2021</t>
        </is>
      </c>
      <c r="B385" s="1" t="n">
        <v>44383</v>
      </c>
      <c r="C385" s="1" t="n">
        <v>45997</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18657-2025</t>
        </is>
      </c>
      <c r="B386" s="1" t="n">
        <v>45763.57651620371</v>
      </c>
      <c r="C386" s="1" t="n">
        <v>45997</v>
      </c>
      <c r="D386" t="inlineStr">
        <is>
          <t>ÖREBRO LÄN</t>
        </is>
      </c>
      <c r="E386" t="inlineStr">
        <is>
          <t>HÄLLEFORS</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39327-2022</t>
        </is>
      </c>
      <c r="B387" s="1" t="n">
        <v>44817</v>
      </c>
      <c r="C387" s="1" t="n">
        <v>45997</v>
      </c>
      <c r="D387" t="inlineStr">
        <is>
          <t>ÖREBRO LÄN</t>
        </is>
      </c>
      <c r="E387" t="inlineStr">
        <is>
          <t>HÄLLEFORS</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41822-2023</t>
        </is>
      </c>
      <c r="B388" s="1" t="n">
        <v>45176.56863425926</v>
      </c>
      <c r="C388" s="1" t="n">
        <v>45997</v>
      </c>
      <c r="D388" t="inlineStr">
        <is>
          <t>ÖREBRO LÄN</t>
        </is>
      </c>
      <c r="E388" t="inlineStr">
        <is>
          <t>HÄLLEFORS</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16169-2025</t>
        </is>
      </c>
      <c r="B389" s="1" t="n">
        <v>45750</v>
      </c>
      <c r="C389" s="1" t="n">
        <v>45997</v>
      </c>
      <c r="D389" t="inlineStr">
        <is>
          <t>ÖREBRO LÄN</t>
        </is>
      </c>
      <c r="E389" t="inlineStr">
        <is>
          <t>HÄLLEFORS</t>
        </is>
      </c>
      <c r="F389" t="inlineStr">
        <is>
          <t>Kyrkan</t>
        </is>
      </c>
      <c r="G389" t="n">
        <v>2.1</v>
      </c>
      <c r="H389" t="n">
        <v>0</v>
      </c>
      <c r="I389" t="n">
        <v>0</v>
      </c>
      <c r="J389" t="n">
        <v>0</v>
      </c>
      <c r="K389" t="n">
        <v>0</v>
      </c>
      <c r="L389" t="n">
        <v>0</v>
      </c>
      <c r="M389" t="n">
        <v>0</v>
      </c>
      <c r="N389" t="n">
        <v>0</v>
      </c>
      <c r="O389" t="n">
        <v>0</v>
      </c>
      <c r="P389" t="n">
        <v>0</v>
      </c>
      <c r="Q389" t="n">
        <v>0</v>
      </c>
      <c r="R389" s="2" t="inlineStr"/>
    </row>
    <row r="390">
      <c r="A390" t="inlineStr">
        <is>
          <t>A 12082-2025</t>
        </is>
      </c>
      <c r="B390" s="1" t="n">
        <v>45728</v>
      </c>
      <c r="C390" s="1" t="n">
        <v>45997</v>
      </c>
      <c r="D390" t="inlineStr">
        <is>
          <t>ÖREBRO LÄN</t>
        </is>
      </c>
      <c r="E390" t="inlineStr">
        <is>
          <t>HÄLLEFORS</t>
        </is>
      </c>
      <c r="F390" t="inlineStr">
        <is>
          <t>Bergvik skog väst AB</t>
        </is>
      </c>
      <c r="G390" t="n">
        <v>3.4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2025-12-06T10:25:41Z</dcterms:created>
  <dcterms:modified xmlns:dcterms="http://purl.org/dc/terms/" xmlns:xsi="http://www.w3.org/2001/XMLSchema-instance" xsi:type="dcterms:W3CDTF">2025-12-06T10:25:42Z</dcterms:modified>
</cp:coreProperties>
</file>