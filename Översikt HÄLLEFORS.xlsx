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46181</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46181</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46181</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46181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46181</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9649-2026</t>
        </is>
      </c>
      <c r="B9" s="1" t="n">
        <v>46072</v>
      </c>
      <c r="C9" s="1" t="n">
        <v>46181</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46181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46181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46181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46181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46181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46181</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46181</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46181</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20696-2026</t>
        </is>
      </c>
      <c r="B18" s="1" t="n">
        <v>46141.46914351852</v>
      </c>
      <c r="C18" s="1" t="n">
        <v>46181</v>
      </c>
      <c r="D18" t="inlineStr">
        <is>
          <t>ÖREBRO LÄN</t>
        </is>
      </c>
      <c r="E18" t="inlineStr">
        <is>
          <t>HÄLLEFORS</t>
        </is>
      </c>
      <c r="F18" t="inlineStr">
        <is>
          <t>Sveaskog</t>
        </is>
      </c>
      <c r="G18" t="n">
        <v>7.5</v>
      </c>
      <c r="H18" t="n">
        <v>1</v>
      </c>
      <c r="I18" t="n">
        <v>0</v>
      </c>
      <c r="J18" t="n">
        <v>1</v>
      </c>
      <c r="K18" t="n">
        <v>0</v>
      </c>
      <c r="L18" t="n">
        <v>0</v>
      </c>
      <c r="M18" t="n">
        <v>0</v>
      </c>
      <c r="N18" t="n">
        <v>0</v>
      </c>
      <c r="O18" t="n">
        <v>1</v>
      </c>
      <c r="P18" t="n">
        <v>0</v>
      </c>
      <c r="Q18" t="n">
        <v>2</v>
      </c>
      <c r="R18" s="2" t="inlineStr">
        <is>
          <t>Kolflarnlav
Revlummer</t>
        </is>
      </c>
      <c r="S18">
        <f>HYPERLINK("https://klasma.github.io/Logging_1863/artfynd/A 20696-2026 artfynd.xlsx", "A 20696-2026")</f>
        <v/>
      </c>
      <c r="T18">
        <f>HYPERLINK("https://klasma.github.io/Logging_1863/kartor/A 20696-2026 karta.png", "A 20696-2026")</f>
        <v/>
      </c>
      <c r="V18">
        <f>HYPERLINK("https://klasma.github.io/Logging_1863/klagomål/A 20696-2026 FSC-klagomål.docx", "A 20696-2026")</f>
        <v/>
      </c>
      <c r="W18">
        <f>HYPERLINK("https://klasma.github.io/Logging_1863/klagomålsmail/A 20696-2026 FSC-klagomål mail.docx", "A 20696-2026")</f>
        <v/>
      </c>
      <c r="X18">
        <f>HYPERLINK("https://klasma.github.io/Logging_1863/tillsyn/A 20696-2026 tillsynsbegäran.docx", "A 20696-2026")</f>
        <v/>
      </c>
      <c r="Y18">
        <f>HYPERLINK("https://klasma.github.io/Logging_1863/tillsynsmail/A 20696-2026 tillsynsbegäran mail.docx", "A 20696-2026")</f>
        <v/>
      </c>
    </row>
    <row r="19" ht="15" customHeight="1">
      <c r="A19" t="inlineStr">
        <is>
          <t>A 20695-2026</t>
        </is>
      </c>
      <c r="B19" s="1" t="n">
        <v>46141.46851851852</v>
      </c>
      <c r="C19" s="1" t="n">
        <v>46181</v>
      </c>
      <c r="D19" t="inlineStr">
        <is>
          <t>ÖREBRO LÄN</t>
        </is>
      </c>
      <c r="E19" t="inlineStr">
        <is>
          <t>HÄLLEFORS</t>
        </is>
      </c>
      <c r="F19" t="inlineStr">
        <is>
          <t>Sveaskog</t>
        </is>
      </c>
      <c r="G19" t="n">
        <v>8</v>
      </c>
      <c r="H19" t="n">
        <v>1</v>
      </c>
      <c r="I19" t="n">
        <v>0</v>
      </c>
      <c r="J19" t="n">
        <v>2</v>
      </c>
      <c r="K19" t="n">
        <v>0</v>
      </c>
      <c r="L19" t="n">
        <v>0</v>
      </c>
      <c r="M19" t="n">
        <v>0</v>
      </c>
      <c r="N19" t="n">
        <v>0</v>
      </c>
      <c r="O19" t="n">
        <v>2</v>
      </c>
      <c r="P19" t="n">
        <v>0</v>
      </c>
      <c r="Q19" t="n">
        <v>2</v>
      </c>
      <c r="R19" s="2" t="inlineStr">
        <is>
          <t>Spillkråka
Vedskivlav</t>
        </is>
      </c>
      <c r="S19">
        <f>HYPERLINK("https://klasma.github.io/Logging_1863/artfynd/A 20695-2026 artfynd.xlsx", "A 20695-2026")</f>
        <v/>
      </c>
      <c r="T19">
        <f>HYPERLINK("https://klasma.github.io/Logging_1863/kartor/A 20695-2026 karta.png", "A 20695-2026")</f>
        <v/>
      </c>
      <c r="V19">
        <f>HYPERLINK("https://klasma.github.io/Logging_1863/klagomål/A 20695-2026 FSC-klagomål.docx", "A 20695-2026")</f>
        <v/>
      </c>
      <c r="W19">
        <f>HYPERLINK("https://klasma.github.io/Logging_1863/klagomålsmail/A 20695-2026 FSC-klagomål mail.docx", "A 20695-2026")</f>
        <v/>
      </c>
      <c r="X19">
        <f>HYPERLINK("https://klasma.github.io/Logging_1863/tillsyn/A 20695-2026 tillsynsbegäran.docx", "A 20695-2026")</f>
        <v/>
      </c>
      <c r="Y19">
        <f>HYPERLINK("https://klasma.github.io/Logging_1863/tillsynsmail/A 20695-2026 tillsynsbegäran mail.docx", "A 20695-2026")</f>
        <v/>
      </c>
      <c r="Z19">
        <f>HYPERLINK("https://klasma.github.io/Logging_1863/fåglar/A 20695-2026 prioriterade fågelarter.docx", "A 20695-2026")</f>
        <v/>
      </c>
    </row>
    <row r="20" ht="15" customHeight="1">
      <c r="A20" t="inlineStr">
        <is>
          <t>A 14340-2026</t>
        </is>
      </c>
      <c r="B20" s="1" t="n">
        <v>46100.32818287037</v>
      </c>
      <c r="C20" s="1" t="n">
        <v>46181</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46181</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18047-2026</t>
        </is>
      </c>
      <c r="B22" s="1" t="n">
        <v>46125.42555555556</v>
      </c>
      <c r="C22" s="1" t="n">
        <v>46181</v>
      </c>
      <c r="D22" t="inlineStr">
        <is>
          <t>ÖREBRO LÄN</t>
        </is>
      </c>
      <c r="E22" t="inlineStr">
        <is>
          <t>HÄLLEFORS</t>
        </is>
      </c>
      <c r="F22" t="inlineStr">
        <is>
          <t>Sveaskog</t>
        </is>
      </c>
      <c r="G22" t="n">
        <v>3.4</v>
      </c>
      <c r="H22" t="n">
        <v>2</v>
      </c>
      <c r="I22" t="n">
        <v>0</v>
      </c>
      <c r="J22" t="n">
        <v>0</v>
      </c>
      <c r="K22" t="n">
        <v>0</v>
      </c>
      <c r="L22" t="n">
        <v>0</v>
      </c>
      <c r="M22" t="n">
        <v>0</v>
      </c>
      <c r="N22" t="n">
        <v>0</v>
      </c>
      <c r="O22" t="n">
        <v>0</v>
      </c>
      <c r="P22" t="n">
        <v>0</v>
      </c>
      <c r="Q22" t="n">
        <v>2</v>
      </c>
      <c r="R22" s="2" t="inlineStr">
        <is>
          <t>Mattlummer
Revlummer</t>
        </is>
      </c>
      <c r="S22">
        <f>HYPERLINK("https://klasma.github.io/Logging_1863/artfynd/A 18047-2026 artfynd.xlsx", "A 18047-2026")</f>
        <v/>
      </c>
      <c r="T22">
        <f>HYPERLINK("https://klasma.github.io/Logging_1863/kartor/A 18047-2026 karta.png", "A 18047-2026")</f>
        <v/>
      </c>
      <c r="V22">
        <f>HYPERLINK("https://klasma.github.io/Logging_1863/klagomål/A 18047-2026 FSC-klagomål.docx", "A 18047-2026")</f>
        <v/>
      </c>
      <c r="W22">
        <f>HYPERLINK("https://klasma.github.io/Logging_1863/klagomålsmail/A 18047-2026 FSC-klagomål mail.docx", "A 18047-2026")</f>
        <v/>
      </c>
      <c r="X22">
        <f>HYPERLINK("https://klasma.github.io/Logging_1863/tillsyn/A 18047-2026 tillsynsbegäran.docx", "A 18047-2026")</f>
        <v/>
      </c>
      <c r="Y22">
        <f>HYPERLINK("https://klasma.github.io/Logging_1863/tillsynsmail/A 18047-2026 tillsynsbegäran mail.docx", "A 18047-2026")</f>
        <v/>
      </c>
    </row>
    <row r="23" ht="15" customHeight="1">
      <c r="A23" t="inlineStr">
        <is>
          <t>A 21848-2025</t>
        </is>
      </c>
      <c r="B23" s="1" t="n">
        <v>45784</v>
      </c>
      <c r="C23" s="1" t="n">
        <v>46181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46181</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46181</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46181</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46181</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46181</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46181</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18617-2025</t>
        </is>
      </c>
      <c r="B30" s="1" t="n">
        <v>45763.51037037037</v>
      </c>
      <c r="C30" s="1" t="n">
        <v>46181</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61140-2025</t>
        </is>
      </c>
      <c r="B31" s="1" t="n">
        <v>46000.515625</v>
      </c>
      <c r="C31" s="1" t="n">
        <v>46181</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14342-2026</t>
        </is>
      </c>
      <c r="B32" s="1" t="n">
        <v>46100.33013888889</v>
      </c>
      <c r="C32" s="1" t="n">
        <v>46181</v>
      </c>
      <c r="D32" t="inlineStr">
        <is>
          <t>ÖREBRO LÄN</t>
        </is>
      </c>
      <c r="E32" t="inlineStr">
        <is>
          <t>HÄLLEFORS</t>
        </is>
      </c>
      <c r="F32" t="inlineStr">
        <is>
          <t>Sveaskog</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14342-2026 artfynd.xlsx", "A 14342-2026")</f>
        <v/>
      </c>
      <c r="T32">
        <f>HYPERLINK("https://klasma.github.io/Logging_1863/kartor/A 14342-2026 karta.png", "A 14342-2026")</f>
        <v/>
      </c>
      <c r="V32">
        <f>HYPERLINK("https://klasma.github.io/Logging_1863/klagomål/A 14342-2026 FSC-klagomål.docx", "A 14342-2026")</f>
        <v/>
      </c>
      <c r="W32">
        <f>HYPERLINK("https://klasma.github.io/Logging_1863/klagomålsmail/A 14342-2026 FSC-klagomål mail.docx", "A 14342-2026")</f>
        <v/>
      </c>
      <c r="X32">
        <f>HYPERLINK("https://klasma.github.io/Logging_1863/tillsyn/A 14342-2026 tillsynsbegäran.docx", "A 14342-2026")</f>
        <v/>
      </c>
      <c r="Y32">
        <f>HYPERLINK("https://klasma.github.io/Logging_1863/tillsynsmail/A 14342-2026 tillsynsbegäran mail.docx", "A 14342-2026")</f>
        <v/>
      </c>
    </row>
    <row r="33" ht="15" customHeight="1">
      <c r="A33" t="inlineStr">
        <is>
          <t>A 28598-2024</t>
        </is>
      </c>
      <c r="B33" s="1" t="n">
        <v>45478.42475694444</v>
      </c>
      <c r="C33" s="1" t="n">
        <v>46181</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16088-2026</t>
        </is>
      </c>
      <c r="B34" s="1" t="n">
        <v>46108.57201388889</v>
      </c>
      <c r="C34" s="1" t="n">
        <v>46181</v>
      </c>
      <c r="D34" t="inlineStr">
        <is>
          <t>ÖREBRO LÄN</t>
        </is>
      </c>
      <c r="E34" t="inlineStr">
        <is>
          <t>HÄLLEFORS</t>
        </is>
      </c>
      <c r="F34" t="inlineStr">
        <is>
          <t>Sveaskog</t>
        </is>
      </c>
      <c r="G34" t="n">
        <v>4.8</v>
      </c>
      <c r="H34" t="n">
        <v>1</v>
      </c>
      <c r="I34" t="n">
        <v>0</v>
      </c>
      <c r="J34" t="n">
        <v>0</v>
      </c>
      <c r="K34" t="n">
        <v>0</v>
      </c>
      <c r="L34" t="n">
        <v>0</v>
      </c>
      <c r="M34" t="n">
        <v>0</v>
      </c>
      <c r="N34" t="n">
        <v>0</v>
      </c>
      <c r="O34" t="n">
        <v>0</v>
      </c>
      <c r="P34" t="n">
        <v>0</v>
      </c>
      <c r="Q34" t="n">
        <v>1</v>
      </c>
      <c r="R34" s="2" t="inlineStr">
        <is>
          <t>Tjäder</t>
        </is>
      </c>
      <c r="S34">
        <f>HYPERLINK("https://klasma.github.io/Logging_1863/artfynd/A 16088-2026 artfynd.xlsx", "A 16088-2026")</f>
        <v/>
      </c>
      <c r="T34">
        <f>HYPERLINK("https://klasma.github.io/Logging_1863/kartor/A 16088-2026 karta.png", "A 16088-2026")</f>
        <v/>
      </c>
      <c r="V34">
        <f>HYPERLINK("https://klasma.github.io/Logging_1863/klagomål/A 16088-2026 FSC-klagomål.docx", "A 16088-2026")</f>
        <v/>
      </c>
      <c r="W34">
        <f>HYPERLINK("https://klasma.github.io/Logging_1863/klagomålsmail/A 16088-2026 FSC-klagomål mail.docx", "A 16088-2026")</f>
        <v/>
      </c>
      <c r="X34">
        <f>HYPERLINK("https://klasma.github.io/Logging_1863/tillsyn/A 16088-2026 tillsynsbegäran.docx", "A 16088-2026")</f>
        <v/>
      </c>
      <c r="Y34">
        <f>HYPERLINK("https://klasma.github.io/Logging_1863/tillsynsmail/A 16088-2026 tillsynsbegäran mail.docx", "A 16088-2026")</f>
        <v/>
      </c>
      <c r="Z34">
        <f>HYPERLINK("https://klasma.github.io/Logging_1863/fåglar/A 16088-2026 prioriterade fågelarter.docx", "A 16088-2026")</f>
        <v/>
      </c>
    </row>
    <row r="35" ht="15" customHeight="1">
      <c r="A35" t="inlineStr">
        <is>
          <t>A 22246-2026</t>
        </is>
      </c>
      <c r="B35" s="1" t="n">
        <v>46154.33288194444</v>
      </c>
      <c r="C35" s="1" t="n">
        <v>46181</v>
      </c>
      <c r="D35" t="inlineStr">
        <is>
          <t>ÖREBRO LÄN</t>
        </is>
      </c>
      <c r="E35" t="inlineStr">
        <is>
          <t>HÄLLEFORS</t>
        </is>
      </c>
      <c r="F35" t="inlineStr">
        <is>
          <t>Sveaskog</t>
        </is>
      </c>
      <c r="G35" t="n">
        <v>13.1</v>
      </c>
      <c r="H35" t="n">
        <v>1</v>
      </c>
      <c r="I35" t="n">
        <v>0</v>
      </c>
      <c r="J35" t="n">
        <v>0</v>
      </c>
      <c r="K35" t="n">
        <v>0</v>
      </c>
      <c r="L35" t="n">
        <v>0</v>
      </c>
      <c r="M35" t="n">
        <v>0</v>
      </c>
      <c r="N35" t="n">
        <v>0</v>
      </c>
      <c r="O35" t="n">
        <v>0</v>
      </c>
      <c r="P35" t="n">
        <v>0</v>
      </c>
      <c r="Q35" t="n">
        <v>1</v>
      </c>
      <c r="R35" s="2" t="inlineStr">
        <is>
          <t>Revlummer</t>
        </is>
      </c>
      <c r="S35">
        <f>HYPERLINK("https://klasma.github.io/Logging_1863/artfynd/A 22246-2026 artfynd.xlsx", "A 22246-2026")</f>
        <v/>
      </c>
      <c r="T35">
        <f>HYPERLINK("https://klasma.github.io/Logging_1863/kartor/A 22246-2026 karta.png", "A 22246-2026")</f>
        <v/>
      </c>
      <c r="V35">
        <f>HYPERLINK("https://klasma.github.io/Logging_1863/klagomål/A 22246-2026 FSC-klagomål.docx", "A 22246-2026")</f>
        <v/>
      </c>
      <c r="W35">
        <f>HYPERLINK("https://klasma.github.io/Logging_1863/klagomålsmail/A 22246-2026 FSC-klagomål mail.docx", "A 22246-2026")</f>
        <v/>
      </c>
      <c r="X35">
        <f>HYPERLINK("https://klasma.github.io/Logging_1863/tillsyn/A 22246-2026 tillsynsbegäran.docx", "A 22246-2026")</f>
        <v/>
      </c>
      <c r="Y35">
        <f>HYPERLINK("https://klasma.github.io/Logging_1863/tillsynsmail/A 22246-2026 tillsynsbegäran mail.docx", "A 22246-2026")</f>
        <v/>
      </c>
    </row>
    <row r="36" ht="15" customHeight="1">
      <c r="A36" t="inlineStr">
        <is>
          <t>A 22247-2026</t>
        </is>
      </c>
      <c r="B36" s="1" t="n">
        <v>46154.33359953704</v>
      </c>
      <c r="C36" s="1" t="n">
        <v>46181</v>
      </c>
      <c r="D36" t="inlineStr">
        <is>
          <t>ÖREBRO LÄN</t>
        </is>
      </c>
      <c r="E36" t="inlineStr">
        <is>
          <t>HÄLLEFORS</t>
        </is>
      </c>
      <c r="F36" t="inlineStr">
        <is>
          <t>Sveaskog</t>
        </is>
      </c>
      <c r="G36" t="n">
        <v>3.2</v>
      </c>
      <c r="H36" t="n">
        <v>1</v>
      </c>
      <c r="I36" t="n">
        <v>0</v>
      </c>
      <c r="J36" t="n">
        <v>0</v>
      </c>
      <c r="K36" t="n">
        <v>0</v>
      </c>
      <c r="L36" t="n">
        <v>0</v>
      </c>
      <c r="M36" t="n">
        <v>0</v>
      </c>
      <c r="N36" t="n">
        <v>0</v>
      </c>
      <c r="O36" t="n">
        <v>0</v>
      </c>
      <c r="P36" t="n">
        <v>0</v>
      </c>
      <c r="Q36" t="n">
        <v>1</v>
      </c>
      <c r="R36" s="2" t="inlineStr">
        <is>
          <t>Tjäder</t>
        </is>
      </c>
      <c r="S36">
        <f>HYPERLINK("https://klasma.github.io/Logging_1863/artfynd/A 22247-2026 artfynd.xlsx", "A 22247-2026")</f>
        <v/>
      </c>
      <c r="T36">
        <f>HYPERLINK("https://klasma.github.io/Logging_1863/kartor/A 22247-2026 karta.png", "A 22247-2026")</f>
        <v/>
      </c>
      <c r="V36">
        <f>HYPERLINK("https://klasma.github.io/Logging_1863/klagomål/A 22247-2026 FSC-klagomål.docx", "A 22247-2026")</f>
        <v/>
      </c>
      <c r="W36">
        <f>HYPERLINK("https://klasma.github.io/Logging_1863/klagomålsmail/A 22247-2026 FSC-klagomål mail.docx", "A 22247-2026")</f>
        <v/>
      </c>
      <c r="X36">
        <f>HYPERLINK("https://klasma.github.io/Logging_1863/tillsyn/A 22247-2026 tillsynsbegäran.docx", "A 22247-2026")</f>
        <v/>
      </c>
      <c r="Y36">
        <f>HYPERLINK("https://klasma.github.io/Logging_1863/tillsynsmail/A 22247-2026 tillsynsbegäran mail.docx", "A 22247-2026")</f>
        <v/>
      </c>
      <c r="Z36">
        <f>HYPERLINK("https://klasma.github.io/Logging_1863/fåglar/A 22247-2026 prioriterade fågelarter.docx", "A 22247-2026")</f>
        <v/>
      </c>
    </row>
    <row r="37" ht="15" customHeight="1">
      <c r="A37" t="inlineStr">
        <is>
          <t>A 22249-2026</t>
        </is>
      </c>
      <c r="B37" s="1" t="n">
        <v>46154.33486111111</v>
      </c>
      <c r="C37" s="1" t="n">
        <v>46181</v>
      </c>
      <c r="D37" t="inlineStr">
        <is>
          <t>ÖREBRO LÄN</t>
        </is>
      </c>
      <c r="E37" t="inlineStr">
        <is>
          <t>HÄLLEFORS</t>
        </is>
      </c>
      <c r="F37" t="inlineStr">
        <is>
          <t>Sveaskog</t>
        </is>
      </c>
      <c r="G37" t="n">
        <v>7.2</v>
      </c>
      <c r="H37" t="n">
        <v>0</v>
      </c>
      <c r="I37" t="n">
        <v>0</v>
      </c>
      <c r="J37" t="n">
        <v>1</v>
      </c>
      <c r="K37" t="n">
        <v>0</v>
      </c>
      <c r="L37" t="n">
        <v>0</v>
      </c>
      <c r="M37" t="n">
        <v>0</v>
      </c>
      <c r="N37" t="n">
        <v>0</v>
      </c>
      <c r="O37" t="n">
        <v>1</v>
      </c>
      <c r="P37" t="n">
        <v>0</v>
      </c>
      <c r="Q37" t="n">
        <v>1</v>
      </c>
      <c r="R37" s="2" t="inlineStr">
        <is>
          <t>Garnlav</t>
        </is>
      </c>
      <c r="S37">
        <f>HYPERLINK("https://klasma.github.io/Logging_1863/artfynd/A 22249-2026 artfynd.xlsx", "A 22249-2026")</f>
        <v/>
      </c>
      <c r="T37">
        <f>HYPERLINK("https://klasma.github.io/Logging_1863/kartor/A 22249-2026 karta.png", "A 22249-2026")</f>
        <v/>
      </c>
      <c r="V37">
        <f>HYPERLINK("https://klasma.github.io/Logging_1863/klagomål/A 22249-2026 FSC-klagomål.docx", "A 22249-2026")</f>
        <v/>
      </c>
      <c r="W37">
        <f>HYPERLINK("https://klasma.github.io/Logging_1863/klagomålsmail/A 22249-2026 FSC-klagomål mail.docx", "A 22249-2026")</f>
        <v/>
      </c>
      <c r="X37">
        <f>HYPERLINK("https://klasma.github.io/Logging_1863/tillsyn/A 22249-2026 tillsynsbegäran.docx", "A 22249-2026")</f>
        <v/>
      </c>
      <c r="Y37">
        <f>HYPERLINK("https://klasma.github.io/Logging_1863/tillsynsmail/A 22249-2026 tillsynsbegäran mail.docx", "A 22249-2026")</f>
        <v/>
      </c>
    </row>
    <row r="38" ht="15" customHeight="1">
      <c r="A38" t="inlineStr">
        <is>
          <t>A 22248-2026</t>
        </is>
      </c>
      <c r="B38" s="1" t="n">
        <v>46154.33430555555</v>
      </c>
      <c r="C38" s="1" t="n">
        <v>46181</v>
      </c>
      <c r="D38" t="inlineStr">
        <is>
          <t>ÖREBRO LÄN</t>
        </is>
      </c>
      <c r="E38" t="inlineStr">
        <is>
          <t>HÄLLEFORS</t>
        </is>
      </c>
      <c r="F38" t="inlineStr">
        <is>
          <t>Sveaskog</t>
        </is>
      </c>
      <c r="G38" t="n">
        <v>12.5</v>
      </c>
      <c r="H38" t="n">
        <v>1</v>
      </c>
      <c r="I38" t="n">
        <v>0</v>
      </c>
      <c r="J38" t="n">
        <v>0</v>
      </c>
      <c r="K38" t="n">
        <v>0</v>
      </c>
      <c r="L38" t="n">
        <v>0</v>
      </c>
      <c r="M38" t="n">
        <v>0</v>
      </c>
      <c r="N38" t="n">
        <v>0</v>
      </c>
      <c r="O38" t="n">
        <v>0</v>
      </c>
      <c r="P38" t="n">
        <v>0</v>
      </c>
      <c r="Q38" t="n">
        <v>1</v>
      </c>
      <c r="R38" s="2" t="inlineStr">
        <is>
          <t>Revlummer</t>
        </is>
      </c>
      <c r="S38">
        <f>HYPERLINK("https://klasma.github.io/Logging_1863/artfynd/A 22248-2026 artfynd.xlsx", "A 22248-2026")</f>
        <v/>
      </c>
      <c r="T38">
        <f>HYPERLINK("https://klasma.github.io/Logging_1863/kartor/A 22248-2026 karta.png", "A 22248-2026")</f>
        <v/>
      </c>
      <c r="V38">
        <f>HYPERLINK("https://klasma.github.io/Logging_1863/klagomål/A 22248-2026 FSC-klagomål.docx", "A 22248-2026")</f>
        <v/>
      </c>
      <c r="W38">
        <f>HYPERLINK("https://klasma.github.io/Logging_1863/klagomålsmail/A 22248-2026 FSC-klagomål mail.docx", "A 22248-2026")</f>
        <v/>
      </c>
      <c r="X38">
        <f>HYPERLINK("https://klasma.github.io/Logging_1863/tillsyn/A 22248-2026 tillsynsbegäran.docx", "A 22248-2026")</f>
        <v/>
      </c>
      <c r="Y38">
        <f>HYPERLINK("https://klasma.github.io/Logging_1863/tillsynsmail/A 22248-2026 tillsynsbegäran mail.docx", "A 22248-2026")</f>
        <v/>
      </c>
    </row>
    <row r="39" ht="15" customHeight="1">
      <c r="A39" t="inlineStr">
        <is>
          <t>A 39105-2024</t>
        </is>
      </c>
      <c r="B39" s="1" t="n">
        <v>45548.57174768519</v>
      </c>
      <c r="C39" s="1" t="n">
        <v>46181</v>
      </c>
      <c r="D39" t="inlineStr">
        <is>
          <t>ÖREBRO LÄN</t>
        </is>
      </c>
      <c r="E39" t="inlineStr">
        <is>
          <t>HÄLLEFORS</t>
        </is>
      </c>
      <c r="G39" t="n">
        <v>3.3</v>
      </c>
      <c r="H39" t="n">
        <v>0</v>
      </c>
      <c r="I39" t="n">
        <v>0</v>
      </c>
      <c r="J39" t="n">
        <v>0</v>
      </c>
      <c r="K39" t="n">
        <v>1</v>
      </c>
      <c r="L39" t="n">
        <v>0</v>
      </c>
      <c r="M39" t="n">
        <v>0</v>
      </c>
      <c r="N39" t="n">
        <v>0</v>
      </c>
      <c r="O39" t="n">
        <v>1</v>
      </c>
      <c r="P39" t="n">
        <v>1</v>
      </c>
      <c r="Q39" t="n">
        <v>1</v>
      </c>
      <c r="R39" s="2" t="inlineStr">
        <is>
          <t>Trollsmultron</t>
        </is>
      </c>
      <c r="S39">
        <f>HYPERLINK("https://klasma.github.io/Logging_1863/artfynd/A 39105-2024 artfynd.xlsx", "A 39105-2024")</f>
        <v/>
      </c>
      <c r="T39">
        <f>HYPERLINK("https://klasma.github.io/Logging_1863/kartor/A 39105-2024 karta.png", "A 39105-2024")</f>
        <v/>
      </c>
      <c r="V39">
        <f>HYPERLINK("https://klasma.github.io/Logging_1863/klagomål/A 39105-2024 FSC-klagomål.docx", "A 39105-2024")</f>
        <v/>
      </c>
      <c r="W39">
        <f>HYPERLINK("https://klasma.github.io/Logging_1863/klagomålsmail/A 39105-2024 FSC-klagomål mail.docx", "A 39105-2024")</f>
        <v/>
      </c>
      <c r="X39">
        <f>HYPERLINK("https://klasma.github.io/Logging_1863/tillsyn/A 39105-2024 tillsynsbegäran.docx", "A 39105-2024")</f>
        <v/>
      </c>
      <c r="Y39">
        <f>HYPERLINK("https://klasma.github.io/Logging_1863/tillsynsmail/A 39105-2024 tillsynsbegäran mail.docx", "A 39105-2024")</f>
        <v/>
      </c>
    </row>
    <row r="40" ht="15" customHeight="1">
      <c r="A40" t="inlineStr">
        <is>
          <t>A 18048-2026</t>
        </is>
      </c>
      <c r="B40" s="1" t="n">
        <v>46125.42628472222</v>
      </c>
      <c r="C40" s="1" t="n">
        <v>46181</v>
      </c>
      <c r="D40" t="inlineStr">
        <is>
          <t>ÖREBRO LÄN</t>
        </is>
      </c>
      <c r="E40" t="inlineStr">
        <is>
          <t>HÄLLEFORS</t>
        </is>
      </c>
      <c r="F40" t="inlineStr">
        <is>
          <t>Sveaskog</t>
        </is>
      </c>
      <c r="G40" t="n">
        <v>1.2</v>
      </c>
      <c r="H40" t="n">
        <v>1</v>
      </c>
      <c r="I40" t="n">
        <v>0</v>
      </c>
      <c r="J40" t="n">
        <v>0</v>
      </c>
      <c r="K40" t="n">
        <v>0</v>
      </c>
      <c r="L40" t="n">
        <v>0</v>
      </c>
      <c r="M40" t="n">
        <v>0</v>
      </c>
      <c r="N40" t="n">
        <v>0</v>
      </c>
      <c r="O40" t="n">
        <v>0</v>
      </c>
      <c r="P40" t="n">
        <v>0</v>
      </c>
      <c r="Q40" t="n">
        <v>1</v>
      </c>
      <c r="R40" s="2" t="inlineStr">
        <is>
          <t>Blåsippa</t>
        </is>
      </c>
      <c r="S40">
        <f>HYPERLINK("https://klasma.github.io/Logging_1863/artfynd/A 18048-2026 artfynd.xlsx", "A 18048-2026")</f>
        <v/>
      </c>
      <c r="T40">
        <f>HYPERLINK("https://klasma.github.io/Logging_1863/kartor/A 18048-2026 karta.png", "A 18048-2026")</f>
        <v/>
      </c>
      <c r="V40">
        <f>HYPERLINK("https://klasma.github.io/Logging_1863/klagomål/A 18048-2026 FSC-klagomål.docx", "A 18048-2026")</f>
        <v/>
      </c>
      <c r="W40">
        <f>HYPERLINK("https://klasma.github.io/Logging_1863/klagomålsmail/A 18048-2026 FSC-klagomål mail.docx", "A 18048-2026")</f>
        <v/>
      </c>
      <c r="X40">
        <f>HYPERLINK("https://klasma.github.io/Logging_1863/tillsyn/A 18048-2026 tillsynsbegäran.docx", "A 18048-2026")</f>
        <v/>
      </c>
      <c r="Y40">
        <f>HYPERLINK("https://klasma.github.io/Logging_1863/tillsynsmail/A 18048-2026 tillsynsbegäran mail.docx", "A 18048-2026")</f>
        <v/>
      </c>
    </row>
    <row r="41" ht="15" customHeight="1">
      <c r="A41" t="inlineStr">
        <is>
          <t>A 18050-2026</t>
        </is>
      </c>
      <c r="B41" s="1" t="n">
        <v>46125.42768518518</v>
      </c>
      <c r="C41" s="1" t="n">
        <v>46181</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41834-2023</t>
        </is>
      </c>
      <c r="B42" s="1" t="n">
        <v>45176</v>
      </c>
      <c r="C42" s="1" t="n">
        <v>46181</v>
      </c>
      <c r="D42" t="inlineStr">
        <is>
          <t>ÖREBRO LÄN</t>
        </is>
      </c>
      <c r="E42" t="inlineStr">
        <is>
          <t>HÄLLEFORS</t>
        </is>
      </c>
      <c r="F42" t="inlineStr">
        <is>
          <t>Bergvik skog väst AB</t>
        </is>
      </c>
      <c r="G42" t="n">
        <v>3.4</v>
      </c>
      <c r="H42" t="n">
        <v>1</v>
      </c>
      <c r="I42" t="n">
        <v>1</v>
      </c>
      <c r="J42" t="n">
        <v>0</v>
      </c>
      <c r="K42" t="n">
        <v>0</v>
      </c>
      <c r="L42" t="n">
        <v>0</v>
      </c>
      <c r="M42" t="n">
        <v>0</v>
      </c>
      <c r="N42" t="n">
        <v>0</v>
      </c>
      <c r="O42" t="n">
        <v>0</v>
      </c>
      <c r="P42" t="n">
        <v>0</v>
      </c>
      <c r="Q42" t="n">
        <v>1</v>
      </c>
      <c r="R42" s="2" t="inlineStr">
        <is>
          <t>Plattlummer</t>
        </is>
      </c>
      <c r="S42">
        <f>HYPERLINK("https://klasma.github.io/Logging_1863/artfynd/A 41834-2023 artfynd.xlsx", "A 41834-2023")</f>
        <v/>
      </c>
      <c r="T42">
        <f>HYPERLINK("https://klasma.github.io/Logging_1863/kartor/A 41834-2023 karta.png", "A 41834-2023")</f>
        <v/>
      </c>
      <c r="V42">
        <f>HYPERLINK("https://klasma.github.io/Logging_1863/klagomål/A 41834-2023 FSC-klagomål.docx", "A 41834-2023")</f>
        <v/>
      </c>
      <c r="W42">
        <f>HYPERLINK("https://klasma.github.io/Logging_1863/klagomålsmail/A 41834-2023 FSC-klagomål mail.docx", "A 41834-2023")</f>
        <v/>
      </c>
      <c r="X42">
        <f>HYPERLINK("https://klasma.github.io/Logging_1863/tillsyn/A 41834-2023 tillsynsbegäran.docx", "A 41834-2023")</f>
        <v/>
      </c>
      <c r="Y42">
        <f>HYPERLINK("https://klasma.github.io/Logging_1863/tillsynsmail/A 41834-2023 tillsynsbegäran mail.docx", "A 41834-2023")</f>
        <v/>
      </c>
    </row>
    <row r="43" ht="15" customHeight="1">
      <c r="A43" t="inlineStr">
        <is>
          <t>A 60162-2022</t>
        </is>
      </c>
      <c r="B43" s="1" t="n">
        <v>44909</v>
      </c>
      <c r="C43" s="1" t="n">
        <v>46181</v>
      </c>
      <c r="D43" t="inlineStr">
        <is>
          <t>ÖREBRO LÄN</t>
        </is>
      </c>
      <c r="E43" t="inlineStr">
        <is>
          <t>HÄLLEFORS</t>
        </is>
      </c>
      <c r="G43" t="n">
        <v>5.2</v>
      </c>
      <c r="H43" t="n">
        <v>1</v>
      </c>
      <c r="I43" t="n">
        <v>0</v>
      </c>
      <c r="J43" t="n">
        <v>0</v>
      </c>
      <c r="K43" t="n">
        <v>0</v>
      </c>
      <c r="L43" t="n">
        <v>0</v>
      </c>
      <c r="M43" t="n">
        <v>0</v>
      </c>
      <c r="N43" t="n">
        <v>0</v>
      </c>
      <c r="O43" t="n">
        <v>0</v>
      </c>
      <c r="P43" t="n">
        <v>0</v>
      </c>
      <c r="Q43" t="n">
        <v>1</v>
      </c>
      <c r="R43" s="2" t="inlineStr">
        <is>
          <t>Revlummer</t>
        </is>
      </c>
      <c r="S43">
        <f>HYPERLINK("https://klasma.github.io/Logging_1863/artfynd/A 60162-2022 artfynd.xlsx", "A 60162-2022")</f>
        <v/>
      </c>
      <c r="T43">
        <f>HYPERLINK("https://klasma.github.io/Logging_1863/kartor/A 60162-2022 karta.png", "A 60162-2022")</f>
        <v/>
      </c>
      <c r="V43">
        <f>HYPERLINK("https://klasma.github.io/Logging_1863/klagomål/A 60162-2022 FSC-klagomål.docx", "A 60162-2022")</f>
        <v/>
      </c>
      <c r="W43">
        <f>HYPERLINK("https://klasma.github.io/Logging_1863/klagomålsmail/A 60162-2022 FSC-klagomål mail.docx", "A 60162-2022")</f>
        <v/>
      </c>
      <c r="X43">
        <f>HYPERLINK("https://klasma.github.io/Logging_1863/tillsyn/A 60162-2022 tillsynsbegäran.docx", "A 60162-2022")</f>
        <v/>
      </c>
      <c r="Y43">
        <f>HYPERLINK("https://klasma.github.io/Logging_1863/tillsynsmail/A 60162-2022 tillsynsbegäran mail.docx", "A 60162-2022")</f>
        <v/>
      </c>
    </row>
    <row r="44" ht="15" customHeight="1">
      <c r="A44" t="inlineStr">
        <is>
          <t>A 421-2025</t>
        </is>
      </c>
      <c r="B44" s="1" t="n">
        <v>45663.949375</v>
      </c>
      <c r="C44" s="1" t="n">
        <v>46181</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14985-2024</t>
        </is>
      </c>
      <c r="B45" s="1" t="n">
        <v>45399.34171296296</v>
      </c>
      <c r="C45" s="1" t="n">
        <v>46181</v>
      </c>
      <c r="D45" t="inlineStr">
        <is>
          <t>ÖREBRO LÄN</t>
        </is>
      </c>
      <c r="E45" t="inlineStr">
        <is>
          <t>HÄLLEFORS</t>
        </is>
      </c>
      <c r="F45" t="inlineStr">
        <is>
          <t>Bergvik skog väst AB</t>
        </is>
      </c>
      <c r="G45" t="n">
        <v>6.8</v>
      </c>
      <c r="H45" t="n">
        <v>1</v>
      </c>
      <c r="I45" t="n">
        <v>0</v>
      </c>
      <c r="J45" t="n">
        <v>0</v>
      </c>
      <c r="K45" t="n">
        <v>0</v>
      </c>
      <c r="L45" t="n">
        <v>0</v>
      </c>
      <c r="M45" t="n">
        <v>0</v>
      </c>
      <c r="N45" t="n">
        <v>0</v>
      </c>
      <c r="O45" t="n">
        <v>0</v>
      </c>
      <c r="P45" t="n">
        <v>0</v>
      </c>
      <c r="Q45" t="n">
        <v>1</v>
      </c>
      <c r="R45" s="2" t="inlineStr">
        <is>
          <t>Mattlummer</t>
        </is>
      </c>
      <c r="S45">
        <f>HYPERLINK("https://klasma.github.io/Logging_1863/artfynd/A 14985-2024 artfynd.xlsx", "A 14985-2024")</f>
        <v/>
      </c>
      <c r="T45">
        <f>HYPERLINK("https://klasma.github.io/Logging_1863/kartor/A 14985-2024 karta.png", "A 14985-2024")</f>
        <v/>
      </c>
      <c r="V45">
        <f>HYPERLINK("https://klasma.github.io/Logging_1863/klagomål/A 14985-2024 FSC-klagomål.docx", "A 14985-2024")</f>
        <v/>
      </c>
      <c r="W45">
        <f>HYPERLINK("https://klasma.github.io/Logging_1863/klagomålsmail/A 14985-2024 FSC-klagomål mail.docx", "A 14985-2024")</f>
        <v/>
      </c>
      <c r="X45">
        <f>HYPERLINK("https://klasma.github.io/Logging_1863/tillsyn/A 14985-2024 tillsynsbegäran.docx", "A 14985-2024")</f>
        <v/>
      </c>
      <c r="Y45">
        <f>HYPERLINK("https://klasma.github.io/Logging_1863/tillsynsmail/A 14985-2024 tillsynsbegäran mail.docx", "A 14985-2024")</f>
        <v/>
      </c>
    </row>
    <row r="46" ht="15" customHeight="1">
      <c r="A46" t="inlineStr">
        <is>
          <t>A 55749-2024</t>
        </is>
      </c>
      <c r="B46" s="1" t="n">
        <v>45623.32523148148</v>
      </c>
      <c r="C46" s="1" t="n">
        <v>46181</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19948-2026</t>
        </is>
      </c>
      <c r="B47" s="1" t="n">
        <v>46136.38807870371</v>
      </c>
      <c r="C47" s="1" t="n">
        <v>46181</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20354-2022</t>
        </is>
      </c>
      <c r="B48" s="1" t="n">
        <v>44699</v>
      </c>
      <c r="C48" s="1" t="n">
        <v>46181</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46181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46181</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46181</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46181</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46181</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46181</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46181</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46181</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46181</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28657-2021</t>
        </is>
      </c>
      <c r="B58" s="1" t="n">
        <v>44357</v>
      </c>
      <c r="C58" s="1" t="n">
        <v>46181</v>
      </c>
      <c r="D58" t="inlineStr">
        <is>
          <t>ÖREBRO LÄN</t>
        </is>
      </c>
      <c r="E58" t="inlineStr">
        <is>
          <t>HÄLLEFORS</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23665-2022</t>
        </is>
      </c>
      <c r="B59" s="1" t="n">
        <v>44721</v>
      </c>
      <c r="C59" s="1" t="n">
        <v>46181</v>
      </c>
      <c r="D59" t="inlineStr">
        <is>
          <t>ÖREBRO LÄN</t>
        </is>
      </c>
      <c r="E59" t="inlineStr">
        <is>
          <t>HÄLLEFORS</t>
        </is>
      </c>
      <c r="F59" t="inlineStr">
        <is>
          <t>Bergvik skog väst AB</t>
        </is>
      </c>
      <c r="G59" t="n">
        <v>3.9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46181</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65240-2021</t>
        </is>
      </c>
      <c r="B61" s="1" t="n">
        <v>44515</v>
      </c>
      <c r="C61" s="1" t="n">
        <v>46181</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22673-2022</t>
        </is>
      </c>
      <c r="B62" s="1" t="n">
        <v>44714.49141203704</v>
      </c>
      <c r="C62" s="1" t="n">
        <v>46181</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51605-2022</t>
        </is>
      </c>
      <c r="B63" s="1" t="n">
        <v>44871.71204861111</v>
      </c>
      <c r="C63" s="1" t="n">
        <v>46181</v>
      </c>
      <c r="D63" t="inlineStr">
        <is>
          <t>ÖREBRO LÄN</t>
        </is>
      </c>
      <c r="E63" t="inlineStr">
        <is>
          <t>HÄLLEFORS</t>
        </is>
      </c>
      <c r="G63" t="n">
        <v>9.800000000000001</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46181</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46181</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46181</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46181</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46181</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46181</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46181</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46181</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46181</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46181</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46181</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46181</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46181</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46181</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46181</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46181</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46181</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46181</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46181</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46181</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46181</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46181</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46181</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36635-2022</t>
        </is>
      </c>
      <c r="B87" s="1" t="n">
        <v>44804.70893518518</v>
      </c>
      <c r="C87" s="1" t="n">
        <v>46181</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46181</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46181</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17120-2025</t>
        </is>
      </c>
      <c r="B90" s="1" t="n">
        <v>45755.68921296296</v>
      </c>
      <c r="C90" s="1" t="n">
        <v>46181</v>
      </c>
      <c r="D90" t="inlineStr">
        <is>
          <t>ÖREBRO LÄN</t>
        </is>
      </c>
      <c r="E90" t="inlineStr">
        <is>
          <t>HÄLLEFORS</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40530-2022</t>
        </is>
      </c>
      <c r="B91" s="1" t="n">
        <v>44823</v>
      </c>
      <c r="C91" s="1" t="n">
        <v>46181</v>
      </c>
      <c r="D91" t="inlineStr">
        <is>
          <t>ÖREBRO LÄN</t>
        </is>
      </c>
      <c r="E91" t="inlineStr">
        <is>
          <t>HÄLLEFORS</t>
        </is>
      </c>
      <c r="G91" t="n">
        <v>0.6</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46181</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35862-2024</t>
        </is>
      </c>
      <c r="B93" s="1" t="n">
        <v>45533.33909722222</v>
      </c>
      <c r="C93" s="1" t="n">
        <v>46181</v>
      </c>
      <c r="D93" t="inlineStr">
        <is>
          <t>ÖREBRO LÄN</t>
        </is>
      </c>
      <c r="E93" t="inlineStr">
        <is>
          <t>HÄLLEFORS</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53892-2023</t>
        </is>
      </c>
      <c r="B94" s="1" t="n">
        <v>45231</v>
      </c>
      <c r="C94" s="1" t="n">
        <v>46181</v>
      </c>
      <c r="D94" t="inlineStr">
        <is>
          <t>ÖREBRO LÄN</t>
        </is>
      </c>
      <c r="E94" t="inlineStr">
        <is>
          <t>HÄLLEFORS</t>
        </is>
      </c>
      <c r="G94" t="n">
        <v>2.3</v>
      </c>
      <c r="H94" t="n">
        <v>0</v>
      </c>
      <c r="I94" t="n">
        <v>0</v>
      </c>
      <c r="J94" t="n">
        <v>0</v>
      </c>
      <c r="K94" t="n">
        <v>0</v>
      </c>
      <c r="L94" t="n">
        <v>0</v>
      </c>
      <c r="M94" t="n">
        <v>0</v>
      </c>
      <c r="N94" t="n">
        <v>0</v>
      </c>
      <c r="O94" t="n">
        <v>0</v>
      </c>
      <c r="P94" t="n">
        <v>0</v>
      </c>
      <c r="Q94" t="n">
        <v>0</v>
      </c>
      <c r="R94" s="2" t="inlineStr"/>
    </row>
    <row r="95" ht="15" customHeight="1">
      <c r="A95" t="inlineStr">
        <is>
          <t>A 37027-2022</t>
        </is>
      </c>
      <c r="B95" s="1" t="n">
        <v>44806</v>
      </c>
      <c r="C95" s="1" t="n">
        <v>46181</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5042-2025</t>
        </is>
      </c>
      <c r="B96" s="1" t="n">
        <v>45691.43619212963</v>
      </c>
      <c r="C96" s="1" t="n">
        <v>46181</v>
      </c>
      <c r="D96" t="inlineStr">
        <is>
          <t>ÖREBRO LÄN</t>
        </is>
      </c>
      <c r="E96" t="inlineStr">
        <is>
          <t>HÄLLEFORS</t>
        </is>
      </c>
      <c r="F96" t="inlineStr">
        <is>
          <t>Bergvik skog väst AB</t>
        </is>
      </c>
      <c r="G96" t="n">
        <v>3.3</v>
      </c>
      <c r="H96" t="n">
        <v>0</v>
      </c>
      <c r="I96" t="n">
        <v>0</v>
      </c>
      <c r="J96" t="n">
        <v>0</v>
      </c>
      <c r="K96" t="n">
        <v>0</v>
      </c>
      <c r="L96" t="n">
        <v>0</v>
      </c>
      <c r="M96" t="n">
        <v>0</v>
      </c>
      <c r="N96" t="n">
        <v>0</v>
      </c>
      <c r="O96" t="n">
        <v>0</v>
      </c>
      <c r="P96" t="n">
        <v>0</v>
      </c>
      <c r="Q96" t="n">
        <v>0</v>
      </c>
      <c r="R96" s="2" t="inlineStr"/>
    </row>
    <row r="97" ht="15" customHeight="1">
      <c r="A97" t="inlineStr">
        <is>
          <t>A 44107-2024</t>
        </is>
      </c>
      <c r="B97" s="1" t="n">
        <v>45572.63357638889</v>
      </c>
      <c r="C97" s="1" t="n">
        <v>46181</v>
      </c>
      <c r="D97" t="inlineStr">
        <is>
          <t>ÖREBRO LÄN</t>
        </is>
      </c>
      <c r="E97" t="inlineStr">
        <is>
          <t>HÄLLEFORS</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54995-2024</t>
        </is>
      </c>
      <c r="B98" s="1" t="n">
        <v>45621.28127314815</v>
      </c>
      <c r="C98" s="1" t="n">
        <v>46181</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23036-2024</t>
        </is>
      </c>
      <c r="B99" s="1" t="n">
        <v>45450.39145833333</v>
      </c>
      <c r="C99" s="1" t="n">
        <v>46181</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46181</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7066-2024</t>
        </is>
      </c>
      <c r="B101" s="1" t="n">
        <v>45343</v>
      </c>
      <c r="C101" s="1" t="n">
        <v>46181</v>
      </c>
      <c r="D101" t="inlineStr">
        <is>
          <t>ÖREBRO LÄN</t>
        </is>
      </c>
      <c r="E101" t="inlineStr">
        <is>
          <t>HÄLLEFORS</t>
        </is>
      </c>
      <c r="G101" t="n">
        <v>1.2</v>
      </c>
      <c r="H101" t="n">
        <v>0</v>
      </c>
      <c r="I101" t="n">
        <v>0</v>
      </c>
      <c r="J101" t="n">
        <v>0</v>
      </c>
      <c r="K101" t="n">
        <v>0</v>
      </c>
      <c r="L101" t="n">
        <v>0</v>
      </c>
      <c r="M101" t="n">
        <v>0</v>
      </c>
      <c r="N101" t="n">
        <v>0</v>
      </c>
      <c r="O101" t="n">
        <v>0</v>
      </c>
      <c r="P101" t="n">
        <v>0</v>
      </c>
      <c r="Q101" t="n">
        <v>0</v>
      </c>
      <c r="R101" s="2" t="inlineStr"/>
    </row>
    <row r="102" ht="15" customHeight="1">
      <c r="A102" t="inlineStr">
        <is>
          <t>A 44122-2024</t>
        </is>
      </c>
      <c r="B102" s="1" t="n">
        <v>45572.6396875</v>
      </c>
      <c r="C102" s="1" t="n">
        <v>46181</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16927-2025</t>
        </is>
      </c>
      <c r="B103" s="1" t="n">
        <v>45755.39212962963</v>
      </c>
      <c r="C103" s="1" t="n">
        <v>46181</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46181</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5657-2024</t>
        </is>
      </c>
      <c r="B105" s="1" t="n">
        <v>45334</v>
      </c>
      <c r="C105" s="1" t="n">
        <v>46181</v>
      </c>
      <c r="D105" t="inlineStr">
        <is>
          <t>ÖREBRO LÄN</t>
        </is>
      </c>
      <c r="E105" t="inlineStr">
        <is>
          <t>HÄLLEFORS</t>
        </is>
      </c>
      <c r="G105" t="n">
        <v>0.3</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46181</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12648-2025</t>
        </is>
      </c>
      <c r="B107" s="1" t="n">
        <v>45733.39797453704</v>
      </c>
      <c r="C107" s="1" t="n">
        <v>46181</v>
      </c>
      <c r="D107" t="inlineStr">
        <is>
          <t>ÖREBRO LÄN</t>
        </is>
      </c>
      <c r="E107" t="inlineStr">
        <is>
          <t>HÄLLEFORS</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46181</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29280-2025</t>
        </is>
      </c>
      <c r="B109" s="1" t="n">
        <v>45824</v>
      </c>
      <c r="C109" s="1" t="n">
        <v>46181</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58768-2024</t>
        </is>
      </c>
      <c r="B110" s="1" t="n">
        <v>45635</v>
      </c>
      <c r="C110" s="1" t="n">
        <v>46181</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41810-2023</t>
        </is>
      </c>
      <c r="B111" s="1" t="n">
        <v>45176</v>
      </c>
      <c r="C111" s="1" t="n">
        <v>46181</v>
      </c>
      <c r="D111" t="inlineStr">
        <is>
          <t>ÖREBRO LÄN</t>
        </is>
      </c>
      <c r="E111" t="inlineStr">
        <is>
          <t>HÄLLEFORS</t>
        </is>
      </c>
      <c r="F111" t="inlineStr">
        <is>
          <t>Bergvik skog väst AB</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18582-2025</t>
        </is>
      </c>
      <c r="B112" s="1" t="n">
        <v>45763</v>
      </c>
      <c r="C112" s="1" t="n">
        <v>46181</v>
      </c>
      <c r="D112" t="inlineStr">
        <is>
          <t>ÖREBRO LÄN</t>
        </is>
      </c>
      <c r="E112" t="inlineStr">
        <is>
          <t>HÄLLEFORS</t>
        </is>
      </c>
      <c r="F112" t="inlineStr">
        <is>
          <t>Bergvik skog väst AB</t>
        </is>
      </c>
      <c r="G112" t="n">
        <v>4.1</v>
      </c>
      <c r="H112" t="n">
        <v>0</v>
      </c>
      <c r="I112" t="n">
        <v>0</v>
      </c>
      <c r="J112" t="n">
        <v>0</v>
      </c>
      <c r="K112" t="n">
        <v>0</v>
      </c>
      <c r="L112" t="n">
        <v>0</v>
      </c>
      <c r="M112" t="n">
        <v>0</v>
      </c>
      <c r="N112" t="n">
        <v>0</v>
      </c>
      <c r="O112" t="n">
        <v>0</v>
      </c>
      <c r="P112" t="n">
        <v>0</v>
      </c>
      <c r="Q112" t="n">
        <v>0</v>
      </c>
      <c r="R112" s="2" t="inlineStr"/>
    </row>
    <row r="113" ht="15" customHeight="1">
      <c r="A113" t="inlineStr">
        <is>
          <t>A 1806-2026</t>
        </is>
      </c>
      <c r="B113" s="1" t="n">
        <v>46035.33097222223</v>
      </c>
      <c r="C113" s="1" t="n">
        <v>46181</v>
      </c>
      <c r="D113" t="inlineStr">
        <is>
          <t>ÖREBRO LÄN</t>
        </is>
      </c>
      <c r="E113" t="inlineStr">
        <is>
          <t>HÄLLEFORS</t>
        </is>
      </c>
      <c r="F113" t="inlineStr">
        <is>
          <t>Bergvik skog väst AB</t>
        </is>
      </c>
      <c r="G113" t="n">
        <v>20.3</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46181</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46181</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46181</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46181</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65054-2021</t>
        </is>
      </c>
      <c r="B118" s="1" t="n">
        <v>44515.35802083334</v>
      </c>
      <c r="C118" s="1" t="n">
        <v>46181</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46181</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46181</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40485-2025</t>
        </is>
      </c>
      <c r="B121" s="1" t="n">
        <v>45895.85320601852</v>
      </c>
      <c r="C121" s="1" t="n">
        <v>46181</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13757-2023</t>
        </is>
      </c>
      <c r="B122" s="1" t="n">
        <v>45007.42442129629</v>
      </c>
      <c r="C122" s="1" t="n">
        <v>46181</v>
      </c>
      <c r="D122" t="inlineStr">
        <is>
          <t>ÖREBRO LÄN</t>
        </is>
      </c>
      <c r="E122" t="inlineStr">
        <is>
          <t>HÄLLEFORS</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5583-2023</t>
        </is>
      </c>
      <c r="B123" s="1" t="n">
        <v>44960.50733796296</v>
      </c>
      <c r="C123" s="1" t="n">
        <v>46181</v>
      </c>
      <c r="D123" t="inlineStr">
        <is>
          <t>ÖREBRO LÄN</t>
        </is>
      </c>
      <c r="E123" t="inlineStr">
        <is>
          <t>HÄLLEFORS</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46181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39031-2022</t>
        </is>
      </c>
      <c r="B125" s="1" t="n">
        <v>44817.34144675926</v>
      </c>
      <c r="C125" s="1" t="n">
        <v>46181</v>
      </c>
      <c r="D125" t="inlineStr">
        <is>
          <t>ÖREBRO LÄN</t>
        </is>
      </c>
      <c r="E125" t="inlineStr">
        <is>
          <t>HÄLLEFORS</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16928-2025</t>
        </is>
      </c>
      <c r="B126" s="1" t="n">
        <v>45755.39711805555</v>
      </c>
      <c r="C126" s="1" t="n">
        <v>46181</v>
      </c>
      <c r="D126" t="inlineStr">
        <is>
          <t>ÖREBRO LÄN</t>
        </is>
      </c>
      <c r="E126" t="inlineStr">
        <is>
          <t>HÄLLEFORS</t>
        </is>
      </c>
      <c r="F126" t="inlineStr">
        <is>
          <t>Bergvik skog väst AB</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4583-2025</t>
        </is>
      </c>
      <c r="B127" s="1" t="n">
        <v>45687.51539351852</v>
      </c>
      <c r="C127" s="1" t="n">
        <v>46181</v>
      </c>
      <c r="D127" t="inlineStr">
        <is>
          <t>ÖREBRO LÄN</t>
        </is>
      </c>
      <c r="E127" t="inlineStr">
        <is>
          <t>HÄLLEFORS</t>
        </is>
      </c>
      <c r="G127" t="n">
        <v>3.3</v>
      </c>
      <c r="H127" t="n">
        <v>0</v>
      </c>
      <c r="I127" t="n">
        <v>0</v>
      </c>
      <c r="J127" t="n">
        <v>0</v>
      </c>
      <c r="K127" t="n">
        <v>0</v>
      </c>
      <c r="L127" t="n">
        <v>0</v>
      </c>
      <c r="M127" t="n">
        <v>0</v>
      </c>
      <c r="N127" t="n">
        <v>0</v>
      </c>
      <c r="O127" t="n">
        <v>0</v>
      </c>
      <c r="P127" t="n">
        <v>0</v>
      </c>
      <c r="Q127" t="n">
        <v>0</v>
      </c>
      <c r="R127" s="2" t="inlineStr"/>
    </row>
    <row r="128" ht="15" customHeight="1">
      <c r="A128" t="inlineStr">
        <is>
          <t>A 16053-2023</t>
        </is>
      </c>
      <c r="B128" s="1" t="n">
        <v>45027</v>
      </c>
      <c r="C128" s="1" t="n">
        <v>46181</v>
      </c>
      <c r="D128" t="inlineStr">
        <is>
          <t>ÖREBRO LÄN</t>
        </is>
      </c>
      <c r="E128" t="inlineStr">
        <is>
          <t>HÄLLEFORS</t>
        </is>
      </c>
      <c r="F128" t="inlineStr">
        <is>
          <t>Bergvik skog väst AB</t>
        </is>
      </c>
      <c r="G128" t="n">
        <v>14.7</v>
      </c>
      <c r="H128" t="n">
        <v>0</v>
      </c>
      <c r="I128" t="n">
        <v>0</v>
      </c>
      <c r="J128" t="n">
        <v>0</v>
      </c>
      <c r="K128" t="n">
        <v>0</v>
      </c>
      <c r="L128" t="n">
        <v>0</v>
      </c>
      <c r="M128" t="n">
        <v>0</v>
      </c>
      <c r="N128" t="n">
        <v>0</v>
      </c>
      <c r="O128" t="n">
        <v>0</v>
      </c>
      <c r="P128" t="n">
        <v>0</v>
      </c>
      <c r="Q128" t="n">
        <v>0</v>
      </c>
      <c r="R128" s="2" t="inlineStr"/>
    </row>
    <row r="129" ht="15" customHeight="1">
      <c r="A129" t="inlineStr">
        <is>
          <t>A 43966-2024</t>
        </is>
      </c>
      <c r="B129" s="1" t="n">
        <v>45572.48516203704</v>
      </c>
      <c r="C129" s="1" t="n">
        <v>46181</v>
      </c>
      <c r="D129" t="inlineStr">
        <is>
          <t>ÖREBRO LÄN</t>
        </is>
      </c>
      <c r="E129" t="inlineStr">
        <is>
          <t>HÄLLEFORS</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52367-2022</t>
        </is>
      </c>
      <c r="B130" s="1" t="n">
        <v>44874</v>
      </c>
      <c r="C130" s="1" t="n">
        <v>46181</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3365-2026</t>
        </is>
      </c>
      <c r="B131" s="1" t="n">
        <v>46042.33357638889</v>
      </c>
      <c r="C131" s="1" t="n">
        <v>46181</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4125-2026</t>
        </is>
      </c>
      <c r="B132" s="1" t="n">
        <v>46044.61620370371</v>
      </c>
      <c r="C132" s="1" t="n">
        <v>46181</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35191-2023</t>
        </is>
      </c>
      <c r="B133" s="1" t="n">
        <v>45145.61096064815</v>
      </c>
      <c r="C133" s="1" t="n">
        <v>46181</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3863-2026</t>
        </is>
      </c>
      <c r="B134" s="1" t="n">
        <v>46043.62747685185</v>
      </c>
      <c r="C134" s="1" t="n">
        <v>46181</v>
      </c>
      <c r="D134" t="inlineStr">
        <is>
          <t>ÖREBRO LÄN</t>
        </is>
      </c>
      <c r="E134" t="inlineStr">
        <is>
          <t>HÄLLEFORS</t>
        </is>
      </c>
      <c r="G134" t="n">
        <v>2.7</v>
      </c>
      <c r="H134" t="n">
        <v>0</v>
      </c>
      <c r="I134" t="n">
        <v>0</v>
      </c>
      <c r="J134" t="n">
        <v>0</v>
      </c>
      <c r="K134" t="n">
        <v>0</v>
      </c>
      <c r="L134" t="n">
        <v>0</v>
      </c>
      <c r="M134" t="n">
        <v>0</v>
      </c>
      <c r="N134" t="n">
        <v>0</v>
      </c>
      <c r="O134" t="n">
        <v>0</v>
      </c>
      <c r="P134" t="n">
        <v>0</v>
      </c>
      <c r="Q134" t="n">
        <v>0</v>
      </c>
      <c r="R134" s="2" t="inlineStr"/>
    </row>
    <row r="135" ht="15" customHeight="1">
      <c r="A135" t="inlineStr">
        <is>
          <t>A 3837-2026</t>
        </is>
      </c>
      <c r="B135" s="1" t="n">
        <v>46043.59318287037</v>
      </c>
      <c r="C135" s="1" t="n">
        <v>46181</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28024-2025</t>
        </is>
      </c>
      <c r="B136" s="1" t="n">
        <v>45817.62070601852</v>
      </c>
      <c r="C136" s="1" t="n">
        <v>46181</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15013-2024</t>
        </is>
      </c>
      <c r="B137" s="1" t="n">
        <v>45399</v>
      </c>
      <c r="C137" s="1" t="n">
        <v>46181</v>
      </c>
      <c r="D137" t="inlineStr">
        <is>
          <t>ÖREBRO LÄN</t>
        </is>
      </c>
      <c r="E137" t="inlineStr">
        <is>
          <t>HÄLLEFORS</t>
        </is>
      </c>
      <c r="F137" t="inlineStr">
        <is>
          <t>Bergvik skog väst AB</t>
        </is>
      </c>
      <c r="G137" t="n">
        <v>0.5</v>
      </c>
      <c r="H137" t="n">
        <v>0</v>
      </c>
      <c r="I137" t="n">
        <v>0</v>
      </c>
      <c r="J137" t="n">
        <v>0</v>
      </c>
      <c r="K137" t="n">
        <v>0</v>
      </c>
      <c r="L137" t="n">
        <v>0</v>
      </c>
      <c r="M137" t="n">
        <v>0</v>
      </c>
      <c r="N137" t="n">
        <v>0</v>
      </c>
      <c r="O137" t="n">
        <v>0</v>
      </c>
      <c r="P137" t="n">
        <v>0</v>
      </c>
      <c r="Q137" t="n">
        <v>0</v>
      </c>
      <c r="R137" s="2" t="inlineStr"/>
    </row>
    <row r="138" ht="15" customHeight="1">
      <c r="A138" t="inlineStr">
        <is>
          <t>A 28979-2025</t>
        </is>
      </c>
      <c r="B138" s="1" t="n">
        <v>45821.35136574074</v>
      </c>
      <c r="C138" s="1" t="n">
        <v>46181</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28975-2025</t>
        </is>
      </c>
      <c r="B139" s="1" t="n">
        <v>45821</v>
      </c>
      <c r="C139" s="1" t="n">
        <v>46181</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11459-2024</t>
        </is>
      </c>
      <c r="B140" s="1" t="n">
        <v>45372.58425925926</v>
      </c>
      <c r="C140" s="1" t="n">
        <v>46181</v>
      </c>
      <c r="D140" t="inlineStr">
        <is>
          <t>ÖREBRO LÄN</t>
        </is>
      </c>
      <c r="E140" t="inlineStr">
        <is>
          <t>HÄLLEFORS</t>
        </is>
      </c>
      <c r="G140" t="n">
        <v>2.2</v>
      </c>
      <c r="H140" t="n">
        <v>0</v>
      </c>
      <c r="I140" t="n">
        <v>0</v>
      </c>
      <c r="J140" t="n">
        <v>0</v>
      </c>
      <c r="K140" t="n">
        <v>0</v>
      </c>
      <c r="L140" t="n">
        <v>0</v>
      </c>
      <c r="M140" t="n">
        <v>0</v>
      </c>
      <c r="N140" t="n">
        <v>0</v>
      </c>
      <c r="O140" t="n">
        <v>0</v>
      </c>
      <c r="P140" t="n">
        <v>0</v>
      </c>
      <c r="Q140" t="n">
        <v>0</v>
      </c>
      <c r="R140" s="2" t="inlineStr"/>
    </row>
    <row r="141" ht="15" customHeight="1">
      <c r="A141" t="inlineStr">
        <is>
          <t>A 59557-2022</t>
        </is>
      </c>
      <c r="B141" s="1" t="n">
        <v>44907.59805555556</v>
      </c>
      <c r="C141" s="1" t="n">
        <v>46181</v>
      </c>
      <c r="D141" t="inlineStr">
        <is>
          <t>ÖREBRO LÄN</t>
        </is>
      </c>
      <c r="E141" t="inlineStr">
        <is>
          <t>HÄLLEFORS</t>
        </is>
      </c>
      <c r="F141" t="inlineStr">
        <is>
          <t>Bergvik skog väst AB</t>
        </is>
      </c>
      <c r="G141" t="n">
        <v>11.2</v>
      </c>
      <c r="H141" t="n">
        <v>0</v>
      </c>
      <c r="I141" t="n">
        <v>0</v>
      </c>
      <c r="J141" t="n">
        <v>0</v>
      </c>
      <c r="K141" t="n">
        <v>0</v>
      </c>
      <c r="L141" t="n">
        <v>0</v>
      </c>
      <c r="M141" t="n">
        <v>0</v>
      </c>
      <c r="N141" t="n">
        <v>0</v>
      </c>
      <c r="O141" t="n">
        <v>0</v>
      </c>
      <c r="P141" t="n">
        <v>0</v>
      </c>
      <c r="Q141" t="n">
        <v>0</v>
      </c>
      <c r="R141" s="2" t="inlineStr"/>
    </row>
    <row r="142" ht="15" customHeight="1">
      <c r="A142" t="inlineStr">
        <is>
          <t>A 67439-2021</t>
        </is>
      </c>
      <c r="B142" s="1" t="n">
        <v>44523</v>
      </c>
      <c r="C142" s="1" t="n">
        <v>46181</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46181</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46181</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39171-2024</t>
        </is>
      </c>
      <c r="B145" s="1" t="n">
        <v>45548</v>
      </c>
      <c r="C145" s="1" t="n">
        <v>46181</v>
      </c>
      <c r="D145" t="inlineStr">
        <is>
          <t>ÖREBRO LÄN</t>
        </is>
      </c>
      <c r="E145" t="inlineStr">
        <is>
          <t>HÄLLEFORS</t>
        </is>
      </c>
      <c r="G145" t="n">
        <v>3.8</v>
      </c>
      <c r="H145" t="n">
        <v>0</v>
      </c>
      <c r="I145" t="n">
        <v>0</v>
      </c>
      <c r="J145" t="n">
        <v>0</v>
      </c>
      <c r="K145" t="n">
        <v>0</v>
      </c>
      <c r="L145" t="n">
        <v>0</v>
      </c>
      <c r="M145" t="n">
        <v>0</v>
      </c>
      <c r="N145" t="n">
        <v>0</v>
      </c>
      <c r="O145" t="n">
        <v>0</v>
      </c>
      <c r="P145" t="n">
        <v>0</v>
      </c>
      <c r="Q145" t="n">
        <v>0</v>
      </c>
      <c r="R145" s="2" t="inlineStr"/>
    </row>
    <row r="146" ht="15" customHeight="1">
      <c r="A146" t="inlineStr">
        <is>
          <t>A 45916-2025</t>
        </is>
      </c>
      <c r="B146" s="1" t="n">
        <v>45923.83761574074</v>
      </c>
      <c r="C146" s="1" t="n">
        <v>46181</v>
      </c>
      <c r="D146" t="inlineStr">
        <is>
          <t>ÖREBRO LÄN</t>
        </is>
      </c>
      <c r="E146" t="inlineStr">
        <is>
          <t>HÄLLEFORS</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46181</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46181</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46181</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46667-2025</t>
        </is>
      </c>
      <c r="B150" s="1" t="n">
        <v>45926.52738425926</v>
      </c>
      <c r="C150" s="1" t="n">
        <v>46181</v>
      </c>
      <c r="D150" t="inlineStr">
        <is>
          <t>ÖREBRO LÄN</t>
        </is>
      </c>
      <c r="E150" t="inlineStr">
        <is>
          <t>HÄLLEFORS</t>
        </is>
      </c>
      <c r="G150" t="n">
        <v>3.9</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46181</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6126-2026</t>
        </is>
      </c>
      <c r="B152" s="1" t="n">
        <v>46053.93969907407</v>
      </c>
      <c r="C152" s="1" t="n">
        <v>46181</v>
      </c>
      <c r="D152" t="inlineStr">
        <is>
          <t>ÖREBRO LÄN</t>
        </is>
      </c>
      <c r="E152" t="inlineStr">
        <is>
          <t>HÄLLEFORS</t>
        </is>
      </c>
      <c r="G152" t="n">
        <v>2</v>
      </c>
      <c r="H152" t="n">
        <v>0</v>
      </c>
      <c r="I152" t="n">
        <v>0</v>
      </c>
      <c r="J152" t="n">
        <v>0</v>
      </c>
      <c r="K152" t="n">
        <v>0</v>
      </c>
      <c r="L152" t="n">
        <v>0</v>
      </c>
      <c r="M152" t="n">
        <v>0</v>
      </c>
      <c r="N152" t="n">
        <v>0</v>
      </c>
      <c r="O152" t="n">
        <v>0</v>
      </c>
      <c r="P152" t="n">
        <v>0</v>
      </c>
      <c r="Q152" t="n">
        <v>0</v>
      </c>
      <c r="R152" s="2" t="inlineStr"/>
    </row>
    <row r="153" ht="15" customHeight="1">
      <c r="A153" t="inlineStr">
        <is>
          <t>A 6127-2026</t>
        </is>
      </c>
      <c r="B153" s="1" t="n">
        <v>46053.99731481481</v>
      </c>
      <c r="C153" s="1" t="n">
        <v>46181</v>
      </c>
      <c r="D153" t="inlineStr">
        <is>
          <t>ÖREBRO LÄN</t>
        </is>
      </c>
      <c r="E153" t="inlineStr">
        <is>
          <t>HÄLLEFORS</t>
        </is>
      </c>
      <c r="G153" t="n">
        <v>7.6</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46181</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18627-2025</t>
        </is>
      </c>
      <c r="B155" s="1" t="n">
        <v>45763.53284722222</v>
      </c>
      <c r="C155" s="1" t="n">
        <v>46181</v>
      </c>
      <c r="D155" t="inlineStr">
        <is>
          <t>ÖREBRO LÄN</t>
        </is>
      </c>
      <c r="E155" t="inlineStr">
        <is>
          <t>HÄLLEFORS</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32808-2025</t>
        </is>
      </c>
      <c r="B156" s="1" t="n">
        <v>45839.50719907408</v>
      </c>
      <c r="C156" s="1" t="n">
        <v>46181</v>
      </c>
      <c r="D156" t="inlineStr">
        <is>
          <t>ÖREBRO LÄN</t>
        </is>
      </c>
      <c r="E156" t="inlineStr">
        <is>
          <t>HÄLLEFORS</t>
        </is>
      </c>
      <c r="G156" t="n">
        <v>4.3</v>
      </c>
      <c r="H156" t="n">
        <v>0</v>
      </c>
      <c r="I156" t="n">
        <v>0</v>
      </c>
      <c r="J156" t="n">
        <v>0</v>
      </c>
      <c r="K156" t="n">
        <v>0</v>
      </c>
      <c r="L156" t="n">
        <v>0</v>
      </c>
      <c r="M156" t="n">
        <v>0</v>
      </c>
      <c r="N156" t="n">
        <v>0</v>
      </c>
      <c r="O156" t="n">
        <v>0</v>
      </c>
      <c r="P156" t="n">
        <v>0</v>
      </c>
      <c r="Q156" t="n">
        <v>0</v>
      </c>
      <c r="R156" s="2" t="inlineStr"/>
    </row>
    <row r="157" ht="15" customHeight="1">
      <c r="A157" t="inlineStr">
        <is>
          <t>A 44693-2025</t>
        </is>
      </c>
      <c r="B157" s="1" t="n">
        <v>45917</v>
      </c>
      <c r="C157" s="1" t="n">
        <v>46181</v>
      </c>
      <c r="D157" t="inlineStr">
        <is>
          <t>ÖREBRO LÄN</t>
        </is>
      </c>
      <c r="E157" t="inlineStr">
        <is>
          <t>HÄLLEFORS</t>
        </is>
      </c>
      <c r="G157" t="n">
        <v>10.3</v>
      </c>
      <c r="H157" t="n">
        <v>0</v>
      </c>
      <c r="I157" t="n">
        <v>0</v>
      </c>
      <c r="J157" t="n">
        <v>0</v>
      </c>
      <c r="K157" t="n">
        <v>0</v>
      </c>
      <c r="L157" t="n">
        <v>0</v>
      </c>
      <c r="M157" t="n">
        <v>0</v>
      </c>
      <c r="N157" t="n">
        <v>0</v>
      </c>
      <c r="O157" t="n">
        <v>0</v>
      </c>
      <c r="P157" t="n">
        <v>0</v>
      </c>
      <c r="Q157" t="n">
        <v>0</v>
      </c>
      <c r="R157" s="2" t="inlineStr"/>
    </row>
    <row r="158" ht="15" customHeight="1">
      <c r="A158" t="inlineStr">
        <is>
          <t>A 12511-2025</t>
        </is>
      </c>
      <c r="B158" s="1" t="n">
        <v>45730.6371412037</v>
      </c>
      <c r="C158" s="1" t="n">
        <v>46181</v>
      </c>
      <c r="D158" t="inlineStr">
        <is>
          <t>ÖREBRO LÄN</t>
        </is>
      </c>
      <c r="E158" t="inlineStr">
        <is>
          <t>HÄLLEFORS</t>
        </is>
      </c>
      <c r="G158" t="n">
        <v>0.7</v>
      </c>
      <c r="H158" t="n">
        <v>0</v>
      </c>
      <c r="I158" t="n">
        <v>0</v>
      </c>
      <c r="J158" t="n">
        <v>0</v>
      </c>
      <c r="K158" t="n">
        <v>0</v>
      </c>
      <c r="L158" t="n">
        <v>0</v>
      </c>
      <c r="M158" t="n">
        <v>0</v>
      </c>
      <c r="N158" t="n">
        <v>0</v>
      </c>
      <c r="O158" t="n">
        <v>0</v>
      </c>
      <c r="P158" t="n">
        <v>0</v>
      </c>
      <c r="Q158" t="n">
        <v>0</v>
      </c>
      <c r="R158" s="2" t="inlineStr"/>
    </row>
    <row r="159" ht="15" customHeight="1">
      <c r="A159" t="inlineStr">
        <is>
          <t>A 47862-2025</t>
        </is>
      </c>
      <c r="B159" s="1" t="n">
        <v>45932.42637731481</v>
      </c>
      <c r="C159" s="1" t="n">
        <v>46181</v>
      </c>
      <c r="D159" t="inlineStr">
        <is>
          <t>ÖREBRO LÄN</t>
        </is>
      </c>
      <c r="E159" t="inlineStr">
        <is>
          <t>HÄLLEFORS</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46181</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47854-2025</t>
        </is>
      </c>
      <c r="B161" s="1" t="n">
        <v>45932.39532407407</v>
      </c>
      <c r="C161" s="1" t="n">
        <v>46181</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47856-2025</t>
        </is>
      </c>
      <c r="B162" s="1" t="n">
        <v>45932.40252314815</v>
      </c>
      <c r="C162" s="1" t="n">
        <v>46181</v>
      </c>
      <c r="D162" t="inlineStr">
        <is>
          <t>ÖREBRO LÄN</t>
        </is>
      </c>
      <c r="E162" t="inlineStr">
        <is>
          <t>HÄLLEFORS</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55747-2024</t>
        </is>
      </c>
      <c r="B163" s="1" t="n">
        <v>45623.32141203704</v>
      </c>
      <c r="C163" s="1" t="n">
        <v>46181</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1288-2024</t>
        </is>
      </c>
      <c r="B164" s="1" t="n">
        <v>45303</v>
      </c>
      <c r="C164" s="1" t="n">
        <v>46181</v>
      </c>
      <c r="D164" t="inlineStr">
        <is>
          <t>ÖREBRO LÄN</t>
        </is>
      </c>
      <c r="E164" t="inlineStr">
        <is>
          <t>HÄLLEFORS</t>
        </is>
      </c>
      <c r="G164" t="n">
        <v>1.2</v>
      </c>
      <c r="H164" t="n">
        <v>0</v>
      </c>
      <c r="I164" t="n">
        <v>0</v>
      </c>
      <c r="J164" t="n">
        <v>0</v>
      </c>
      <c r="K164" t="n">
        <v>0</v>
      </c>
      <c r="L164" t="n">
        <v>0</v>
      </c>
      <c r="M164" t="n">
        <v>0</v>
      </c>
      <c r="N164" t="n">
        <v>0</v>
      </c>
      <c r="O164" t="n">
        <v>0</v>
      </c>
      <c r="P164" t="n">
        <v>0</v>
      </c>
      <c r="Q164" t="n">
        <v>0</v>
      </c>
      <c r="R164" s="2" t="inlineStr"/>
    </row>
    <row r="165" ht="15" customHeight="1">
      <c r="A165" t="inlineStr">
        <is>
          <t>A 56298-2024</t>
        </is>
      </c>
      <c r="B165" s="1" t="n">
        <v>45624.68584490741</v>
      </c>
      <c r="C165" s="1" t="n">
        <v>46181</v>
      </c>
      <c r="D165" t="inlineStr">
        <is>
          <t>ÖREBRO LÄN</t>
        </is>
      </c>
      <c r="E165" t="inlineStr">
        <is>
          <t>HÄLLEFORS</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34062-2025</t>
        </is>
      </c>
      <c r="B166" s="1" t="n">
        <v>45845.4264699074</v>
      </c>
      <c r="C166" s="1" t="n">
        <v>46181</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34023-2025</t>
        </is>
      </c>
      <c r="B167" s="1" t="n">
        <v>45845.35355324074</v>
      </c>
      <c r="C167" s="1" t="n">
        <v>46181</v>
      </c>
      <c r="D167" t="inlineStr">
        <is>
          <t>ÖREBRO LÄN</t>
        </is>
      </c>
      <c r="E167" t="inlineStr">
        <is>
          <t>HÄLLEFORS</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14120-2023</t>
        </is>
      </c>
      <c r="B168" s="1" t="n">
        <v>45009</v>
      </c>
      <c r="C168" s="1" t="n">
        <v>46181</v>
      </c>
      <c r="D168" t="inlineStr">
        <is>
          <t>ÖREBRO LÄN</t>
        </is>
      </c>
      <c r="E168" t="inlineStr">
        <is>
          <t>HÄLLEFORS</t>
        </is>
      </c>
      <c r="F168" t="inlineStr">
        <is>
          <t>Bergvik skog väst AB</t>
        </is>
      </c>
      <c r="G168" t="n">
        <v>4.2</v>
      </c>
      <c r="H168" t="n">
        <v>0</v>
      </c>
      <c r="I168" t="n">
        <v>0</v>
      </c>
      <c r="J168" t="n">
        <v>0</v>
      </c>
      <c r="K168" t="n">
        <v>0</v>
      </c>
      <c r="L168" t="n">
        <v>0</v>
      </c>
      <c r="M168" t="n">
        <v>0</v>
      </c>
      <c r="N168" t="n">
        <v>0</v>
      </c>
      <c r="O168" t="n">
        <v>0</v>
      </c>
      <c r="P168" t="n">
        <v>0</v>
      </c>
      <c r="Q168" t="n">
        <v>0</v>
      </c>
      <c r="R168" s="2" t="inlineStr"/>
    </row>
    <row r="169" ht="15" customHeight="1">
      <c r="A169" t="inlineStr">
        <is>
          <t>A 34022-2025</t>
        </is>
      </c>
      <c r="B169" s="1" t="n">
        <v>45845.34983796296</v>
      </c>
      <c r="C169" s="1" t="n">
        <v>46181</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46181</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34059-2025</t>
        </is>
      </c>
      <c r="B171" s="1" t="n">
        <v>45845.41988425926</v>
      </c>
      <c r="C171" s="1" t="n">
        <v>46181</v>
      </c>
      <c r="D171" t="inlineStr">
        <is>
          <t>ÖREBRO LÄN</t>
        </is>
      </c>
      <c r="E171" t="inlineStr">
        <is>
          <t>HÄLLEFORS</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34093-2025</t>
        </is>
      </c>
      <c r="B172" s="1" t="n">
        <v>45845.47775462963</v>
      </c>
      <c r="C172" s="1" t="n">
        <v>46181</v>
      </c>
      <c r="D172" t="inlineStr">
        <is>
          <t>ÖREBRO LÄN</t>
        </is>
      </c>
      <c r="E172" t="inlineStr">
        <is>
          <t>HÄLLEFORS</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34057-2025</t>
        </is>
      </c>
      <c r="B173" s="1" t="n">
        <v>45845.41581018519</v>
      </c>
      <c r="C173" s="1" t="n">
        <v>46181</v>
      </c>
      <c r="D173" t="inlineStr">
        <is>
          <t>ÖREBRO LÄN</t>
        </is>
      </c>
      <c r="E173" t="inlineStr">
        <is>
          <t>HÄLLEFORS</t>
        </is>
      </c>
      <c r="G173" t="n">
        <v>2.1</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46181</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46181</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34045-2025</t>
        </is>
      </c>
      <c r="B176" s="1" t="n">
        <v>45845.38480324074</v>
      </c>
      <c r="C176" s="1" t="n">
        <v>46181</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34052-2025</t>
        </is>
      </c>
      <c r="B177" s="1" t="n">
        <v>45845.40813657407</v>
      </c>
      <c r="C177" s="1" t="n">
        <v>46181</v>
      </c>
      <c r="D177" t="inlineStr">
        <is>
          <t>ÖREBRO LÄN</t>
        </is>
      </c>
      <c r="E177" t="inlineStr">
        <is>
          <t>HÄLLEFORS</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48961-2025</t>
        </is>
      </c>
      <c r="B178" s="1" t="n">
        <v>45936</v>
      </c>
      <c r="C178" s="1" t="n">
        <v>46181</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50714-2022</t>
        </is>
      </c>
      <c r="B179" s="1" t="n">
        <v>44867.35501157407</v>
      </c>
      <c r="C179" s="1" t="n">
        <v>46181</v>
      </c>
      <c r="D179" t="inlineStr">
        <is>
          <t>ÖREBRO LÄN</t>
        </is>
      </c>
      <c r="E179" t="inlineStr">
        <is>
          <t>HÄLLEFORS</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6772-2026</t>
        </is>
      </c>
      <c r="B180" s="1" t="n">
        <v>46057.2934837963</v>
      </c>
      <c r="C180" s="1" t="n">
        <v>46181</v>
      </c>
      <c r="D180" t="inlineStr">
        <is>
          <t>ÖREBRO LÄN</t>
        </is>
      </c>
      <c r="E180" t="inlineStr">
        <is>
          <t>HÄLLEFORS</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17075-2025</t>
        </is>
      </c>
      <c r="B181" s="1" t="n">
        <v>45755.62278935185</v>
      </c>
      <c r="C181" s="1" t="n">
        <v>46181</v>
      </c>
      <c r="D181" t="inlineStr">
        <is>
          <t>ÖREBRO LÄN</t>
        </is>
      </c>
      <c r="E181" t="inlineStr">
        <is>
          <t>HÄLLEFORS</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9411-2022</t>
        </is>
      </c>
      <c r="B182" s="1" t="n">
        <v>44616</v>
      </c>
      <c r="C182" s="1" t="n">
        <v>46181</v>
      </c>
      <c r="D182" t="inlineStr">
        <is>
          <t>ÖREBRO LÄN</t>
        </is>
      </c>
      <c r="E182" t="inlineStr">
        <is>
          <t>HÄLLEFORS</t>
        </is>
      </c>
      <c r="G182" t="n">
        <v>2.4</v>
      </c>
      <c r="H182" t="n">
        <v>0</v>
      </c>
      <c r="I182" t="n">
        <v>0</v>
      </c>
      <c r="J182" t="n">
        <v>0</v>
      </c>
      <c r="K182" t="n">
        <v>0</v>
      </c>
      <c r="L182" t="n">
        <v>0</v>
      </c>
      <c r="M182" t="n">
        <v>0</v>
      </c>
      <c r="N182" t="n">
        <v>0</v>
      </c>
      <c r="O182" t="n">
        <v>0</v>
      </c>
      <c r="P182" t="n">
        <v>0</v>
      </c>
      <c r="Q182" t="n">
        <v>0</v>
      </c>
      <c r="R182" s="2" t="inlineStr"/>
    </row>
    <row r="183" ht="15" customHeight="1">
      <c r="A183" t="inlineStr">
        <is>
          <t>A 5033-2025</t>
        </is>
      </c>
      <c r="B183" s="1" t="n">
        <v>45691.425625</v>
      </c>
      <c r="C183" s="1" t="n">
        <v>46181</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17350-2025</t>
        </is>
      </c>
      <c r="B184" s="1" t="n">
        <v>45756.68074074074</v>
      </c>
      <c r="C184" s="1" t="n">
        <v>46181</v>
      </c>
      <c r="D184" t="inlineStr">
        <is>
          <t>ÖREBRO LÄN</t>
        </is>
      </c>
      <c r="E184" t="inlineStr">
        <is>
          <t>HÄLLEFORS</t>
        </is>
      </c>
      <c r="F184" t="inlineStr">
        <is>
          <t>Bergvik skog väst AB</t>
        </is>
      </c>
      <c r="G184" t="n">
        <v>6.9</v>
      </c>
      <c r="H184" t="n">
        <v>0</v>
      </c>
      <c r="I184" t="n">
        <v>0</v>
      </c>
      <c r="J184" t="n">
        <v>0</v>
      </c>
      <c r="K184" t="n">
        <v>0</v>
      </c>
      <c r="L184" t="n">
        <v>0</v>
      </c>
      <c r="M184" t="n">
        <v>0</v>
      </c>
      <c r="N184" t="n">
        <v>0</v>
      </c>
      <c r="O184" t="n">
        <v>0</v>
      </c>
      <c r="P184" t="n">
        <v>0</v>
      </c>
      <c r="Q184" t="n">
        <v>0</v>
      </c>
      <c r="R184" s="2" t="inlineStr"/>
    </row>
    <row r="185" ht="15" customHeight="1">
      <c r="A185" t="inlineStr">
        <is>
          <t>A 6774-2026</t>
        </is>
      </c>
      <c r="B185" s="1" t="n">
        <v>46057.29586805555</v>
      </c>
      <c r="C185" s="1" t="n">
        <v>46181</v>
      </c>
      <c r="D185" t="inlineStr">
        <is>
          <t>ÖREBRO LÄN</t>
        </is>
      </c>
      <c r="E185" t="inlineStr">
        <is>
          <t>HÄLLEFORS</t>
        </is>
      </c>
      <c r="F185" t="inlineStr">
        <is>
          <t>Bergvik skog väst AB</t>
        </is>
      </c>
      <c r="G185" t="n">
        <v>7.2</v>
      </c>
      <c r="H185" t="n">
        <v>0</v>
      </c>
      <c r="I185" t="n">
        <v>0</v>
      </c>
      <c r="J185" t="n">
        <v>0</v>
      </c>
      <c r="K185" t="n">
        <v>0</v>
      </c>
      <c r="L185" t="n">
        <v>0</v>
      </c>
      <c r="M185" t="n">
        <v>0</v>
      </c>
      <c r="N185" t="n">
        <v>0</v>
      </c>
      <c r="O185" t="n">
        <v>0</v>
      </c>
      <c r="P185" t="n">
        <v>0</v>
      </c>
      <c r="Q185" t="n">
        <v>0</v>
      </c>
      <c r="R185" s="2" t="inlineStr"/>
    </row>
    <row r="186" ht="15" customHeight="1">
      <c r="A186" t="inlineStr">
        <is>
          <t>A 59976-2024</t>
        </is>
      </c>
      <c r="B186" s="1" t="n">
        <v>45642.37226851852</v>
      </c>
      <c r="C186" s="1" t="n">
        <v>46181</v>
      </c>
      <c r="D186" t="inlineStr">
        <is>
          <t>ÖREBRO LÄN</t>
        </is>
      </c>
      <c r="E186" t="inlineStr">
        <is>
          <t>HÄLLEFORS</t>
        </is>
      </c>
      <c r="F186" t="inlineStr">
        <is>
          <t>Bergvik skog väst AB</t>
        </is>
      </c>
      <c r="G186" t="n">
        <v>8.9</v>
      </c>
      <c r="H186" t="n">
        <v>0</v>
      </c>
      <c r="I186" t="n">
        <v>0</v>
      </c>
      <c r="J186" t="n">
        <v>0</v>
      </c>
      <c r="K186" t="n">
        <v>0</v>
      </c>
      <c r="L186" t="n">
        <v>0</v>
      </c>
      <c r="M186" t="n">
        <v>0</v>
      </c>
      <c r="N186" t="n">
        <v>0</v>
      </c>
      <c r="O186" t="n">
        <v>0</v>
      </c>
      <c r="P186" t="n">
        <v>0</v>
      </c>
      <c r="Q186" t="n">
        <v>0</v>
      </c>
      <c r="R186" s="2" t="inlineStr"/>
    </row>
    <row r="187" ht="15" customHeight="1">
      <c r="A187" t="inlineStr">
        <is>
          <t>A 33944-2024</t>
        </is>
      </c>
      <c r="B187" s="1" t="n">
        <v>45523</v>
      </c>
      <c r="C187" s="1" t="n">
        <v>46181</v>
      </c>
      <c r="D187" t="inlineStr">
        <is>
          <t>ÖREBRO LÄN</t>
        </is>
      </c>
      <c r="E187" t="inlineStr">
        <is>
          <t>HÄLLEFORS</t>
        </is>
      </c>
      <c r="G187" t="n">
        <v>5.9</v>
      </c>
      <c r="H187" t="n">
        <v>0</v>
      </c>
      <c r="I187" t="n">
        <v>0</v>
      </c>
      <c r="J187" t="n">
        <v>0</v>
      </c>
      <c r="K187" t="n">
        <v>0</v>
      </c>
      <c r="L187" t="n">
        <v>0</v>
      </c>
      <c r="M187" t="n">
        <v>0</v>
      </c>
      <c r="N187" t="n">
        <v>0</v>
      </c>
      <c r="O187" t="n">
        <v>0</v>
      </c>
      <c r="P187" t="n">
        <v>0</v>
      </c>
      <c r="Q187" t="n">
        <v>0</v>
      </c>
      <c r="R187" s="2" t="inlineStr"/>
    </row>
    <row r="188" ht="15" customHeight="1">
      <c r="A188" t="inlineStr">
        <is>
          <t>A 48765-2025</t>
        </is>
      </c>
      <c r="B188" s="1" t="n">
        <v>45936.85859953704</v>
      </c>
      <c r="C188" s="1" t="n">
        <v>46181</v>
      </c>
      <c r="D188" t="inlineStr">
        <is>
          <t>ÖREBRO LÄN</t>
        </is>
      </c>
      <c r="E188" t="inlineStr">
        <is>
          <t>HÄLLEFORS</t>
        </is>
      </c>
      <c r="F188" t="inlineStr">
        <is>
          <t>Bergvik skog väst AB</t>
        </is>
      </c>
      <c r="G188" t="n">
        <v>17.6</v>
      </c>
      <c r="H188" t="n">
        <v>0</v>
      </c>
      <c r="I188" t="n">
        <v>0</v>
      </c>
      <c r="J188" t="n">
        <v>0</v>
      </c>
      <c r="K188" t="n">
        <v>0</v>
      </c>
      <c r="L188" t="n">
        <v>0</v>
      </c>
      <c r="M188" t="n">
        <v>0</v>
      </c>
      <c r="N188" t="n">
        <v>0</v>
      </c>
      <c r="O188" t="n">
        <v>0</v>
      </c>
      <c r="P188" t="n">
        <v>0</v>
      </c>
      <c r="Q188" t="n">
        <v>0</v>
      </c>
      <c r="R188" s="2" t="inlineStr"/>
    </row>
    <row r="189" ht="15" customHeight="1">
      <c r="A189" t="inlineStr">
        <is>
          <t>A 15941-2023</t>
        </is>
      </c>
      <c r="B189" s="1" t="n">
        <v>45022</v>
      </c>
      <c r="C189" s="1" t="n">
        <v>46181</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12545-2023</t>
        </is>
      </c>
      <c r="B190" s="1" t="n">
        <v>45000</v>
      </c>
      <c r="C190" s="1" t="n">
        <v>46181</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5256-2025</t>
        </is>
      </c>
      <c r="B191" s="1" t="n">
        <v>45692.36032407408</v>
      </c>
      <c r="C191" s="1" t="n">
        <v>46181</v>
      </c>
      <c r="D191" t="inlineStr">
        <is>
          <t>ÖREBRO LÄN</t>
        </is>
      </c>
      <c r="E191" t="inlineStr">
        <is>
          <t>HÄLLEFORS</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35183-2023</t>
        </is>
      </c>
      <c r="B192" s="1" t="n">
        <v>45145.59578703704</v>
      </c>
      <c r="C192" s="1" t="n">
        <v>46181</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8064-2026</t>
        </is>
      </c>
      <c r="B193" s="1" t="n">
        <v>46063.6312962963</v>
      </c>
      <c r="C193" s="1" t="n">
        <v>46181</v>
      </c>
      <c r="D193" t="inlineStr">
        <is>
          <t>ÖREBRO LÄN</t>
        </is>
      </c>
      <c r="E193" t="inlineStr">
        <is>
          <t>HÄLLEFORS</t>
        </is>
      </c>
      <c r="G193" t="n">
        <v>6</v>
      </c>
      <c r="H193" t="n">
        <v>0</v>
      </c>
      <c r="I193" t="n">
        <v>0</v>
      </c>
      <c r="J193" t="n">
        <v>0</v>
      </c>
      <c r="K193" t="n">
        <v>0</v>
      </c>
      <c r="L193" t="n">
        <v>0</v>
      </c>
      <c r="M193" t="n">
        <v>0</v>
      </c>
      <c r="N193" t="n">
        <v>0</v>
      </c>
      <c r="O193" t="n">
        <v>0</v>
      </c>
      <c r="P193" t="n">
        <v>0</v>
      </c>
      <c r="Q193" t="n">
        <v>0</v>
      </c>
      <c r="R193" s="2" t="inlineStr"/>
    </row>
    <row r="194" ht="15" customHeight="1">
      <c r="A194" t="inlineStr">
        <is>
          <t>A 8095-2026</t>
        </is>
      </c>
      <c r="B194" s="1" t="n">
        <v>46063.71302083333</v>
      </c>
      <c r="C194" s="1" t="n">
        <v>46181</v>
      </c>
      <c r="D194" t="inlineStr">
        <is>
          <t>ÖREBRO LÄN</t>
        </is>
      </c>
      <c r="E194" t="inlineStr">
        <is>
          <t>HÄLLEFORS</t>
        </is>
      </c>
      <c r="G194" t="n">
        <v>2.7</v>
      </c>
      <c r="H194" t="n">
        <v>0</v>
      </c>
      <c r="I194" t="n">
        <v>0</v>
      </c>
      <c r="J194" t="n">
        <v>0</v>
      </c>
      <c r="K194" t="n">
        <v>0</v>
      </c>
      <c r="L194" t="n">
        <v>0</v>
      </c>
      <c r="M194" t="n">
        <v>0</v>
      </c>
      <c r="N194" t="n">
        <v>0</v>
      </c>
      <c r="O194" t="n">
        <v>0</v>
      </c>
      <c r="P194" t="n">
        <v>0</v>
      </c>
      <c r="Q194" t="n">
        <v>0</v>
      </c>
      <c r="R194" s="2" t="inlineStr"/>
    </row>
    <row r="195" ht="15" customHeight="1">
      <c r="A195" t="inlineStr">
        <is>
          <t>A 8099-2026</t>
        </is>
      </c>
      <c r="B195" s="1" t="n">
        <v>46063.7159837963</v>
      </c>
      <c r="C195" s="1" t="n">
        <v>46181</v>
      </c>
      <c r="D195" t="inlineStr">
        <is>
          <t>ÖREBRO LÄN</t>
        </is>
      </c>
      <c r="E195" t="inlineStr">
        <is>
          <t>HÄLLEFORS</t>
        </is>
      </c>
      <c r="G195" t="n">
        <v>1.6</v>
      </c>
      <c r="H195" t="n">
        <v>0</v>
      </c>
      <c r="I195" t="n">
        <v>0</v>
      </c>
      <c r="J195" t="n">
        <v>0</v>
      </c>
      <c r="K195" t="n">
        <v>0</v>
      </c>
      <c r="L195" t="n">
        <v>0</v>
      </c>
      <c r="M195" t="n">
        <v>0</v>
      </c>
      <c r="N195" t="n">
        <v>0</v>
      </c>
      <c r="O195" t="n">
        <v>0</v>
      </c>
      <c r="P195" t="n">
        <v>0</v>
      </c>
      <c r="Q195" t="n">
        <v>0</v>
      </c>
      <c r="R195" s="2" t="inlineStr"/>
    </row>
    <row r="196" ht="15" customHeight="1">
      <c r="A196" t="inlineStr">
        <is>
          <t>A 17045-2025</t>
        </is>
      </c>
      <c r="B196" s="1" t="n">
        <v>45755.59307870371</v>
      </c>
      <c r="C196" s="1" t="n">
        <v>46181</v>
      </c>
      <c r="D196" t="inlineStr">
        <is>
          <t>ÖREBRO LÄN</t>
        </is>
      </c>
      <c r="E196" t="inlineStr">
        <is>
          <t>HÄLLEFORS</t>
        </is>
      </c>
      <c r="F196" t="inlineStr">
        <is>
          <t>Bergvik skog väst AB</t>
        </is>
      </c>
      <c r="G196" t="n">
        <v>4.8</v>
      </c>
      <c r="H196" t="n">
        <v>0</v>
      </c>
      <c r="I196" t="n">
        <v>0</v>
      </c>
      <c r="J196" t="n">
        <v>0</v>
      </c>
      <c r="K196" t="n">
        <v>0</v>
      </c>
      <c r="L196" t="n">
        <v>0</v>
      </c>
      <c r="M196" t="n">
        <v>0</v>
      </c>
      <c r="N196" t="n">
        <v>0</v>
      </c>
      <c r="O196" t="n">
        <v>0</v>
      </c>
      <c r="P196" t="n">
        <v>0</v>
      </c>
      <c r="Q196" t="n">
        <v>0</v>
      </c>
      <c r="R196" s="2" t="inlineStr"/>
    </row>
    <row r="197" ht="15" customHeight="1">
      <c r="A197" t="inlineStr">
        <is>
          <t>A 5245-2025</t>
        </is>
      </c>
      <c r="B197" s="1" t="n">
        <v>45692</v>
      </c>
      <c r="C197" s="1" t="n">
        <v>46181</v>
      </c>
      <c r="D197" t="inlineStr">
        <is>
          <t>ÖREBRO LÄN</t>
        </is>
      </c>
      <c r="E197" t="inlineStr">
        <is>
          <t>HÄLLEFORS</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12558-2025</t>
        </is>
      </c>
      <c r="B198" s="1" t="n">
        <v>45731.46960648148</v>
      </c>
      <c r="C198" s="1" t="n">
        <v>46181</v>
      </c>
      <c r="D198" t="inlineStr">
        <is>
          <t>ÖREBRO LÄN</t>
        </is>
      </c>
      <c r="E198" t="inlineStr">
        <is>
          <t>HÄLLEFORS</t>
        </is>
      </c>
      <c r="G198" t="n">
        <v>2.2</v>
      </c>
      <c r="H198" t="n">
        <v>0</v>
      </c>
      <c r="I198" t="n">
        <v>0</v>
      </c>
      <c r="J198" t="n">
        <v>0</v>
      </c>
      <c r="K198" t="n">
        <v>0</v>
      </c>
      <c r="L198" t="n">
        <v>0</v>
      </c>
      <c r="M198" t="n">
        <v>0</v>
      </c>
      <c r="N198" t="n">
        <v>0</v>
      </c>
      <c r="O198" t="n">
        <v>0</v>
      </c>
      <c r="P198" t="n">
        <v>0</v>
      </c>
      <c r="Q198" t="n">
        <v>0</v>
      </c>
      <c r="R198" s="2" t="inlineStr"/>
    </row>
    <row r="199" ht="15" customHeight="1">
      <c r="A199" t="inlineStr">
        <is>
          <t>A 50881-2025</t>
        </is>
      </c>
      <c r="B199" s="1" t="n">
        <v>45946.62914351852</v>
      </c>
      <c r="C199" s="1" t="n">
        <v>46181</v>
      </c>
      <c r="D199" t="inlineStr">
        <is>
          <t>ÖREBRO LÄN</t>
        </is>
      </c>
      <c r="E199" t="inlineStr">
        <is>
          <t>HÄLLEFORS</t>
        </is>
      </c>
      <c r="F199" t="inlineStr">
        <is>
          <t>Bergvik skog väst AB</t>
        </is>
      </c>
      <c r="G199" t="n">
        <v>2.6</v>
      </c>
      <c r="H199" t="n">
        <v>0</v>
      </c>
      <c r="I199" t="n">
        <v>0</v>
      </c>
      <c r="J199" t="n">
        <v>0</v>
      </c>
      <c r="K199" t="n">
        <v>0</v>
      </c>
      <c r="L199" t="n">
        <v>0</v>
      </c>
      <c r="M199" t="n">
        <v>0</v>
      </c>
      <c r="N199" t="n">
        <v>0</v>
      </c>
      <c r="O199" t="n">
        <v>0</v>
      </c>
      <c r="P199" t="n">
        <v>0</v>
      </c>
      <c r="Q199" t="n">
        <v>0</v>
      </c>
      <c r="R199" s="2" t="inlineStr"/>
    </row>
    <row r="200" ht="15" customHeight="1">
      <c r="A200" t="inlineStr">
        <is>
          <t>A 50798-2025</t>
        </is>
      </c>
      <c r="B200" s="1" t="n">
        <v>45946.48537037037</v>
      </c>
      <c r="C200" s="1" t="n">
        <v>46181</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46181</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6281-2025</t>
        </is>
      </c>
      <c r="B202" s="1" t="n">
        <v>45698</v>
      </c>
      <c r="C202" s="1" t="n">
        <v>46181</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19055-2024</t>
        </is>
      </c>
      <c r="B203" s="1" t="n">
        <v>45427.79534722222</v>
      </c>
      <c r="C203" s="1" t="n">
        <v>46181</v>
      </c>
      <c r="D203" t="inlineStr">
        <is>
          <t>ÖREBRO LÄN</t>
        </is>
      </c>
      <c r="E203" t="inlineStr">
        <is>
          <t>HÄLLEFORS</t>
        </is>
      </c>
      <c r="G203" t="n">
        <v>0.6</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46181</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3643-2025</t>
        </is>
      </c>
      <c r="B205" s="1" t="n">
        <v>45681</v>
      </c>
      <c r="C205" s="1" t="n">
        <v>46181</v>
      </c>
      <c r="D205" t="inlineStr">
        <is>
          <t>ÖREBRO LÄN</t>
        </is>
      </c>
      <c r="E205" t="inlineStr">
        <is>
          <t>HÄLLEFORS</t>
        </is>
      </c>
      <c r="G205" t="n">
        <v>20.8</v>
      </c>
      <c r="H205" t="n">
        <v>0</v>
      </c>
      <c r="I205" t="n">
        <v>0</v>
      </c>
      <c r="J205" t="n">
        <v>0</v>
      </c>
      <c r="K205" t="n">
        <v>0</v>
      </c>
      <c r="L205" t="n">
        <v>0</v>
      </c>
      <c r="M205" t="n">
        <v>0</v>
      </c>
      <c r="N205" t="n">
        <v>0</v>
      </c>
      <c r="O205" t="n">
        <v>0</v>
      </c>
      <c r="P205" t="n">
        <v>0</v>
      </c>
      <c r="Q205" t="n">
        <v>0</v>
      </c>
      <c r="R205" s="2" t="inlineStr"/>
    </row>
    <row r="206" ht="15" customHeight="1">
      <c r="A206" t="inlineStr">
        <is>
          <t>A 52125-2025</t>
        </is>
      </c>
      <c r="B206" s="1" t="n">
        <v>45952.72060185186</v>
      </c>
      <c r="C206" s="1" t="n">
        <v>46181</v>
      </c>
      <c r="D206" t="inlineStr">
        <is>
          <t>ÖREBRO LÄN</t>
        </is>
      </c>
      <c r="E206" t="inlineStr">
        <is>
          <t>HÄLLEFORS</t>
        </is>
      </c>
      <c r="G206" t="n">
        <v>4</v>
      </c>
      <c r="H206" t="n">
        <v>0</v>
      </c>
      <c r="I206" t="n">
        <v>0</v>
      </c>
      <c r="J206" t="n">
        <v>0</v>
      </c>
      <c r="K206" t="n">
        <v>0</v>
      </c>
      <c r="L206" t="n">
        <v>0</v>
      </c>
      <c r="M206" t="n">
        <v>0</v>
      </c>
      <c r="N206" t="n">
        <v>0</v>
      </c>
      <c r="O206" t="n">
        <v>0</v>
      </c>
      <c r="P206" t="n">
        <v>0</v>
      </c>
      <c r="Q206" t="n">
        <v>0</v>
      </c>
      <c r="R206" s="2" t="inlineStr"/>
    </row>
    <row r="207" ht="15" customHeight="1">
      <c r="A207" t="inlineStr">
        <is>
          <t>A 38148-2025</t>
        </is>
      </c>
      <c r="B207" s="1" t="n">
        <v>45882.58855324074</v>
      </c>
      <c r="C207" s="1" t="n">
        <v>46181</v>
      </c>
      <c r="D207" t="inlineStr">
        <is>
          <t>ÖREBRO LÄN</t>
        </is>
      </c>
      <c r="E207" t="inlineStr">
        <is>
          <t>HÄLLEFORS</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46181</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52453-2025</t>
        </is>
      </c>
      <c r="B209" s="1" t="n">
        <v>45954.42596064815</v>
      </c>
      <c r="C209" s="1" t="n">
        <v>46181</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52449-2025</t>
        </is>
      </c>
      <c r="B210" s="1" t="n">
        <v>45954.41862268518</v>
      </c>
      <c r="C210" s="1" t="n">
        <v>46181</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1018-2025</t>
        </is>
      </c>
      <c r="B211" s="1" t="n">
        <v>45666.49185185185</v>
      </c>
      <c r="C211" s="1" t="n">
        <v>46181</v>
      </c>
      <c r="D211" t="inlineStr">
        <is>
          <t>ÖREBRO LÄN</t>
        </is>
      </c>
      <c r="E211" t="inlineStr">
        <is>
          <t>HÄLLEFORS</t>
        </is>
      </c>
      <c r="G211" t="n">
        <v>0.8</v>
      </c>
      <c r="H211" t="n">
        <v>0</v>
      </c>
      <c r="I211" t="n">
        <v>0</v>
      </c>
      <c r="J211" t="n">
        <v>0</v>
      </c>
      <c r="K211" t="n">
        <v>0</v>
      </c>
      <c r="L211" t="n">
        <v>0</v>
      </c>
      <c r="M211" t="n">
        <v>0</v>
      </c>
      <c r="N211" t="n">
        <v>0</v>
      </c>
      <c r="O211" t="n">
        <v>0</v>
      </c>
      <c r="P211" t="n">
        <v>0</v>
      </c>
      <c r="Q211" t="n">
        <v>0</v>
      </c>
      <c r="R211" s="2" t="inlineStr"/>
    </row>
    <row r="212" ht="15" customHeight="1">
      <c r="A212" t="inlineStr">
        <is>
          <t>A 5684-2025</t>
        </is>
      </c>
      <c r="B212" s="1" t="n">
        <v>45694</v>
      </c>
      <c r="C212" s="1" t="n">
        <v>46181</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29884-2022</t>
        </is>
      </c>
      <c r="B213" s="1" t="n">
        <v>44756</v>
      </c>
      <c r="C213" s="1" t="n">
        <v>46181</v>
      </c>
      <c r="D213" t="inlineStr">
        <is>
          <t>ÖREBRO LÄN</t>
        </is>
      </c>
      <c r="E213" t="inlineStr">
        <is>
          <t>HÄLLEFORS</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46181</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46181</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46181</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46181</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53341-2025</t>
        </is>
      </c>
      <c r="B218" s="1" t="n">
        <v>45959.41048611111</v>
      </c>
      <c r="C218" s="1" t="n">
        <v>46181</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53335-2025</t>
        </is>
      </c>
      <c r="B219" s="1" t="n">
        <v>45959.38943287037</v>
      </c>
      <c r="C219" s="1" t="n">
        <v>46181</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53331-2025</t>
        </is>
      </c>
      <c r="B220" s="1" t="n">
        <v>45959.37532407408</v>
      </c>
      <c r="C220" s="1" t="n">
        <v>46181</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46181</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20170-2023</t>
        </is>
      </c>
      <c r="B222" s="1" t="n">
        <v>45055</v>
      </c>
      <c r="C222" s="1" t="n">
        <v>46181</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36276-2024</t>
        </is>
      </c>
      <c r="B223" s="1" t="n">
        <v>45534.58140046296</v>
      </c>
      <c r="C223" s="1" t="n">
        <v>46181</v>
      </c>
      <c r="D223" t="inlineStr">
        <is>
          <t>ÖREBRO LÄN</t>
        </is>
      </c>
      <c r="E223" t="inlineStr">
        <is>
          <t>HÄLLEFORS</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6761-2025</t>
        </is>
      </c>
      <c r="B224" s="1" t="n">
        <v>45700.62762731482</v>
      </c>
      <c r="C224" s="1" t="n">
        <v>46181</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34898-2021</t>
        </is>
      </c>
      <c r="B225" s="1" t="n">
        <v>44383</v>
      </c>
      <c r="C225" s="1" t="n">
        <v>46181</v>
      </c>
      <c r="D225" t="inlineStr">
        <is>
          <t>ÖREBRO LÄN</t>
        </is>
      </c>
      <c r="E225" t="inlineStr">
        <is>
          <t>HÄLLEFORS</t>
        </is>
      </c>
      <c r="G225" t="n">
        <v>0.9</v>
      </c>
      <c r="H225" t="n">
        <v>0</v>
      </c>
      <c r="I225" t="n">
        <v>0</v>
      </c>
      <c r="J225" t="n">
        <v>0</v>
      </c>
      <c r="K225" t="n">
        <v>0</v>
      </c>
      <c r="L225" t="n">
        <v>0</v>
      </c>
      <c r="M225" t="n">
        <v>0</v>
      </c>
      <c r="N225" t="n">
        <v>0</v>
      </c>
      <c r="O225" t="n">
        <v>0</v>
      </c>
      <c r="P225" t="n">
        <v>0</v>
      </c>
      <c r="Q225" t="n">
        <v>0</v>
      </c>
      <c r="R225" s="2" t="inlineStr"/>
    </row>
    <row r="226" ht="15" customHeight="1">
      <c r="A226" t="inlineStr">
        <is>
          <t>A 11178-2026</t>
        </is>
      </c>
      <c r="B226" s="1" t="n">
        <v>46080.39054398148</v>
      </c>
      <c r="C226" s="1" t="n">
        <v>46181</v>
      </c>
      <c r="D226" t="inlineStr">
        <is>
          <t>ÖREBRO LÄN</t>
        </is>
      </c>
      <c r="E226" t="inlineStr">
        <is>
          <t>HÄLLEFORS</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55183-2025</t>
        </is>
      </c>
      <c r="B227" s="1" t="n">
        <v>45968.533125</v>
      </c>
      <c r="C227" s="1" t="n">
        <v>46181</v>
      </c>
      <c r="D227" t="inlineStr">
        <is>
          <t>ÖREBRO LÄN</t>
        </is>
      </c>
      <c r="E227" t="inlineStr">
        <is>
          <t>HÄLLEFORS</t>
        </is>
      </c>
      <c r="G227" t="n">
        <v>0.7</v>
      </c>
      <c r="H227" t="n">
        <v>0</v>
      </c>
      <c r="I227" t="n">
        <v>0</v>
      </c>
      <c r="J227" t="n">
        <v>0</v>
      </c>
      <c r="K227" t="n">
        <v>0</v>
      </c>
      <c r="L227" t="n">
        <v>0</v>
      </c>
      <c r="M227" t="n">
        <v>0</v>
      </c>
      <c r="N227" t="n">
        <v>0</v>
      </c>
      <c r="O227" t="n">
        <v>0</v>
      </c>
      <c r="P227" t="n">
        <v>0</v>
      </c>
      <c r="Q227" t="n">
        <v>0</v>
      </c>
      <c r="R227" s="2" t="inlineStr"/>
    </row>
    <row r="228" ht="15" customHeight="1">
      <c r="A228" t="inlineStr">
        <is>
          <t>A 39327-2022</t>
        </is>
      </c>
      <c r="B228" s="1" t="n">
        <v>44817</v>
      </c>
      <c r="C228" s="1" t="n">
        <v>46181</v>
      </c>
      <c r="D228" t="inlineStr">
        <is>
          <t>ÖREBRO LÄN</t>
        </is>
      </c>
      <c r="E228" t="inlineStr">
        <is>
          <t>HÄLLEFORS</t>
        </is>
      </c>
      <c r="F228" t="inlineStr">
        <is>
          <t>Bergvik skog väst AB</t>
        </is>
      </c>
      <c r="G228" t="n">
        <v>1.2</v>
      </c>
      <c r="H228" t="n">
        <v>0</v>
      </c>
      <c r="I228" t="n">
        <v>0</v>
      </c>
      <c r="J228" t="n">
        <v>0</v>
      </c>
      <c r="K228" t="n">
        <v>0</v>
      </c>
      <c r="L228" t="n">
        <v>0</v>
      </c>
      <c r="M228" t="n">
        <v>0</v>
      </c>
      <c r="N228" t="n">
        <v>0</v>
      </c>
      <c r="O228" t="n">
        <v>0</v>
      </c>
      <c r="P228" t="n">
        <v>0</v>
      </c>
      <c r="Q228" t="n">
        <v>0</v>
      </c>
      <c r="R228" s="2" t="inlineStr"/>
    </row>
    <row r="229" ht="15" customHeight="1">
      <c r="A229" t="inlineStr">
        <is>
          <t>A 41822-2023</t>
        </is>
      </c>
      <c r="B229" s="1" t="n">
        <v>45176.56863425926</v>
      </c>
      <c r="C229" s="1" t="n">
        <v>46181</v>
      </c>
      <c r="D229" t="inlineStr">
        <is>
          <t>ÖREBRO LÄN</t>
        </is>
      </c>
      <c r="E229" t="inlineStr">
        <is>
          <t>HÄLLEFORS</t>
        </is>
      </c>
      <c r="F229" t="inlineStr">
        <is>
          <t>Bergvik skog väst AB</t>
        </is>
      </c>
      <c r="G229" t="n">
        <v>5.6</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46181</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17810-2025</t>
        </is>
      </c>
      <c r="B231" s="1" t="n">
        <v>45758.55883101852</v>
      </c>
      <c r="C231" s="1" t="n">
        <v>46181</v>
      </c>
      <c r="D231" t="inlineStr">
        <is>
          <t>ÖREBRO LÄN</t>
        </is>
      </c>
      <c r="E231" t="inlineStr">
        <is>
          <t>HÄLLEFORS</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17811-2025</t>
        </is>
      </c>
      <c r="B232" s="1" t="n">
        <v>45758.5594212963</v>
      </c>
      <c r="C232" s="1" t="n">
        <v>46181</v>
      </c>
      <c r="D232" t="inlineStr">
        <is>
          <t>ÖREBRO LÄN</t>
        </is>
      </c>
      <c r="E232" t="inlineStr">
        <is>
          <t>HÄLLEFORS</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12673-2026</t>
        </is>
      </c>
      <c r="B233" s="1" t="n">
        <v>46090.30780092593</v>
      </c>
      <c r="C233" s="1" t="n">
        <v>46181</v>
      </c>
      <c r="D233" t="inlineStr">
        <is>
          <t>ÖREBRO LÄN</t>
        </is>
      </c>
      <c r="E233" t="inlineStr">
        <is>
          <t>HÄLLEFORS</t>
        </is>
      </c>
      <c r="G233" t="n">
        <v>13.1</v>
      </c>
      <c r="H233" t="n">
        <v>0</v>
      </c>
      <c r="I233" t="n">
        <v>0</v>
      </c>
      <c r="J233" t="n">
        <v>0</v>
      </c>
      <c r="K233" t="n">
        <v>0</v>
      </c>
      <c r="L233" t="n">
        <v>0</v>
      </c>
      <c r="M233" t="n">
        <v>0</v>
      </c>
      <c r="N233" t="n">
        <v>0</v>
      </c>
      <c r="O233" t="n">
        <v>0</v>
      </c>
      <c r="P233" t="n">
        <v>0</v>
      </c>
      <c r="Q233" t="n">
        <v>0</v>
      </c>
      <c r="R233" s="2" t="inlineStr"/>
    </row>
    <row r="234" ht="15" customHeight="1">
      <c r="A234" t="inlineStr">
        <is>
          <t>A 23561-2023</t>
        </is>
      </c>
      <c r="B234" s="1" t="n">
        <v>45077.39368055556</v>
      </c>
      <c r="C234" s="1" t="n">
        <v>46181</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67953-2021</t>
        </is>
      </c>
      <c r="B235" s="1" t="n">
        <v>44525.63929398148</v>
      </c>
      <c r="C235" s="1" t="n">
        <v>46181</v>
      </c>
      <c r="D235" t="inlineStr">
        <is>
          <t>ÖREBRO LÄN</t>
        </is>
      </c>
      <c r="E235" t="inlineStr">
        <is>
          <t>HÄLLEFORS</t>
        </is>
      </c>
      <c r="G235" t="n">
        <v>2</v>
      </c>
      <c r="H235" t="n">
        <v>0</v>
      </c>
      <c r="I235" t="n">
        <v>0</v>
      </c>
      <c r="J235" t="n">
        <v>0</v>
      </c>
      <c r="K235" t="n">
        <v>0</v>
      </c>
      <c r="L235" t="n">
        <v>0</v>
      </c>
      <c r="M235" t="n">
        <v>0</v>
      </c>
      <c r="N235" t="n">
        <v>0</v>
      </c>
      <c r="O235" t="n">
        <v>0</v>
      </c>
      <c r="P235" t="n">
        <v>0</v>
      </c>
      <c r="Q235" t="n">
        <v>0</v>
      </c>
      <c r="R235" s="2" t="inlineStr"/>
    </row>
    <row r="236" ht="15" customHeight="1">
      <c r="A236" t="inlineStr">
        <is>
          <t>A 57421-2025</t>
        </is>
      </c>
      <c r="B236" s="1" t="n">
        <v>45980.45798611111</v>
      </c>
      <c r="C236" s="1" t="n">
        <v>46181</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9536-2025</t>
        </is>
      </c>
      <c r="B237" s="1" t="n">
        <v>45715.57746527778</v>
      </c>
      <c r="C237" s="1" t="n">
        <v>46181</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9539-2025</t>
        </is>
      </c>
      <c r="B238" s="1" t="n">
        <v>45715.57984953704</v>
      </c>
      <c r="C238" s="1" t="n">
        <v>46181</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46181</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16135-2025</t>
        </is>
      </c>
      <c r="B240" s="1" t="n">
        <v>45750.44355324074</v>
      </c>
      <c r="C240" s="1" t="n">
        <v>46181</v>
      </c>
      <c r="D240" t="inlineStr">
        <is>
          <t>ÖREBRO LÄN</t>
        </is>
      </c>
      <c r="E240" t="inlineStr">
        <is>
          <t>HÄLLEFORS</t>
        </is>
      </c>
      <c r="F240" t="inlineStr">
        <is>
          <t>Kyrkan</t>
        </is>
      </c>
      <c r="G240" t="n">
        <v>4.6</v>
      </c>
      <c r="H240" t="n">
        <v>0</v>
      </c>
      <c r="I240" t="n">
        <v>0</v>
      </c>
      <c r="J240" t="n">
        <v>0</v>
      </c>
      <c r="K240" t="n">
        <v>0</v>
      </c>
      <c r="L240" t="n">
        <v>0</v>
      </c>
      <c r="M240" t="n">
        <v>0</v>
      </c>
      <c r="N240" t="n">
        <v>0</v>
      </c>
      <c r="O240" t="n">
        <v>0</v>
      </c>
      <c r="P240" t="n">
        <v>0</v>
      </c>
      <c r="Q240" t="n">
        <v>0</v>
      </c>
      <c r="R240" s="2" t="inlineStr"/>
    </row>
    <row r="241" ht="15" customHeight="1">
      <c r="A241" t="inlineStr">
        <is>
          <t>A 24359-2023</t>
        </is>
      </c>
      <c r="B241" s="1" t="n">
        <v>45082</v>
      </c>
      <c r="C241" s="1" t="n">
        <v>46181</v>
      </c>
      <c r="D241" t="inlineStr">
        <is>
          <t>ÖREBRO LÄN</t>
        </is>
      </c>
      <c r="E241" t="inlineStr">
        <is>
          <t>HÄLLEFORS</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58934-2025</t>
        </is>
      </c>
      <c r="B242" s="1" t="n">
        <v>45987.56333333333</v>
      </c>
      <c r="C242" s="1" t="n">
        <v>46181</v>
      </c>
      <c r="D242" t="inlineStr">
        <is>
          <t>ÖREBRO LÄN</t>
        </is>
      </c>
      <c r="E242" t="inlineStr">
        <is>
          <t>HÄLLEFORS</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58949-2025</t>
        </is>
      </c>
      <c r="B243" s="1" t="n">
        <v>45987.58652777778</v>
      </c>
      <c r="C243" s="1" t="n">
        <v>46181</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46181</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18605-2025</t>
        </is>
      </c>
      <c r="B245" s="1" t="n">
        <v>45763.49344907407</v>
      </c>
      <c r="C245" s="1" t="n">
        <v>46181</v>
      </c>
      <c r="D245" t="inlineStr">
        <is>
          <t>ÖREBRO LÄN</t>
        </is>
      </c>
      <c r="E245" t="inlineStr">
        <is>
          <t>HÄLLEFORS</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46181</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46181</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46181</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46181</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20699-2026</t>
        </is>
      </c>
      <c r="B250" s="1" t="n">
        <v>46141.47086805556</v>
      </c>
      <c r="C250" s="1" t="n">
        <v>46181</v>
      </c>
      <c r="D250" t="inlineStr">
        <is>
          <t>ÖREBRO LÄN</t>
        </is>
      </c>
      <c r="E250" t="inlineStr">
        <is>
          <t>HÄLLEFORS</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34478-2022</t>
        </is>
      </c>
      <c r="B251" s="1" t="n">
        <v>44792.64494212963</v>
      </c>
      <c r="C251" s="1" t="n">
        <v>46181</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38908-2021</t>
        </is>
      </c>
      <c r="B252" s="1" t="n">
        <v>44411</v>
      </c>
      <c r="C252" s="1" t="n">
        <v>46181</v>
      </c>
      <c r="D252" t="inlineStr">
        <is>
          <t>ÖREBRO LÄN</t>
        </is>
      </c>
      <c r="E252" t="inlineStr">
        <is>
          <t>HÄLLEFORS</t>
        </is>
      </c>
      <c r="G252" t="n">
        <v>3.9</v>
      </c>
      <c r="H252" t="n">
        <v>0</v>
      </c>
      <c r="I252" t="n">
        <v>0</v>
      </c>
      <c r="J252" t="n">
        <v>0</v>
      </c>
      <c r="K252" t="n">
        <v>0</v>
      </c>
      <c r="L252" t="n">
        <v>0</v>
      </c>
      <c r="M252" t="n">
        <v>0</v>
      </c>
      <c r="N252" t="n">
        <v>0</v>
      </c>
      <c r="O252" t="n">
        <v>0</v>
      </c>
      <c r="P252" t="n">
        <v>0</v>
      </c>
      <c r="Q252" t="n">
        <v>0</v>
      </c>
      <c r="R252" s="2" t="inlineStr"/>
    </row>
    <row r="253" ht="15" customHeight="1">
      <c r="A253" t="inlineStr">
        <is>
          <t>A 20698-2026</t>
        </is>
      </c>
      <c r="B253" s="1" t="n">
        <v>46141.47019675926</v>
      </c>
      <c r="C253" s="1" t="n">
        <v>46181</v>
      </c>
      <c r="D253" t="inlineStr">
        <is>
          <t>ÖREBRO LÄN</t>
        </is>
      </c>
      <c r="E253" t="inlineStr">
        <is>
          <t>HÄLLEFORS</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61084-2025</t>
        </is>
      </c>
      <c r="B254" s="1" t="n">
        <v>46000.41092592593</v>
      </c>
      <c r="C254" s="1" t="n">
        <v>46181</v>
      </c>
      <c r="D254" t="inlineStr">
        <is>
          <t>ÖREBRO LÄN</t>
        </is>
      </c>
      <c r="E254" t="inlineStr">
        <is>
          <t>HÄLLEFORS</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51088-2022</t>
        </is>
      </c>
      <c r="B255" s="1" t="n">
        <v>44868.3935300926</v>
      </c>
      <c r="C255" s="1" t="n">
        <v>46181</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61082-2025</t>
        </is>
      </c>
      <c r="B256" s="1" t="n">
        <v>46000.40797453704</v>
      </c>
      <c r="C256" s="1" t="n">
        <v>46181</v>
      </c>
      <c r="D256" t="inlineStr">
        <is>
          <t>ÖREBRO LÄN</t>
        </is>
      </c>
      <c r="E256" t="inlineStr">
        <is>
          <t>HÄLLEFORS</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9906-2024</t>
        </is>
      </c>
      <c r="B257" s="1" t="n">
        <v>45363.53322916666</v>
      </c>
      <c r="C257" s="1" t="n">
        <v>46181</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44905-2021</t>
        </is>
      </c>
      <c r="B258" s="1" t="n">
        <v>44438.65045138889</v>
      </c>
      <c r="C258" s="1" t="n">
        <v>46181</v>
      </c>
      <c r="D258" t="inlineStr">
        <is>
          <t>ÖREBRO LÄN</t>
        </is>
      </c>
      <c r="E258" t="inlineStr">
        <is>
          <t>HÄLLEFORS</t>
        </is>
      </c>
      <c r="F258" t="inlineStr">
        <is>
          <t>Sveaskog</t>
        </is>
      </c>
      <c r="G258" t="n">
        <v>5.3</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46181</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61164-2025</t>
        </is>
      </c>
      <c r="B260" s="1" t="n">
        <v>46000.56178240741</v>
      </c>
      <c r="C260" s="1" t="n">
        <v>46181</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17764-2023</t>
        </is>
      </c>
      <c r="B261" s="1" t="n">
        <v>45037.50085648148</v>
      </c>
      <c r="C261" s="1" t="n">
        <v>46181</v>
      </c>
      <c r="D261" t="inlineStr">
        <is>
          <t>ÖREBRO LÄN</t>
        </is>
      </c>
      <c r="E261" t="inlineStr">
        <is>
          <t>HÄLLEFORS</t>
        </is>
      </c>
      <c r="F261" t="inlineStr">
        <is>
          <t>Bergvik skog väst AB</t>
        </is>
      </c>
      <c r="G261" t="n">
        <v>2</v>
      </c>
      <c r="H261" t="n">
        <v>0</v>
      </c>
      <c r="I261" t="n">
        <v>0</v>
      </c>
      <c r="J261" t="n">
        <v>0</v>
      </c>
      <c r="K261" t="n">
        <v>0</v>
      </c>
      <c r="L261" t="n">
        <v>0</v>
      </c>
      <c r="M261" t="n">
        <v>0</v>
      </c>
      <c r="N261" t="n">
        <v>0</v>
      </c>
      <c r="O261" t="n">
        <v>0</v>
      </c>
      <c r="P261" t="n">
        <v>0</v>
      </c>
      <c r="Q261" t="n">
        <v>0</v>
      </c>
      <c r="R261" s="2" t="inlineStr"/>
    </row>
    <row r="262" ht="15" customHeight="1">
      <c r="A262" t="inlineStr">
        <is>
          <t>A 17333-2025</t>
        </is>
      </c>
      <c r="B262" s="1" t="n">
        <v>45756</v>
      </c>
      <c r="C262" s="1" t="n">
        <v>46181</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60852-2025</t>
        </is>
      </c>
      <c r="B263" s="1" t="n">
        <v>45999.50795138889</v>
      </c>
      <c r="C263" s="1" t="n">
        <v>46181</v>
      </c>
      <c r="D263" t="inlineStr">
        <is>
          <t>ÖREBRO LÄN</t>
        </is>
      </c>
      <c r="E263" t="inlineStr">
        <is>
          <t>HÄLLEFORS</t>
        </is>
      </c>
      <c r="F263" t="inlineStr">
        <is>
          <t>Bergvik skog väst AB</t>
        </is>
      </c>
      <c r="G263" t="n">
        <v>4</v>
      </c>
      <c r="H263" t="n">
        <v>0</v>
      </c>
      <c r="I263" t="n">
        <v>0</v>
      </c>
      <c r="J263" t="n">
        <v>0</v>
      </c>
      <c r="K263" t="n">
        <v>0</v>
      </c>
      <c r="L263" t="n">
        <v>0</v>
      </c>
      <c r="M263" t="n">
        <v>0</v>
      </c>
      <c r="N263" t="n">
        <v>0</v>
      </c>
      <c r="O263" t="n">
        <v>0</v>
      </c>
      <c r="P263" t="n">
        <v>0</v>
      </c>
      <c r="Q263" t="n">
        <v>0</v>
      </c>
      <c r="R263" s="2" t="inlineStr"/>
    </row>
    <row r="264" ht="15" customHeight="1">
      <c r="A264" t="inlineStr">
        <is>
          <t>A 17661-2025</t>
        </is>
      </c>
      <c r="B264" s="1" t="n">
        <v>45758.35846064815</v>
      </c>
      <c r="C264" s="1" t="n">
        <v>46181</v>
      </c>
      <c r="D264" t="inlineStr">
        <is>
          <t>ÖREBRO LÄN</t>
        </is>
      </c>
      <c r="E264" t="inlineStr">
        <is>
          <t>HÄLLEFORS</t>
        </is>
      </c>
      <c r="G264" t="n">
        <v>2.1</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46181</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14343-2026</t>
        </is>
      </c>
      <c r="B266" s="1" t="n">
        <v>46100.33061342593</v>
      </c>
      <c r="C266" s="1" t="n">
        <v>46181</v>
      </c>
      <c r="D266" t="inlineStr">
        <is>
          <t>ÖREBRO LÄN</t>
        </is>
      </c>
      <c r="E266" t="inlineStr">
        <is>
          <t>HÄLLEFORS</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71766-2021</t>
        </is>
      </c>
      <c r="B267" s="1" t="n">
        <v>44543</v>
      </c>
      <c r="C267" s="1" t="n">
        <v>46181</v>
      </c>
      <c r="D267" t="inlineStr">
        <is>
          <t>ÖREBRO LÄN</t>
        </is>
      </c>
      <c r="E267" t="inlineStr">
        <is>
          <t>HÄLLEFORS</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23037-2024</t>
        </is>
      </c>
      <c r="B268" s="1" t="n">
        <v>45450.3955787037</v>
      </c>
      <c r="C268" s="1" t="n">
        <v>46181</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59485-2022</t>
        </is>
      </c>
      <c r="B269" s="1" t="n">
        <v>44907</v>
      </c>
      <c r="C269" s="1" t="n">
        <v>46181</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46181</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62262-2025</t>
        </is>
      </c>
      <c r="B271" s="1" t="n">
        <v>46006.61628472222</v>
      </c>
      <c r="C271" s="1" t="n">
        <v>46181</v>
      </c>
      <c r="D271" t="inlineStr">
        <is>
          <t>ÖREBRO LÄN</t>
        </is>
      </c>
      <c r="E271" t="inlineStr">
        <is>
          <t>HÄLLEFORS</t>
        </is>
      </c>
      <c r="G271" t="n">
        <v>13.4</v>
      </c>
      <c r="H271" t="n">
        <v>0</v>
      </c>
      <c r="I271" t="n">
        <v>0</v>
      </c>
      <c r="J271" t="n">
        <v>0</v>
      </c>
      <c r="K271" t="n">
        <v>0</v>
      </c>
      <c r="L271" t="n">
        <v>0</v>
      </c>
      <c r="M271" t="n">
        <v>0</v>
      </c>
      <c r="N271" t="n">
        <v>0</v>
      </c>
      <c r="O271" t="n">
        <v>0</v>
      </c>
      <c r="P271" t="n">
        <v>0</v>
      </c>
      <c r="Q271" t="n">
        <v>0</v>
      </c>
      <c r="R271" s="2" t="inlineStr"/>
    </row>
    <row r="272" ht="15" customHeight="1">
      <c r="A272" t="inlineStr">
        <is>
          <t>A 20995-2026</t>
        </is>
      </c>
      <c r="B272" s="1" t="n">
        <v>46142.61971064815</v>
      </c>
      <c r="C272" s="1" t="n">
        <v>46181</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62857-2025</t>
        </is>
      </c>
      <c r="B273" s="1" t="n">
        <v>46008.74070601852</v>
      </c>
      <c r="C273" s="1" t="n">
        <v>46181</v>
      </c>
      <c r="D273" t="inlineStr">
        <is>
          <t>ÖREBRO LÄN</t>
        </is>
      </c>
      <c r="E273" t="inlineStr">
        <is>
          <t>HÄLLEFORS</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62841-2025</t>
        </is>
      </c>
      <c r="B274" s="1" t="n">
        <v>46008.69076388889</v>
      </c>
      <c r="C274" s="1" t="n">
        <v>46181</v>
      </c>
      <c r="D274" t="inlineStr">
        <is>
          <t>ÖREBRO LÄN</t>
        </is>
      </c>
      <c r="E274" t="inlineStr">
        <is>
          <t>HÄLLEFORS</t>
        </is>
      </c>
      <c r="G274" t="n">
        <v>1.5</v>
      </c>
      <c r="H274" t="n">
        <v>0</v>
      </c>
      <c r="I274" t="n">
        <v>0</v>
      </c>
      <c r="J274" t="n">
        <v>0</v>
      </c>
      <c r="K274" t="n">
        <v>0</v>
      </c>
      <c r="L274" t="n">
        <v>0</v>
      </c>
      <c r="M274" t="n">
        <v>0</v>
      </c>
      <c r="N274" t="n">
        <v>0</v>
      </c>
      <c r="O274" t="n">
        <v>0</v>
      </c>
      <c r="P274" t="n">
        <v>0</v>
      </c>
      <c r="Q274" t="n">
        <v>0</v>
      </c>
      <c r="R274" s="2" t="inlineStr"/>
    </row>
    <row r="275" ht="15" customHeight="1">
      <c r="A275" t="inlineStr">
        <is>
          <t>A 62848-2025</t>
        </is>
      </c>
      <c r="B275" s="1" t="n">
        <v>46008.6987037037</v>
      </c>
      <c r="C275" s="1" t="n">
        <v>46181</v>
      </c>
      <c r="D275" t="inlineStr">
        <is>
          <t>ÖREBRO LÄN</t>
        </is>
      </c>
      <c r="E275" t="inlineStr">
        <is>
          <t>HÄLLEFORS</t>
        </is>
      </c>
      <c r="G275" t="n">
        <v>0.2</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46181</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62400-2025</t>
        </is>
      </c>
      <c r="B277" s="1" t="n">
        <v>46007.40847222223</v>
      </c>
      <c r="C277" s="1" t="n">
        <v>46181</v>
      </c>
      <c r="D277" t="inlineStr">
        <is>
          <t>ÖREBRO LÄN</t>
        </is>
      </c>
      <c r="E277" t="inlineStr">
        <is>
          <t>HÄLLEFORS</t>
        </is>
      </c>
      <c r="F277" t="inlineStr">
        <is>
          <t>Bergvik skog väst AB</t>
        </is>
      </c>
      <c r="G277" t="n">
        <v>7.3</v>
      </c>
      <c r="H277" t="n">
        <v>0</v>
      </c>
      <c r="I277" t="n">
        <v>0</v>
      </c>
      <c r="J277" t="n">
        <v>0</v>
      </c>
      <c r="K277" t="n">
        <v>0</v>
      </c>
      <c r="L277" t="n">
        <v>0</v>
      </c>
      <c r="M277" t="n">
        <v>0</v>
      </c>
      <c r="N277" t="n">
        <v>0</v>
      </c>
      <c r="O277" t="n">
        <v>0</v>
      </c>
      <c r="P277" t="n">
        <v>0</v>
      </c>
      <c r="Q277" t="n">
        <v>0</v>
      </c>
      <c r="R277" s="2" t="inlineStr"/>
    </row>
    <row r="278" ht="15" customHeight="1">
      <c r="A278" t="inlineStr">
        <is>
          <t>A 55300-2023</t>
        </is>
      </c>
      <c r="B278" s="1" t="n">
        <v>45237.83621527778</v>
      </c>
      <c r="C278" s="1" t="n">
        <v>46181</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15073-2022</t>
        </is>
      </c>
      <c r="B279" s="1" t="n">
        <v>44657</v>
      </c>
      <c r="C279" s="1" t="n">
        <v>46181</v>
      </c>
      <c r="D279" t="inlineStr">
        <is>
          <t>ÖREBRO LÄN</t>
        </is>
      </c>
      <c r="E279" t="inlineStr">
        <is>
          <t>HÄLLEFORS</t>
        </is>
      </c>
      <c r="G279" t="n">
        <v>2.3</v>
      </c>
      <c r="H279" t="n">
        <v>0</v>
      </c>
      <c r="I279" t="n">
        <v>0</v>
      </c>
      <c r="J279" t="n">
        <v>0</v>
      </c>
      <c r="K279" t="n">
        <v>0</v>
      </c>
      <c r="L279" t="n">
        <v>0</v>
      </c>
      <c r="M279" t="n">
        <v>0</v>
      </c>
      <c r="N279" t="n">
        <v>0</v>
      </c>
      <c r="O279" t="n">
        <v>0</v>
      </c>
      <c r="P279" t="n">
        <v>0</v>
      </c>
      <c r="Q279" t="n">
        <v>0</v>
      </c>
      <c r="R279" s="2" t="inlineStr"/>
    </row>
    <row r="280" ht="15" customHeight="1">
      <c r="A280" t="inlineStr">
        <is>
          <t>A 30282-2023</t>
        </is>
      </c>
      <c r="B280" s="1" t="n">
        <v>45110.90550925926</v>
      </c>
      <c r="C280" s="1" t="n">
        <v>46181</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35188-2023</t>
        </is>
      </c>
      <c r="B281" s="1" t="n">
        <v>45145.60365740741</v>
      </c>
      <c r="C281" s="1" t="n">
        <v>46181</v>
      </c>
      <c r="D281" t="inlineStr">
        <is>
          <t>ÖREBRO LÄN</t>
        </is>
      </c>
      <c r="E281" t="inlineStr">
        <is>
          <t>HÄLLEFORS</t>
        </is>
      </c>
      <c r="F281" t="inlineStr">
        <is>
          <t>Bergvik skog väst AB</t>
        </is>
      </c>
      <c r="G281" t="n">
        <v>12.9</v>
      </c>
      <c r="H281" t="n">
        <v>0</v>
      </c>
      <c r="I281" t="n">
        <v>0</v>
      </c>
      <c r="J281" t="n">
        <v>0</v>
      </c>
      <c r="K281" t="n">
        <v>0</v>
      </c>
      <c r="L281" t="n">
        <v>0</v>
      </c>
      <c r="M281" t="n">
        <v>0</v>
      </c>
      <c r="N281" t="n">
        <v>0</v>
      </c>
      <c r="O281" t="n">
        <v>0</v>
      </c>
      <c r="P281" t="n">
        <v>0</v>
      </c>
      <c r="Q281" t="n">
        <v>0</v>
      </c>
      <c r="R281" s="2" t="inlineStr"/>
    </row>
    <row r="282" ht="15" customHeight="1">
      <c r="A282" t="inlineStr">
        <is>
          <t>A 63614-2025</t>
        </is>
      </c>
      <c r="B282" s="1" t="n">
        <v>46014.34587962963</v>
      </c>
      <c r="C282" s="1" t="n">
        <v>46181</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46181</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21760-2026</t>
        </is>
      </c>
      <c r="B284" s="1" t="n">
        <v>46149.72012731482</v>
      </c>
      <c r="C284" s="1" t="n">
        <v>46181</v>
      </c>
      <c r="D284" t="inlineStr">
        <is>
          <t>ÖREBRO LÄN</t>
        </is>
      </c>
      <c r="E284" t="inlineStr">
        <is>
          <t>HÄLLEFORS</t>
        </is>
      </c>
      <c r="G284" t="n">
        <v>0.8</v>
      </c>
      <c r="H284" t="n">
        <v>0</v>
      </c>
      <c r="I284" t="n">
        <v>0</v>
      </c>
      <c r="J284" t="n">
        <v>0</v>
      </c>
      <c r="K284" t="n">
        <v>0</v>
      </c>
      <c r="L284" t="n">
        <v>0</v>
      </c>
      <c r="M284" t="n">
        <v>0</v>
      </c>
      <c r="N284" t="n">
        <v>0</v>
      </c>
      <c r="O284" t="n">
        <v>0</v>
      </c>
      <c r="P284" t="n">
        <v>0</v>
      </c>
      <c r="Q284" t="n">
        <v>0</v>
      </c>
      <c r="R284" s="2" t="inlineStr"/>
    </row>
    <row r="285" ht="15" customHeight="1">
      <c r="A285" t="inlineStr">
        <is>
          <t>A 21726-2026</t>
        </is>
      </c>
      <c r="B285" s="1" t="n">
        <v>46149.62165509259</v>
      </c>
      <c r="C285" s="1" t="n">
        <v>46181</v>
      </c>
      <c r="D285" t="inlineStr">
        <is>
          <t>ÖREBRO LÄN</t>
        </is>
      </c>
      <c r="E285" t="inlineStr">
        <is>
          <t>HÄLLEFORS</t>
        </is>
      </c>
      <c r="G285" t="n">
        <v>2</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46181</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32-2026</t>
        </is>
      </c>
      <c r="B287" s="1" t="n">
        <v>46024.36721064815</v>
      </c>
      <c r="C287" s="1" t="n">
        <v>46181</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7774-2022</t>
        </is>
      </c>
      <c r="B288" s="1" t="n">
        <v>44608.45725694444</v>
      </c>
      <c r="C288" s="1" t="n">
        <v>46181</v>
      </c>
      <c r="D288" t="inlineStr">
        <is>
          <t>ÖREBRO LÄN</t>
        </is>
      </c>
      <c r="E288" t="inlineStr">
        <is>
          <t>HÄLLEFORS</t>
        </is>
      </c>
      <c r="G288" t="n">
        <v>0.9</v>
      </c>
      <c r="H288" t="n">
        <v>0</v>
      </c>
      <c r="I288" t="n">
        <v>0</v>
      </c>
      <c r="J288" t="n">
        <v>0</v>
      </c>
      <c r="K288" t="n">
        <v>0</v>
      </c>
      <c r="L288" t="n">
        <v>0</v>
      </c>
      <c r="M288" t="n">
        <v>0</v>
      </c>
      <c r="N288" t="n">
        <v>0</v>
      </c>
      <c r="O288" t="n">
        <v>0</v>
      </c>
      <c r="P288" t="n">
        <v>0</v>
      </c>
      <c r="Q288" t="n">
        <v>0</v>
      </c>
      <c r="R288" s="2" t="inlineStr"/>
    </row>
    <row r="289" ht="15" customHeight="1">
      <c r="A289" t="inlineStr">
        <is>
          <t>A 41193-2023</t>
        </is>
      </c>
      <c r="B289" s="1" t="n">
        <v>45174</v>
      </c>
      <c r="C289" s="1" t="n">
        <v>46181</v>
      </c>
      <c r="D289" t="inlineStr">
        <is>
          <t>ÖREBRO LÄN</t>
        </is>
      </c>
      <c r="E289" t="inlineStr">
        <is>
          <t>HÄLLEFORS</t>
        </is>
      </c>
      <c r="F289" t="inlineStr">
        <is>
          <t>Bergvik skog väst AB</t>
        </is>
      </c>
      <c r="G289" t="n">
        <v>10.9</v>
      </c>
      <c r="H289" t="n">
        <v>0</v>
      </c>
      <c r="I289" t="n">
        <v>0</v>
      </c>
      <c r="J289" t="n">
        <v>0</v>
      </c>
      <c r="K289" t="n">
        <v>0</v>
      </c>
      <c r="L289" t="n">
        <v>0</v>
      </c>
      <c r="M289" t="n">
        <v>0</v>
      </c>
      <c r="N289" t="n">
        <v>0</v>
      </c>
      <c r="O289" t="n">
        <v>0</v>
      </c>
      <c r="P289" t="n">
        <v>0</v>
      </c>
      <c r="Q289" t="n">
        <v>0</v>
      </c>
      <c r="R289" s="2" t="inlineStr"/>
    </row>
    <row r="290" ht="15" customHeight="1">
      <c r="A290" t="inlineStr">
        <is>
          <t>A 39513-2024</t>
        </is>
      </c>
      <c r="B290" s="1" t="n">
        <v>45551</v>
      </c>
      <c r="C290" s="1" t="n">
        <v>46181</v>
      </c>
      <c r="D290" t="inlineStr">
        <is>
          <t>ÖREBRO LÄN</t>
        </is>
      </c>
      <c r="E290" t="inlineStr">
        <is>
          <t>HÄLLEFORS</t>
        </is>
      </c>
      <c r="G290" t="n">
        <v>0.7</v>
      </c>
      <c r="H290" t="n">
        <v>0</v>
      </c>
      <c r="I290" t="n">
        <v>0</v>
      </c>
      <c r="J290" t="n">
        <v>0</v>
      </c>
      <c r="K290" t="n">
        <v>0</v>
      </c>
      <c r="L290" t="n">
        <v>0</v>
      </c>
      <c r="M290" t="n">
        <v>0</v>
      </c>
      <c r="N290" t="n">
        <v>0</v>
      </c>
      <c r="O290" t="n">
        <v>0</v>
      </c>
      <c r="P290" t="n">
        <v>0</v>
      </c>
      <c r="Q290" t="n">
        <v>0</v>
      </c>
      <c r="R290" s="2" t="inlineStr"/>
    </row>
    <row r="291" ht="15" customHeight="1">
      <c r="A291" t="inlineStr">
        <is>
          <t>A 49709-2023</t>
        </is>
      </c>
      <c r="B291" s="1" t="n">
        <v>45212</v>
      </c>
      <c r="C291" s="1" t="n">
        <v>46181</v>
      </c>
      <c r="D291" t="inlineStr">
        <is>
          <t>ÖREBRO LÄN</t>
        </is>
      </c>
      <c r="E291" t="inlineStr">
        <is>
          <t>HÄLLEFORS</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46181</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38429-2023</t>
        </is>
      </c>
      <c r="B293" s="1" t="n">
        <v>45162</v>
      </c>
      <c r="C293" s="1" t="n">
        <v>46181</v>
      </c>
      <c r="D293" t="inlineStr">
        <is>
          <t>ÖREBRO LÄN</t>
        </is>
      </c>
      <c r="E293" t="inlineStr">
        <is>
          <t>HÄLLEFORS</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8513-2022</t>
        </is>
      </c>
      <c r="B294" s="1" t="n">
        <v>44613</v>
      </c>
      <c r="C294" s="1" t="n">
        <v>46181</v>
      </c>
      <c r="D294" t="inlineStr">
        <is>
          <t>ÖREBRO LÄN</t>
        </is>
      </c>
      <c r="E294" t="inlineStr">
        <is>
          <t>HÄLLEFORS</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22004-2026</t>
        </is>
      </c>
      <c r="B295" s="1" t="n">
        <v>46153.37283564815</v>
      </c>
      <c r="C295" s="1" t="n">
        <v>46181</v>
      </c>
      <c r="D295" t="inlineStr">
        <is>
          <t>ÖREBRO LÄN</t>
        </is>
      </c>
      <c r="E295" t="inlineStr">
        <is>
          <t>HÄLLEFORS</t>
        </is>
      </c>
      <c r="F295" t="inlineStr">
        <is>
          <t>Bergvik skog väst AB</t>
        </is>
      </c>
      <c r="G295" t="n">
        <v>3.9</v>
      </c>
      <c r="H295" t="n">
        <v>0</v>
      </c>
      <c r="I295" t="n">
        <v>0</v>
      </c>
      <c r="J295" t="n">
        <v>0</v>
      </c>
      <c r="K295" t="n">
        <v>0</v>
      </c>
      <c r="L295" t="n">
        <v>0</v>
      </c>
      <c r="M295" t="n">
        <v>0</v>
      </c>
      <c r="N295" t="n">
        <v>0</v>
      </c>
      <c r="O295" t="n">
        <v>0</v>
      </c>
      <c r="P295" t="n">
        <v>0</v>
      </c>
      <c r="Q295" t="n">
        <v>0</v>
      </c>
      <c r="R295" s="2" t="inlineStr"/>
    </row>
    <row r="296" ht="15" customHeight="1">
      <c r="A296" t="inlineStr">
        <is>
          <t>A 46599-2024</t>
        </is>
      </c>
      <c r="B296" s="1" t="n">
        <v>45582</v>
      </c>
      <c r="C296" s="1" t="n">
        <v>46181</v>
      </c>
      <c r="D296" t="inlineStr">
        <is>
          <t>ÖREBRO LÄN</t>
        </is>
      </c>
      <c r="E296" t="inlineStr">
        <is>
          <t>HÄLLEFORS</t>
        </is>
      </c>
      <c r="F296" t="inlineStr">
        <is>
          <t>Sveaskog</t>
        </is>
      </c>
      <c r="G296" t="n">
        <v>10.1</v>
      </c>
      <c r="H296" t="n">
        <v>0</v>
      </c>
      <c r="I296" t="n">
        <v>0</v>
      </c>
      <c r="J296" t="n">
        <v>0</v>
      </c>
      <c r="K296" t="n">
        <v>0</v>
      </c>
      <c r="L296" t="n">
        <v>0</v>
      </c>
      <c r="M296" t="n">
        <v>0</v>
      </c>
      <c r="N296" t="n">
        <v>0</v>
      </c>
      <c r="O296" t="n">
        <v>0</v>
      </c>
      <c r="P296" t="n">
        <v>0</v>
      </c>
      <c r="Q296" t="n">
        <v>0</v>
      </c>
      <c r="R296" s="2" t="inlineStr"/>
    </row>
    <row r="297" ht="15" customHeight="1">
      <c r="A297" t="inlineStr">
        <is>
          <t>A 21541-2026</t>
        </is>
      </c>
      <c r="B297" s="1" t="n">
        <v>46148</v>
      </c>
      <c r="C297" s="1" t="n">
        <v>46181</v>
      </c>
      <c r="D297" t="inlineStr">
        <is>
          <t>ÖREBRO LÄN</t>
        </is>
      </c>
      <c r="E297" t="inlineStr">
        <is>
          <t>HÄLLEFORS</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21315-2024</t>
        </is>
      </c>
      <c r="B298" s="1" t="n">
        <v>45440</v>
      </c>
      <c r="C298" s="1" t="n">
        <v>46181</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60312-2024</t>
        </is>
      </c>
      <c r="B299" s="1" t="n">
        <v>45643</v>
      </c>
      <c r="C299" s="1" t="n">
        <v>46181</v>
      </c>
      <c r="D299" t="inlineStr">
        <is>
          <t>ÖREBRO LÄN</t>
        </is>
      </c>
      <c r="E299" t="inlineStr">
        <is>
          <t>HÄLLEFORS</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38402-2023</t>
        </is>
      </c>
      <c r="B300" s="1" t="n">
        <v>45162</v>
      </c>
      <c r="C300" s="1" t="n">
        <v>46181</v>
      </c>
      <c r="D300" t="inlineStr">
        <is>
          <t>ÖREBRO LÄN</t>
        </is>
      </c>
      <c r="E300" t="inlineStr">
        <is>
          <t>HÄLLEFORS</t>
        </is>
      </c>
      <c r="F300" t="inlineStr">
        <is>
          <t>Bergvik skog väst AB</t>
        </is>
      </c>
      <c r="G300" t="n">
        <v>8.5</v>
      </c>
      <c r="H300" t="n">
        <v>0</v>
      </c>
      <c r="I300" t="n">
        <v>0</v>
      </c>
      <c r="J300" t="n">
        <v>0</v>
      </c>
      <c r="K300" t="n">
        <v>0</v>
      </c>
      <c r="L300" t="n">
        <v>0</v>
      </c>
      <c r="M300" t="n">
        <v>0</v>
      </c>
      <c r="N300" t="n">
        <v>0</v>
      </c>
      <c r="O300" t="n">
        <v>0</v>
      </c>
      <c r="P300" t="n">
        <v>0</v>
      </c>
      <c r="Q300" t="n">
        <v>0</v>
      </c>
      <c r="R300" s="2" t="inlineStr"/>
    </row>
    <row r="301" ht="15" customHeight="1">
      <c r="A301" t="inlineStr">
        <is>
          <t>A 8615-2025</t>
        </is>
      </c>
      <c r="B301" s="1" t="n">
        <v>45710.81305555555</v>
      </c>
      <c r="C301" s="1" t="n">
        <v>46181</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18987-2025</t>
        </is>
      </c>
      <c r="B302" s="1" t="n">
        <v>45764.56091435185</v>
      </c>
      <c r="C302" s="1" t="n">
        <v>46181</v>
      </c>
      <c r="D302" t="inlineStr">
        <is>
          <t>ÖREBRO LÄN</t>
        </is>
      </c>
      <c r="E302" t="inlineStr">
        <is>
          <t>HÄLLEFORS</t>
        </is>
      </c>
      <c r="F302" t="inlineStr">
        <is>
          <t>Bergvik skog väst AB</t>
        </is>
      </c>
      <c r="G302" t="n">
        <v>2.8</v>
      </c>
      <c r="H302" t="n">
        <v>0</v>
      </c>
      <c r="I302" t="n">
        <v>0</v>
      </c>
      <c r="J302" t="n">
        <v>0</v>
      </c>
      <c r="K302" t="n">
        <v>0</v>
      </c>
      <c r="L302" t="n">
        <v>0</v>
      </c>
      <c r="M302" t="n">
        <v>0</v>
      </c>
      <c r="N302" t="n">
        <v>0</v>
      </c>
      <c r="O302" t="n">
        <v>0</v>
      </c>
      <c r="P302" t="n">
        <v>0</v>
      </c>
      <c r="Q302" t="n">
        <v>0</v>
      </c>
      <c r="R302" s="2" t="inlineStr"/>
    </row>
    <row r="303" ht="15" customHeight="1">
      <c r="A303" t="inlineStr">
        <is>
          <t>A 18535-2025</t>
        </is>
      </c>
      <c r="B303" s="1" t="n">
        <v>45763</v>
      </c>
      <c r="C303" s="1" t="n">
        <v>46181</v>
      </c>
      <c r="D303" t="inlineStr">
        <is>
          <t>ÖREBRO LÄN</t>
        </is>
      </c>
      <c r="E303" t="inlineStr">
        <is>
          <t>HÄLLEFORS</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59957-2024</t>
        </is>
      </c>
      <c r="B304" s="1" t="n">
        <v>45642.35061342592</v>
      </c>
      <c r="C304" s="1" t="n">
        <v>46181</v>
      </c>
      <c r="D304" t="inlineStr">
        <is>
          <t>ÖREBRO LÄN</t>
        </is>
      </c>
      <c r="E304" t="inlineStr">
        <is>
          <t>HÄLLEFORS</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59959-2024</t>
        </is>
      </c>
      <c r="B305" s="1" t="n">
        <v>45642.35097222222</v>
      </c>
      <c r="C305" s="1" t="n">
        <v>46181</v>
      </c>
      <c r="D305" t="inlineStr">
        <is>
          <t>ÖREBRO LÄN</t>
        </is>
      </c>
      <c r="E305" t="inlineStr">
        <is>
          <t>HÄLLEFORS</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8503-2022</t>
        </is>
      </c>
      <c r="B306" s="1" t="n">
        <v>44613</v>
      </c>
      <c r="C306" s="1" t="n">
        <v>46181</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17072-2025</t>
        </is>
      </c>
      <c r="B307" s="1" t="n">
        <v>45755.61793981482</v>
      </c>
      <c r="C307" s="1" t="n">
        <v>46181</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55745-2024</t>
        </is>
      </c>
      <c r="B308" s="1" t="n">
        <v>45623.3168287037</v>
      </c>
      <c r="C308" s="1" t="n">
        <v>46181</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33617-2022</t>
        </is>
      </c>
      <c r="B309" s="1" t="n">
        <v>44782</v>
      </c>
      <c r="C309" s="1" t="n">
        <v>46181</v>
      </c>
      <c r="D309" t="inlineStr">
        <is>
          <t>ÖREBRO LÄN</t>
        </is>
      </c>
      <c r="E309" t="inlineStr">
        <is>
          <t>HÄLLEFORS</t>
        </is>
      </c>
      <c r="G309" t="n">
        <v>8.6</v>
      </c>
      <c r="H309" t="n">
        <v>0</v>
      </c>
      <c r="I309" t="n">
        <v>0</v>
      </c>
      <c r="J309" t="n">
        <v>0</v>
      </c>
      <c r="K309" t="n">
        <v>0</v>
      </c>
      <c r="L309" t="n">
        <v>0</v>
      </c>
      <c r="M309" t="n">
        <v>0</v>
      </c>
      <c r="N309" t="n">
        <v>0</v>
      </c>
      <c r="O309" t="n">
        <v>0</v>
      </c>
      <c r="P309" t="n">
        <v>0</v>
      </c>
      <c r="Q309" t="n">
        <v>0</v>
      </c>
      <c r="R309" s="2" t="inlineStr"/>
    </row>
    <row r="310" ht="15" customHeight="1">
      <c r="A310" t="inlineStr">
        <is>
          <t>A 1019-2025</t>
        </is>
      </c>
      <c r="B310" s="1" t="n">
        <v>45666.49216435185</v>
      </c>
      <c r="C310" s="1" t="n">
        <v>46181</v>
      </c>
      <c r="D310" t="inlineStr">
        <is>
          <t>ÖREBRO LÄN</t>
        </is>
      </c>
      <c r="E310" t="inlineStr">
        <is>
          <t>HÄLLEFORS</t>
        </is>
      </c>
      <c r="G310" t="n">
        <v>0.4</v>
      </c>
      <c r="H310" t="n">
        <v>0</v>
      </c>
      <c r="I310" t="n">
        <v>0</v>
      </c>
      <c r="J310" t="n">
        <v>0</v>
      </c>
      <c r="K310" t="n">
        <v>0</v>
      </c>
      <c r="L310" t="n">
        <v>0</v>
      </c>
      <c r="M310" t="n">
        <v>0</v>
      </c>
      <c r="N310" t="n">
        <v>0</v>
      </c>
      <c r="O310" t="n">
        <v>0</v>
      </c>
      <c r="P310" t="n">
        <v>0</v>
      </c>
      <c r="Q310" t="n">
        <v>0</v>
      </c>
      <c r="R310" s="2" t="inlineStr"/>
    </row>
    <row r="311" ht="15" customHeight="1">
      <c r="A311" t="inlineStr">
        <is>
          <t>A 20128-2024</t>
        </is>
      </c>
      <c r="B311" s="1" t="n">
        <v>45434.5571412037</v>
      </c>
      <c r="C311" s="1" t="n">
        <v>46181</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45710-2023</t>
        </is>
      </c>
      <c r="B312" s="1" t="n">
        <v>45195.35254629629</v>
      </c>
      <c r="C312" s="1" t="n">
        <v>46181</v>
      </c>
      <c r="D312" t="inlineStr">
        <is>
          <t>ÖREBRO LÄN</t>
        </is>
      </c>
      <c r="E312" t="inlineStr">
        <is>
          <t>HÄLLEFORS</t>
        </is>
      </c>
      <c r="G312" t="n">
        <v>5.4</v>
      </c>
      <c r="H312" t="n">
        <v>0</v>
      </c>
      <c r="I312" t="n">
        <v>0</v>
      </c>
      <c r="J312" t="n">
        <v>0</v>
      </c>
      <c r="K312" t="n">
        <v>0</v>
      </c>
      <c r="L312" t="n">
        <v>0</v>
      </c>
      <c r="M312" t="n">
        <v>0</v>
      </c>
      <c r="N312" t="n">
        <v>0</v>
      </c>
      <c r="O312" t="n">
        <v>0</v>
      </c>
      <c r="P312" t="n">
        <v>0</v>
      </c>
      <c r="Q312" t="n">
        <v>0</v>
      </c>
      <c r="R312" s="2" t="inlineStr"/>
    </row>
    <row r="313" ht="15" customHeight="1">
      <c r="A313" t="inlineStr">
        <is>
          <t>A 59955-2024</t>
        </is>
      </c>
      <c r="B313" s="1" t="n">
        <v>45642.34987268518</v>
      </c>
      <c r="C313" s="1" t="n">
        <v>46181</v>
      </c>
      <c r="D313" t="inlineStr">
        <is>
          <t>ÖREBRO LÄN</t>
        </is>
      </c>
      <c r="E313" t="inlineStr">
        <is>
          <t>HÄLLEFORS</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44088-2024</t>
        </is>
      </c>
      <c r="B314" s="1" t="n">
        <v>45572.61984953703</v>
      </c>
      <c r="C314" s="1" t="n">
        <v>46181</v>
      </c>
      <c r="D314" t="inlineStr">
        <is>
          <t>ÖREBRO LÄN</t>
        </is>
      </c>
      <c r="E314" t="inlineStr">
        <is>
          <t>HÄLLEFORS</t>
        </is>
      </c>
      <c r="G314" t="n">
        <v>4</v>
      </c>
      <c r="H314" t="n">
        <v>0</v>
      </c>
      <c r="I314" t="n">
        <v>0</v>
      </c>
      <c r="J314" t="n">
        <v>0</v>
      </c>
      <c r="K314" t="n">
        <v>0</v>
      </c>
      <c r="L314" t="n">
        <v>0</v>
      </c>
      <c r="M314" t="n">
        <v>0</v>
      </c>
      <c r="N314" t="n">
        <v>0</v>
      </c>
      <c r="O314" t="n">
        <v>0</v>
      </c>
      <c r="P314" t="n">
        <v>0</v>
      </c>
      <c r="Q314" t="n">
        <v>0</v>
      </c>
      <c r="R314" s="2" t="inlineStr"/>
    </row>
    <row r="315" ht="15" customHeight="1">
      <c r="A315" t="inlineStr">
        <is>
          <t>A 28788-2022</t>
        </is>
      </c>
      <c r="B315" s="1" t="n">
        <v>44749.39806712963</v>
      </c>
      <c r="C315" s="1" t="n">
        <v>46181</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60303-2024</t>
        </is>
      </c>
      <c r="B316" s="1" t="n">
        <v>45643</v>
      </c>
      <c r="C316" s="1" t="n">
        <v>46181</v>
      </c>
      <c r="D316" t="inlineStr">
        <is>
          <t>ÖREBRO LÄN</t>
        </is>
      </c>
      <c r="E316" t="inlineStr">
        <is>
          <t>HÄLLEFORS</t>
        </is>
      </c>
      <c r="F316" t="inlineStr">
        <is>
          <t>Bergvik skog väst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46181</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39869-2023</t>
        </is>
      </c>
      <c r="B318" s="1" t="n">
        <v>45168</v>
      </c>
      <c r="C318" s="1" t="n">
        <v>46181</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55756-2023</t>
        </is>
      </c>
      <c r="B319" s="1" t="n">
        <v>45239</v>
      </c>
      <c r="C319" s="1" t="n">
        <v>46181</v>
      </c>
      <c r="D319" t="inlineStr">
        <is>
          <t>ÖREBRO LÄN</t>
        </is>
      </c>
      <c r="E319" t="inlineStr">
        <is>
          <t>HÄLLEFORS</t>
        </is>
      </c>
      <c r="G319" t="n">
        <v>1.6</v>
      </c>
      <c r="H319" t="n">
        <v>0</v>
      </c>
      <c r="I319" t="n">
        <v>0</v>
      </c>
      <c r="J319" t="n">
        <v>0</v>
      </c>
      <c r="K319" t="n">
        <v>0</v>
      </c>
      <c r="L319" t="n">
        <v>0</v>
      </c>
      <c r="M319" t="n">
        <v>0</v>
      </c>
      <c r="N319" t="n">
        <v>0</v>
      </c>
      <c r="O319" t="n">
        <v>0</v>
      </c>
      <c r="P319" t="n">
        <v>0</v>
      </c>
      <c r="Q319" t="n">
        <v>0</v>
      </c>
      <c r="R319" s="2" t="inlineStr"/>
    </row>
    <row r="320" ht="15" customHeight="1">
      <c r="A320" t="inlineStr">
        <is>
          <t>A 18945-2025</t>
        </is>
      </c>
      <c r="B320" s="1" t="n">
        <v>45764.50498842593</v>
      </c>
      <c r="C320" s="1" t="n">
        <v>46181</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17338-2025</t>
        </is>
      </c>
      <c r="B321" s="1" t="n">
        <v>45756</v>
      </c>
      <c r="C321" s="1" t="n">
        <v>46181</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49215-2022</t>
        </is>
      </c>
      <c r="B322" s="1" t="n">
        <v>44861</v>
      </c>
      <c r="C322" s="1" t="n">
        <v>46181</v>
      </c>
      <c r="D322" t="inlineStr">
        <is>
          <t>ÖREBRO LÄN</t>
        </is>
      </c>
      <c r="E322" t="inlineStr">
        <is>
          <t>HÄLLEFORS</t>
        </is>
      </c>
      <c r="F322" t="inlineStr">
        <is>
          <t>Bergvik skog väst AB</t>
        </is>
      </c>
      <c r="G322" t="n">
        <v>9</v>
      </c>
      <c r="H322" t="n">
        <v>0</v>
      </c>
      <c r="I322" t="n">
        <v>0</v>
      </c>
      <c r="J322" t="n">
        <v>0</v>
      </c>
      <c r="K322" t="n">
        <v>0</v>
      </c>
      <c r="L322" t="n">
        <v>0</v>
      </c>
      <c r="M322" t="n">
        <v>0</v>
      </c>
      <c r="N322" t="n">
        <v>0</v>
      </c>
      <c r="O322" t="n">
        <v>0</v>
      </c>
      <c r="P322" t="n">
        <v>0</v>
      </c>
      <c r="Q322" t="n">
        <v>0</v>
      </c>
      <c r="R322" s="2" t="inlineStr"/>
    </row>
    <row r="323" ht="15" customHeight="1">
      <c r="A323" t="inlineStr">
        <is>
          <t>A 54843-2023</t>
        </is>
      </c>
      <c r="B323" s="1" t="n">
        <v>45236.58434027778</v>
      </c>
      <c r="C323" s="1" t="n">
        <v>46181</v>
      </c>
      <c r="D323" t="inlineStr">
        <is>
          <t>ÖREBRO LÄN</t>
        </is>
      </c>
      <c r="E323" t="inlineStr">
        <is>
          <t>HÄLLEFORS</t>
        </is>
      </c>
      <c r="G323" t="n">
        <v>1.6</v>
      </c>
      <c r="H323" t="n">
        <v>0</v>
      </c>
      <c r="I323" t="n">
        <v>0</v>
      </c>
      <c r="J323" t="n">
        <v>0</v>
      </c>
      <c r="K323" t="n">
        <v>0</v>
      </c>
      <c r="L323" t="n">
        <v>0</v>
      </c>
      <c r="M323" t="n">
        <v>0</v>
      </c>
      <c r="N323" t="n">
        <v>0</v>
      </c>
      <c r="O323" t="n">
        <v>0</v>
      </c>
      <c r="P323" t="n">
        <v>0</v>
      </c>
      <c r="Q323" t="n">
        <v>0</v>
      </c>
      <c r="R323" s="2" t="inlineStr"/>
    </row>
    <row r="324" ht="15" customHeight="1">
      <c r="A324" t="inlineStr">
        <is>
          <t>A 29662-2022</t>
        </is>
      </c>
      <c r="B324" s="1" t="n">
        <v>44754</v>
      </c>
      <c r="C324" s="1" t="n">
        <v>46181</v>
      </c>
      <c r="D324" t="inlineStr">
        <is>
          <t>ÖREBRO LÄN</t>
        </is>
      </c>
      <c r="E324" t="inlineStr">
        <is>
          <t>HÄLLEFORS</t>
        </is>
      </c>
      <c r="F324" t="inlineStr">
        <is>
          <t>Bergvik skog väst AB</t>
        </is>
      </c>
      <c r="G324" t="n">
        <v>1.8</v>
      </c>
      <c r="H324" t="n">
        <v>0</v>
      </c>
      <c r="I324" t="n">
        <v>0</v>
      </c>
      <c r="J324" t="n">
        <v>0</v>
      </c>
      <c r="K324" t="n">
        <v>0</v>
      </c>
      <c r="L324" t="n">
        <v>0</v>
      </c>
      <c r="M324" t="n">
        <v>0</v>
      </c>
      <c r="N324" t="n">
        <v>0</v>
      </c>
      <c r="O324" t="n">
        <v>0</v>
      </c>
      <c r="P324" t="n">
        <v>0</v>
      </c>
      <c r="Q324" t="n">
        <v>0</v>
      </c>
      <c r="R324" s="2" t="inlineStr"/>
    </row>
    <row r="325" ht="15" customHeight="1">
      <c r="A325" t="inlineStr">
        <is>
          <t>A 18979-2025</t>
        </is>
      </c>
      <c r="B325" s="1" t="n">
        <v>45764.55017361111</v>
      </c>
      <c r="C325" s="1" t="n">
        <v>46181</v>
      </c>
      <c r="D325" t="inlineStr">
        <is>
          <t>ÖREBRO LÄN</t>
        </is>
      </c>
      <c r="E325" t="inlineStr">
        <is>
          <t>HÄLLEFORS</t>
        </is>
      </c>
      <c r="G325" t="n">
        <v>0.9</v>
      </c>
      <c r="H325" t="n">
        <v>0</v>
      </c>
      <c r="I325" t="n">
        <v>0</v>
      </c>
      <c r="J325" t="n">
        <v>0</v>
      </c>
      <c r="K325" t="n">
        <v>0</v>
      </c>
      <c r="L325" t="n">
        <v>0</v>
      </c>
      <c r="M325" t="n">
        <v>0</v>
      </c>
      <c r="N325" t="n">
        <v>0</v>
      </c>
      <c r="O325" t="n">
        <v>0</v>
      </c>
      <c r="P325" t="n">
        <v>0</v>
      </c>
      <c r="Q325" t="n">
        <v>0</v>
      </c>
      <c r="R325" s="2" t="inlineStr"/>
    </row>
    <row r="326" ht="15" customHeight="1">
      <c r="A326" t="inlineStr">
        <is>
          <t>A 50754-2023</t>
        </is>
      </c>
      <c r="B326" s="1" t="n">
        <v>45217</v>
      </c>
      <c r="C326" s="1" t="n">
        <v>46181</v>
      </c>
      <c r="D326" t="inlineStr">
        <is>
          <t>ÖREBRO LÄN</t>
        </is>
      </c>
      <c r="E326" t="inlineStr">
        <is>
          <t>HÄLLEFORS</t>
        </is>
      </c>
      <c r="F326" t="inlineStr">
        <is>
          <t>Bergvik skog väst AB</t>
        </is>
      </c>
      <c r="G326" t="n">
        <v>5.8</v>
      </c>
      <c r="H326" t="n">
        <v>0</v>
      </c>
      <c r="I326" t="n">
        <v>0</v>
      </c>
      <c r="J326" t="n">
        <v>0</v>
      </c>
      <c r="K326" t="n">
        <v>0</v>
      </c>
      <c r="L326" t="n">
        <v>0</v>
      </c>
      <c r="M326" t="n">
        <v>0</v>
      </c>
      <c r="N326" t="n">
        <v>0</v>
      </c>
      <c r="O326" t="n">
        <v>0</v>
      </c>
      <c r="P326" t="n">
        <v>0</v>
      </c>
      <c r="Q326" t="n">
        <v>0</v>
      </c>
      <c r="R326" s="2" t="inlineStr"/>
    </row>
    <row r="327" ht="15" customHeight="1">
      <c r="A327" t="inlineStr">
        <is>
          <t>A 67843-2021</t>
        </is>
      </c>
      <c r="B327" s="1" t="n">
        <v>44525.47178240741</v>
      </c>
      <c r="C327" s="1" t="n">
        <v>46181</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18555-2025</t>
        </is>
      </c>
      <c r="B328" s="1" t="n">
        <v>45763</v>
      </c>
      <c r="C328" s="1" t="n">
        <v>46181</v>
      </c>
      <c r="D328" t="inlineStr">
        <is>
          <t>ÖREBRO LÄN</t>
        </is>
      </c>
      <c r="E328" t="inlineStr">
        <is>
          <t>HÄLLEFORS</t>
        </is>
      </c>
      <c r="F328" t="inlineStr">
        <is>
          <t>Bergvik skog väst AB</t>
        </is>
      </c>
      <c r="G328" t="n">
        <v>4.5</v>
      </c>
      <c r="H328" t="n">
        <v>0</v>
      </c>
      <c r="I328" t="n">
        <v>0</v>
      </c>
      <c r="J328" t="n">
        <v>0</v>
      </c>
      <c r="K328" t="n">
        <v>0</v>
      </c>
      <c r="L328" t="n">
        <v>0</v>
      </c>
      <c r="M328" t="n">
        <v>0</v>
      </c>
      <c r="N328" t="n">
        <v>0</v>
      </c>
      <c r="O328" t="n">
        <v>0</v>
      </c>
      <c r="P328" t="n">
        <v>0</v>
      </c>
      <c r="Q328" t="n">
        <v>0</v>
      </c>
      <c r="R328" s="2" t="inlineStr"/>
    </row>
    <row r="329" ht="15" customHeight="1">
      <c r="A329" t="inlineStr">
        <is>
          <t>A 2079-2024</t>
        </is>
      </c>
      <c r="B329" s="1" t="n">
        <v>45309</v>
      </c>
      <c r="C329" s="1" t="n">
        <v>46181</v>
      </c>
      <c r="D329" t="inlineStr">
        <is>
          <t>ÖREBRO LÄN</t>
        </is>
      </c>
      <c r="E329" t="inlineStr">
        <is>
          <t>HÄLLEFORS</t>
        </is>
      </c>
      <c r="G329" t="n">
        <v>0.4</v>
      </c>
      <c r="H329" t="n">
        <v>0</v>
      </c>
      <c r="I329" t="n">
        <v>0</v>
      </c>
      <c r="J329" t="n">
        <v>0</v>
      </c>
      <c r="K329" t="n">
        <v>0</v>
      </c>
      <c r="L329" t="n">
        <v>0</v>
      </c>
      <c r="M329" t="n">
        <v>0</v>
      </c>
      <c r="N329" t="n">
        <v>0</v>
      </c>
      <c r="O329" t="n">
        <v>0</v>
      </c>
      <c r="P329" t="n">
        <v>0</v>
      </c>
      <c r="Q329" t="n">
        <v>0</v>
      </c>
      <c r="R329" s="2" t="inlineStr"/>
    </row>
    <row r="330" ht="15" customHeight="1">
      <c r="A330" t="inlineStr">
        <is>
          <t>A 74464-2021</t>
        </is>
      </c>
      <c r="B330" s="1" t="n">
        <v>44560.52915509259</v>
      </c>
      <c r="C330" s="1" t="n">
        <v>46181</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46987-2023</t>
        </is>
      </c>
      <c r="B331" s="1" t="n">
        <v>45201</v>
      </c>
      <c r="C331" s="1" t="n">
        <v>46181</v>
      </c>
      <c r="D331" t="inlineStr">
        <is>
          <t>ÖREBRO LÄN</t>
        </is>
      </c>
      <c r="E331" t="inlineStr">
        <is>
          <t>HÄLLEFORS</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13758-2023</t>
        </is>
      </c>
      <c r="B332" s="1" t="n">
        <v>45007.42528935185</v>
      </c>
      <c r="C332" s="1" t="n">
        <v>46181</v>
      </c>
      <c r="D332" t="inlineStr">
        <is>
          <t>ÖREBRO LÄN</t>
        </is>
      </c>
      <c r="E332" t="inlineStr">
        <is>
          <t>HÄLLEFORS</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17719-2026</t>
        </is>
      </c>
      <c r="B333" s="1" t="n">
        <v>46121.74409722222</v>
      </c>
      <c r="C333" s="1" t="n">
        <v>46181</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23421-2026</t>
        </is>
      </c>
      <c r="B334" s="1" t="n">
        <v>46163.31224537037</v>
      </c>
      <c r="C334" s="1" t="n">
        <v>46181</v>
      </c>
      <c r="D334" t="inlineStr">
        <is>
          <t>ÖREBRO LÄN</t>
        </is>
      </c>
      <c r="E334" t="inlineStr">
        <is>
          <t>HÄLLEFORS</t>
        </is>
      </c>
      <c r="F334" t="inlineStr">
        <is>
          <t>Sveaskog</t>
        </is>
      </c>
      <c r="G334" t="n">
        <v>4.6</v>
      </c>
      <c r="H334" t="n">
        <v>0</v>
      </c>
      <c r="I334" t="n">
        <v>0</v>
      </c>
      <c r="J334" t="n">
        <v>0</v>
      </c>
      <c r="K334" t="n">
        <v>0</v>
      </c>
      <c r="L334" t="n">
        <v>0</v>
      </c>
      <c r="M334" t="n">
        <v>0</v>
      </c>
      <c r="N334" t="n">
        <v>0</v>
      </c>
      <c r="O334" t="n">
        <v>0</v>
      </c>
      <c r="P334" t="n">
        <v>0</v>
      </c>
      <c r="Q334" t="n">
        <v>0</v>
      </c>
      <c r="R334" s="2" t="inlineStr"/>
    </row>
    <row r="335" ht="15" customHeight="1">
      <c r="A335" t="inlineStr">
        <is>
          <t>A 23253-2026</t>
        </is>
      </c>
      <c r="B335" s="1" t="n">
        <v>46162.44020833333</v>
      </c>
      <c r="C335" s="1" t="n">
        <v>46181</v>
      </c>
      <c r="D335" t="inlineStr">
        <is>
          <t>ÖREBRO LÄN</t>
        </is>
      </c>
      <c r="E335" t="inlineStr">
        <is>
          <t>HÄLLEFORS</t>
        </is>
      </c>
      <c r="G335" t="n">
        <v>2.1</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46181</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46181</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46181</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23428-2026</t>
        </is>
      </c>
      <c r="B339" s="1" t="n">
        <v>46163.31653935185</v>
      </c>
      <c r="C339" s="1" t="n">
        <v>46181</v>
      </c>
      <c r="D339" t="inlineStr">
        <is>
          <t>ÖREBRO LÄN</t>
        </is>
      </c>
      <c r="E339" t="inlineStr">
        <is>
          <t>HÄLLEFORS</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23263-2026</t>
        </is>
      </c>
      <c r="B340" s="1" t="n">
        <v>46162.45355324074</v>
      </c>
      <c r="C340" s="1" t="n">
        <v>46181</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42920-2024</t>
        </is>
      </c>
      <c r="B341" s="1" t="n">
        <v>45567.29131944444</v>
      </c>
      <c r="C341" s="1" t="n">
        <v>46181</v>
      </c>
      <c r="D341" t="inlineStr">
        <is>
          <t>ÖREBRO LÄN</t>
        </is>
      </c>
      <c r="E341" t="inlineStr">
        <is>
          <t>HÄLLEFORS</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23423-2026</t>
        </is>
      </c>
      <c r="B342" s="1" t="n">
        <v>46163.3134375</v>
      </c>
      <c r="C342" s="1" t="n">
        <v>46181</v>
      </c>
      <c r="D342" t="inlineStr">
        <is>
          <t>ÖREBRO LÄN</t>
        </is>
      </c>
      <c r="E342" t="inlineStr">
        <is>
          <t>HÄLLEFORS</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23424-2026</t>
        </is>
      </c>
      <c r="B343" s="1" t="n">
        <v>46163.31395833333</v>
      </c>
      <c r="C343" s="1" t="n">
        <v>46181</v>
      </c>
      <c r="D343" t="inlineStr">
        <is>
          <t>ÖREBRO LÄN</t>
        </is>
      </c>
      <c r="E343" t="inlineStr">
        <is>
          <t>HÄLLEFORS</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23425-2026</t>
        </is>
      </c>
      <c r="B344" s="1" t="n">
        <v>46163.314375</v>
      </c>
      <c r="C344" s="1" t="n">
        <v>46181</v>
      </c>
      <c r="D344" t="inlineStr">
        <is>
          <t>ÖREBRO LÄN</t>
        </is>
      </c>
      <c r="E344" t="inlineStr">
        <is>
          <t>HÄLLEFORS</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23427-2026</t>
        </is>
      </c>
      <c r="B345" s="1" t="n">
        <v>46163.31502314815</v>
      </c>
      <c r="C345" s="1" t="n">
        <v>46181</v>
      </c>
      <c r="D345" t="inlineStr">
        <is>
          <t>ÖREBRO LÄN</t>
        </is>
      </c>
      <c r="E345" t="inlineStr">
        <is>
          <t>HÄLLEFORS</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67027-2021</t>
        </is>
      </c>
      <c r="B346" s="1" t="n">
        <v>44522.66836805556</v>
      </c>
      <c r="C346" s="1" t="n">
        <v>46181</v>
      </c>
      <c r="D346" t="inlineStr">
        <is>
          <t>ÖREBRO LÄN</t>
        </is>
      </c>
      <c r="E346" t="inlineStr">
        <is>
          <t>HÄLLEFORS</t>
        </is>
      </c>
      <c r="G346" t="n">
        <v>1.7</v>
      </c>
      <c r="H346" t="n">
        <v>0</v>
      </c>
      <c r="I346" t="n">
        <v>0</v>
      </c>
      <c r="J346" t="n">
        <v>0</v>
      </c>
      <c r="K346" t="n">
        <v>0</v>
      </c>
      <c r="L346" t="n">
        <v>0</v>
      </c>
      <c r="M346" t="n">
        <v>0</v>
      </c>
      <c r="N346" t="n">
        <v>0</v>
      </c>
      <c r="O346" t="n">
        <v>0</v>
      </c>
      <c r="P346" t="n">
        <v>0</v>
      </c>
      <c r="Q346" t="n">
        <v>0</v>
      </c>
      <c r="R346" s="2" t="inlineStr"/>
    </row>
    <row r="347" ht="15" customHeight="1">
      <c r="A347" t="inlineStr">
        <is>
          <t>A 9009-2023</t>
        </is>
      </c>
      <c r="B347" s="1" t="n">
        <v>44979</v>
      </c>
      <c r="C347" s="1" t="n">
        <v>46181</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60518-2021</t>
        </is>
      </c>
      <c r="B348" s="1" t="n">
        <v>44496.5028125</v>
      </c>
      <c r="C348" s="1" t="n">
        <v>46181</v>
      </c>
      <c r="D348" t="inlineStr">
        <is>
          <t>ÖREBRO LÄN</t>
        </is>
      </c>
      <c r="E348" t="inlineStr">
        <is>
          <t>HÄLLEFORS</t>
        </is>
      </c>
      <c r="G348" t="n">
        <v>1.9</v>
      </c>
      <c r="H348" t="n">
        <v>0</v>
      </c>
      <c r="I348" t="n">
        <v>0</v>
      </c>
      <c r="J348" t="n">
        <v>0</v>
      </c>
      <c r="K348" t="n">
        <v>0</v>
      </c>
      <c r="L348" t="n">
        <v>0</v>
      </c>
      <c r="M348" t="n">
        <v>0</v>
      </c>
      <c r="N348" t="n">
        <v>0</v>
      </c>
      <c r="O348" t="n">
        <v>0</v>
      </c>
      <c r="P348" t="n">
        <v>0</v>
      </c>
      <c r="Q348" t="n">
        <v>0</v>
      </c>
      <c r="R348" s="2" t="inlineStr"/>
    </row>
    <row r="349" ht="15" customHeight="1">
      <c r="A349" t="inlineStr">
        <is>
          <t>A 17721-2026</t>
        </is>
      </c>
      <c r="B349" s="1" t="n">
        <v>46121.75065972222</v>
      </c>
      <c r="C349" s="1" t="n">
        <v>46181</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24246-2026</t>
        </is>
      </c>
      <c r="B350" s="1" t="n">
        <v>46168.73540509259</v>
      </c>
      <c r="C350" s="1" t="n">
        <v>46181</v>
      </c>
      <c r="D350" t="inlineStr">
        <is>
          <t>ÖREBRO LÄN</t>
        </is>
      </c>
      <c r="E350" t="inlineStr">
        <is>
          <t>HÄLLEFORS</t>
        </is>
      </c>
      <c r="G350" t="n">
        <v>1.3</v>
      </c>
      <c r="H350" t="n">
        <v>0</v>
      </c>
      <c r="I350" t="n">
        <v>0</v>
      </c>
      <c r="J350" t="n">
        <v>0</v>
      </c>
      <c r="K350" t="n">
        <v>0</v>
      </c>
      <c r="L350" t="n">
        <v>0</v>
      </c>
      <c r="M350" t="n">
        <v>0</v>
      </c>
      <c r="N350" t="n">
        <v>0</v>
      </c>
      <c r="O350" t="n">
        <v>0</v>
      </c>
      <c r="P350" t="n">
        <v>0</v>
      </c>
      <c r="Q350" t="n">
        <v>0</v>
      </c>
      <c r="R350" s="2" t="inlineStr"/>
    </row>
    <row r="351" ht="15" customHeight="1">
      <c r="A351" t="inlineStr">
        <is>
          <t>A 24247-2026</t>
        </is>
      </c>
      <c r="B351" s="1" t="n">
        <v>46168.73892361111</v>
      </c>
      <c r="C351" s="1" t="n">
        <v>46181</v>
      </c>
      <c r="D351" t="inlineStr">
        <is>
          <t>ÖREBRO LÄN</t>
        </is>
      </c>
      <c r="E351" t="inlineStr">
        <is>
          <t>HÄLLEFORS</t>
        </is>
      </c>
      <c r="G351" t="n">
        <v>0.7</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46181</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18888-2025</t>
        </is>
      </c>
      <c r="B353" s="1" t="n">
        <v>45764.44396990741</v>
      </c>
      <c r="C353" s="1" t="n">
        <v>46181</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30591-2024</t>
        </is>
      </c>
      <c r="B354" s="1" t="n">
        <v>45493.3153125</v>
      </c>
      <c r="C354" s="1" t="n">
        <v>46181</v>
      </c>
      <c r="D354" t="inlineStr">
        <is>
          <t>ÖREBRO LÄN</t>
        </is>
      </c>
      <c r="E354" t="inlineStr">
        <is>
          <t>HÄLLEFORS</t>
        </is>
      </c>
      <c r="G354" t="n">
        <v>12.5</v>
      </c>
      <c r="H354" t="n">
        <v>0</v>
      </c>
      <c r="I354" t="n">
        <v>0</v>
      </c>
      <c r="J354" t="n">
        <v>0</v>
      </c>
      <c r="K354" t="n">
        <v>0</v>
      </c>
      <c r="L354" t="n">
        <v>0</v>
      </c>
      <c r="M354" t="n">
        <v>0</v>
      </c>
      <c r="N354" t="n">
        <v>0</v>
      </c>
      <c r="O354" t="n">
        <v>0</v>
      </c>
      <c r="P354" t="n">
        <v>0</v>
      </c>
      <c r="Q354" t="n">
        <v>0</v>
      </c>
      <c r="R354" s="2" t="inlineStr"/>
    </row>
    <row r="355" ht="15" customHeight="1">
      <c r="A355" t="inlineStr">
        <is>
          <t>A 11467-2024</t>
        </is>
      </c>
      <c r="B355" s="1" t="n">
        <v>45372.59753472222</v>
      </c>
      <c r="C355" s="1" t="n">
        <v>46181</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44091-2024</t>
        </is>
      </c>
      <c r="B356" s="1" t="n">
        <v>45572.6216087963</v>
      </c>
      <c r="C356" s="1" t="n">
        <v>46181</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44052-2024</t>
        </is>
      </c>
      <c r="B357" s="1" t="n">
        <v>45572.59605324074</v>
      </c>
      <c r="C357" s="1" t="n">
        <v>46181</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46912-2023</t>
        </is>
      </c>
      <c r="B358" s="1" t="n">
        <v>45201</v>
      </c>
      <c r="C358" s="1" t="n">
        <v>46181</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46181</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47190-2022</t>
        </is>
      </c>
      <c r="B360" s="1" t="n">
        <v>44852</v>
      </c>
      <c r="C360" s="1" t="n">
        <v>46181</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46181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51213-2023</t>
        </is>
      </c>
      <c r="B362" s="1" t="n">
        <v>45219.44515046296</v>
      </c>
      <c r="C362" s="1" t="n">
        <v>46181</v>
      </c>
      <c r="D362" t="inlineStr">
        <is>
          <t>ÖREBRO LÄN</t>
        </is>
      </c>
      <c r="E362" t="inlineStr">
        <is>
          <t>HÄLLEFORS</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46181</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46181</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46181</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60523-2024</t>
        </is>
      </c>
      <c r="B366" s="1" t="n">
        <v>45643.69060185185</v>
      </c>
      <c r="C366" s="1" t="n">
        <v>46181</v>
      </c>
      <c r="D366" t="inlineStr">
        <is>
          <t>ÖREBRO LÄN</t>
        </is>
      </c>
      <c r="E366" t="inlineStr">
        <is>
          <t>HÄLLEFORS</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21901-2023</t>
        </is>
      </c>
      <c r="B367" s="1" t="n">
        <v>45068.53265046296</v>
      </c>
      <c r="C367" s="1" t="n">
        <v>46181</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55397-2023</t>
        </is>
      </c>
      <c r="B368" s="1" t="n">
        <v>45238</v>
      </c>
      <c r="C368" s="1" t="n">
        <v>46181</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4716-2022</t>
        </is>
      </c>
      <c r="B369" s="1" t="n">
        <v>44592</v>
      </c>
      <c r="C369" s="1" t="n">
        <v>46181</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24635-2026</t>
        </is>
      </c>
      <c r="B370" s="1" t="n">
        <v>46171.3944675926</v>
      </c>
      <c r="C370" s="1" t="n">
        <v>46181</v>
      </c>
      <c r="D370" t="inlineStr">
        <is>
          <t>ÖREBRO LÄN</t>
        </is>
      </c>
      <c r="E370" t="inlineStr">
        <is>
          <t>HÄLLEFORS</t>
        </is>
      </c>
      <c r="G370" t="n">
        <v>1.9</v>
      </c>
      <c r="H370" t="n">
        <v>0</v>
      </c>
      <c r="I370" t="n">
        <v>0</v>
      </c>
      <c r="J370" t="n">
        <v>0</v>
      </c>
      <c r="K370" t="n">
        <v>0</v>
      </c>
      <c r="L370" t="n">
        <v>0</v>
      </c>
      <c r="M370" t="n">
        <v>0</v>
      </c>
      <c r="N370" t="n">
        <v>0</v>
      </c>
      <c r="O370" t="n">
        <v>0</v>
      </c>
      <c r="P370" t="n">
        <v>0</v>
      </c>
      <c r="Q370" t="n">
        <v>0</v>
      </c>
      <c r="R370" s="2" t="inlineStr"/>
    </row>
    <row r="371" ht="15" customHeight="1">
      <c r="A371" t="inlineStr">
        <is>
          <t>A 43941-2023</t>
        </is>
      </c>
      <c r="B371" s="1" t="n">
        <v>45187</v>
      </c>
      <c r="C371" s="1" t="n">
        <v>46181</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48429-2024</t>
        </is>
      </c>
      <c r="B372" s="1" t="n">
        <v>45590</v>
      </c>
      <c r="C372" s="1" t="n">
        <v>46181</v>
      </c>
      <c r="D372" t="inlineStr">
        <is>
          <t>ÖREBRO LÄN</t>
        </is>
      </c>
      <c r="E372" t="inlineStr">
        <is>
          <t>HÄLLEFORS</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16999-2024</t>
        </is>
      </c>
      <c r="B373" s="1" t="n">
        <v>45412.35543981481</v>
      </c>
      <c r="C373" s="1" t="n">
        <v>46181</v>
      </c>
      <c r="D373" t="inlineStr">
        <is>
          <t>ÖREBRO LÄN</t>
        </is>
      </c>
      <c r="E373" t="inlineStr">
        <is>
          <t>HÄLLEFORS</t>
        </is>
      </c>
      <c r="G373" t="n">
        <v>3.5</v>
      </c>
      <c r="H373" t="n">
        <v>0</v>
      </c>
      <c r="I373" t="n">
        <v>0</v>
      </c>
      <c r="J373" t="n">
        <v>0</v>
      </c>
      <c r="K373" t="n">
        <v>0</v>
      </c>
      <c r="L373" t="n">
        <v>0</v>
      </c>
      <c r="M373" t="n">
        <v>0</v>
      </c>
      <c r="N373" t="n">
        <v>0</v>
      </c>
      <c r="O373" t="n">
        <v>0</v>
      </c>
      <c r="P373" t="n">
        <v>0</v>
      </c>
      <c r="Q373" t="n">
        <v>0</v>
      </c>
      <c r="R373" s="2" t="inlineStr"/>
    </row>
    <row r="374" ht="15" customHeight="1">
      <c r="A374" t="inlineStr">
        <is>
          <t>A 24633-2026</t>
        </is>
      </c>
      <c r="B374" s="1" t="n">
        <v>46171.39269675926</v>
      </c>
      <c r="C374" s="1" t="n">
        <v>46181</v>
      </c>
      <c r="D374" t="inlineStr">
        <is>
          <t>ÖREBRO LÄN</t>
        </is>
      </c>
      <c r="E374" t="inlineStr">
        <is>
          <t>HÄLLEFORS</t>
        </is>
      </c>
      <c r="G374" t="n">
        <v>0.7</v>
      </c>
      <c r="H374" t="n">
        <v>0</v>
      </c>
      <c r="I374" t="n">
        <v>0</v>
      </c>
      <c r="J374" t="n">
        <v>0</v>
      </c>
      <c r="K374" t="n">
        <v>0</v>
      </c>
      <c r="L374" t="n">
        <v>0</v>
      </c>
      <c r="M374" t="n">
        <v>0</v>
      </c>
      <c r="N374" t="n">
        <v>0</v>
      </c>
      <c r="O374" t="n">
        <v>0</v>
      </c>
      <c r="P374" t="n">
        <v>0</v>
      </c>
      <c r="Q374" t="n">
        <v>0</v>
      </c>
      <c r="R374" s="2" t="inlineStr"/>
    </row>
    <row r="375" ht="15" customHeight="1">
      <c r="A375" t="inlineStr">
        <is>
          <t>A 24631-2026</t>
        </is>
      </c>
      <c r="B375" s="1" t="n">
        <v>46171.38890046296</v>
      </c>
      <c r="C375" s="1" t="n">
        <v>46181</v>
      </c>
      <c r="D375" t="inlineStr">
        <is>
          <t>ÖREBRO LÄN</t>
        </is>
      </c>
      <c r="E375" t="inlineStr">
        <is>
          <t>HÄLLEFORS</t>
        </is>
      </c>
      <c r="G375" t="n">
        <v>4.5</v>
      </c>
      <c r="H375" t="n">
        <v>0</v>
      </c>
      <c r="I375" t="n">
        <v>0</v>
      </c>
      <c r="J375" t="n">
        <v>0</v>
      </c>
      <c r="K375" t="n">
        <v>0</v>
      </c>
      <c r="L375" t="n">
        <v>0</v>
      </c>
      <c r="M375" t="n">
        <v>0</v>
      </c>
      <c r="N375" t="n">
        <v>0</v>
      </c>
      <c r="O375" t="n">
        <v>0</v>
      </c>
      <c r="P375" t="n">
        <v>0</v>
      </c>
      <c r="Q375" t="n">
        <v>0</v>
      </c>
      <c r="R375" s="2" t="inlineStr"/>
    </row>
    <row r="376" ht="15" customHeight="1">
      <c r="A376" t="inlineStr">
        <is>
          <t>A 25094-2026</t>
        </is>
      </c>
      <c r="B376" s="1" t="n">
        <v>46175.33747685186</v>
      </c>
      <c r="C376" s="1" t="n">
        <v>46181</v>
      </c>
      <c r="D376" t="inlineStr">
        <is>
          <t>ÖREBRO LÄN</t>
        </is>
      </c>
      <c r="E376" t="inlineStr">
        <is>
          <t>HÄLLEFORS</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25095-2026</t>
        </is>
      </c>
      <c r="B377" s="1" t="n">
        <v>46175.33796296296</v>
      </c>
      <c r="C377" s="1" t="n">
        <v>46181</v>
      </c>
      <c r="D377" t="inlineStr">
        <is>
          <t>ÖREBRO LÄN</t>
        </is>
      </c>
      <c r="E377" t="inlineStr">
        <is>
          <t>HÄLLEFORS</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25172-2026</t>
        </is>
      </c>
      <c r="B378" s="1" t="n">
        <v>46175.51740740741</v>
      </c>
      <c r="C378" s="1" t="n">
        <v>46181</v>
      </c>
      <c r="D378" t="inlineStr">
        <is>
          <t>ÖREBRO LÄN</t>
        </is>
      </c>
      <c r="E378" t="inlineStr">
        <is>
          <t>HÄLLEFORS</t>
        </is>
      </c>
      <c r="G378" t="n">
        <v>1.1</v>
      </c>
      <c r="H378" t="n">
        <v>0</v>
      </c>
      <c r="I378" t="n">
        <v>0</v>
      </c>
      <c r="J378" t="n">
        <v>0</v>
      </c>
      <c r="K378" t="n">
        <v>0</v>
      </c>
      <c r="L378" t="n">
        <v>0</v>
      </c>
      <c r="M378" t="n">
        <v>0</v>
      </c>
      <c r="N378" t="n">
        <v>0</v>
      </c>
      <c r="O378" t="n">
        <v>0</v>
      </c>
      <c r="P378" t="n">
        <v>0</v>
      </c>
      <c r="Q378" t="n">
        <v>0</v>
      </c>
      <c r="R378" s="2" t="inlineStr"/>
    </row>
    <row r="379" ht="15" customHeight="1">
      <c r="A379" t="inlineStr">
        <is>
          <t>A 19694-2026</t>
        </is>
      </c>
      <c r="B379" s="1" t="n">
        <v>46134</v>
      </c>
      <c r="C379" s="1" t="n">
        <v>46181</v>
      </c>
      <c r="D379" t="inlineStr">
        <is>
          <t>ÖREBRO LÄN</t>
        </is>
      </c>
      <c r="E379" t="inlineStr">
        <is>
          <t>HÄLLEFORS</t>
        </is>
      </c>
      <c r="F379" t="inlineStr">
        <is>
          <t>Bergvik skog väst AB</t>
        </is>
      </c>
      <c r="G379" t="n">
        <v>5.3</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46181</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19941-2026</t>
        </is>
      </c>
      <c r="B381" s="1" t="n">
        <v>46136.38118055555</v>
      </c>
      <c r="C381" s="1" t="n">
        <v>46181</v>
      </c>
      <c r="D381" t="inlineStr">
        <is>
          <t>ÖREBRO LÄN</t>
        </is>
      </c>
      <c r="E381" t="inlineStr">
        <is>
          <t>HÄLLEFORS</t>
        </is>
      </c>
      <c r="F381" t="inlineStr">
        <is>
          <t>Bergvik skog väst AB</t>
        </is>
      </c>
      <c r="G381" t="n">
        <v>7.7</v>
      </c>
      <c r="H381" t="n">
        <v>0</v>
      </c>
      <c r="I381" t="n">
        <v>0</v>
      </c>
      <c r="J381" t="n">
        <v>0</v>
      </c>
      <c r="K381" t="n">
        <v>0</v>
      </c>
      <c r="L381" t="n">
        <v>0</v>
      </c>
      <c r="M381" t="n">
        <v>0</v>
      </c>
      <c r="N381" t="n">
        <v>0</v>
      </c>
      <c r="O381" t="n">
        <v>0</v>
      </c>
      <c r="P381" t="n">
        <v>0</v>
      </c>
      <c r="Q381" t="n">
        <v>0</v>
      </c>
      <c r="R381" s="2" t="inlineStr"/>
    </row>
    <row r="382" ht="15" customHeight="1">
      <c r="A382" t="inlineStr">
        <is>
          <t>A 47847-2025</t>
        </is>
      </c>
      <c r="B382" s="1" t="n">
        <v>45932.38244212963</v>
      </c>
      <c r="C382" s="1" t="n">
        <v>46181</v>
      </c>
      <c r="D382" t="inlineStr">
        <is>
          <t>ÖREBRO LÄN</t>
        </is>
      </c>
      <c r="E382" t="inlineStr">
        <is>
          <t>HÄLLEFORS</t>
        </is>
      </c>
      <c r="F382" t="inlineStr">
        <is>
          <t>Bergvik skog väst AB</t>
        </is>
      </c>
      <c r="G382" t="n">
        <v>11.5</v>
      </c>
      <c r="H382" t="n">
        <v>0</v>
      </c>
      <c r="I382" t="n">
        <v>0</v>
      </c>
      <c r="J382" t="n">
        <v>0</v>
      </c>
      <c r="K382" t="n">
        <v>0</v>
      </c>
      <c r="L382" t="n">
        <v>0</v>
      </c>
      <c r="M382" t="n">
        <v>0</v>
      </c>
      <c r="N382" t="n">
        <v>0</v>
      </c>
      <c r="O382" t="n">
        <v>0</v>
      </c>
      <c r="P382" t="n">
        <v>0</v>
      </c>
      <c r="Q382" t="n">
        <v>0</v>
      </c>
      <c r="R382" s="2" t="inlineStr"/>
    </row>
    <row r="383" ht="15" customHeight="1">
      <c r="A383" t="inlineStr">
        <is>
          <t>A 25868-2026</t>
        </is>
      </c>
      <c r="B383" s="1" t="n">
        <v>46178.58304398148</v>
      </c>
      <c r="C383" s="1" t="n">
        <v>46181</v>
      </c>
      <c r="D383" t="inlineStr">
        <is>
          <t>ÖREBRO LÄN</t>
        </is>
      </c>
      <c r="E383" t="inlineStr">
        <is>
          <t>HÄLLEFORS</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25870-2026</t>
        </is>
      </c>
      <c r="B384" s="1" t="n">
        <v>46178.58399305555</v>
      </c>
      <c r="C384" s="1" t="n">
        <v>46181</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5762-2024</t>
        </is>
      </c>
      <c r="B385" s="1" t="n">
        <v>45335</v>
      </c>
      <c r="C385" s="1" t="n">
        <v>46181</v>
      </c>
      <c r="D385" t="inlineStr">
        <is>
          <t>ÖREBRO LÄN</t>
        </is>
      </c>
      <c r="E385" t="inlineStr">
        <is>
          <t>HÄLLEFORS</t>
        </is>
      </c>
      <c r="G385" t="n">
        <v>12.1</v>
      </c>
      <c r="H385" t="n">
        <v>0</v>
      </c>
      <c r="I385" t="n">
        <v>0</v>
      </c>
      <c r="J385" t="n">
        <v>0</v>
      </c>
      <c r="K385" t="n">
        <v>0</v>
      </c>
      <c r="L385" t="n">
        <v>0</v>
      </c>
      <c r="M385" t="n">
        <v>0</v>
      </c>
      <c r="N385" t="n">
        <v>0</v>
      </c>
      <c r="O385" t="n">
        <v>0</v>
      </c>
      <c r="P385" t="n">
        <v>0</v>
      </c>
      <c r="Q385" t="n">
        <v>0</v>
      </c>
      <c r="R385" s="2" t="inlineStr"/>
    </row>
    <row r="386" ht="15" customHeight="1">
      <c r="A386" t="inlineStr">
        <is>
          <t>A 37542-2024</t>
        </is>
      </c>
      <c r="B386" s="1" t="n">
        <v>45541.42298611111</v>
      </c>
      <c r="C386" s="1" t="n">
        <v>46181</v>
      </c>
      <c r="D386" t="inlineStr">
        <is>
          <t>ÖREBRO LÄN</t>
        </is>
      </c>
      <c r="E386" t="inlineStr">
        <is>
          <t>HÄLLEFORS</t>
        </is>
      </c>
      <c r="G386" t="n">
        <v>1.6</v>
      </c>
      <c r="H386" t="n">
        <v>0</v>
      </c>
      <c r="I386" t="n">
        <v>0</v>
      </c>
      <c r="J386" t="n">
        <v>0</v>
      </c>
      <c r="K386" t="n">
        <v>0</v>
      </c>
      <c r="L386" t="n">
        <v>0</v>
      </c>
      <c r="M386" t="n">
        <v>0</v>
      </c>
      <c r="N386" t="n">
        <v>0</v>
      </c>
      <c r="O386" t="n">
        <v>0</v>
      </c>
      <c r="P386" t="n">
        <v>0</v>
      </c>
      <c r="Q386" t="n">
        <v>0</v>
      </c>
      <c r="R386" s="2" t="inlineStr"/>
    </row>
    <row r="387" ht="15" customHeight="1">
      <c r="A387" t="inlineStr">
        <is>
          <t>A 55099-2024</t>
        </is>
      </c>
      <c r="B387" s="1" t="n">
        <v>45621</v>
      </c>
      <c r="C387" s="1" t="n">
        <v>46181</v>
      </c>
      <c r="D387" t="inlineStr">
        <is>
          <t>ÖREBRO LÄN</t>
        </is>
      </c>
      <c r="E387" t="inlineStr">
        <is>
          <t>HÄLLEFORS</t>
        </is>
      </c>
      <c r="G387" t="n">
        <v>0.8</v>
      </c>
      <c r="H387" t="n">
        <v>0</v>
      </c>
      <c r="I387" t="n">
        <v>0</v>
      </c>
      <c r="J387" t="n">
        <v>0</v>
      </c>
      <c r="K387" t="n">
        <v>0</v>
      </c>
      <c r="L387" t="n">
        <v>0</v>
      </c>
      <c r="M387" t="n">
        <v>0</v>
      </c>
      <c r="N387" t="n">
        <v>0</v>
      </c>
      <c r="O387" t="n">
        <v>0</v>
      </c>
      <c r="P387" t="n">
        <v>0</v>
      </c>
      <c r="Q387" t="n">
        <v>0</v>
      </c>
      <c r="R387" s="2" t="inlineStr"/>
    </row>
    <row r="388" ht="15" customHeight="1">
      <c r="A388" t="inlineStr">
        <is>
          <t>A 34042-2025</t>
        </is>
      </c>
      <c r="B388" s="1" t="n">
        <v>45845.37733796296</v>
      </c>
      <c r="C388" s="1" t="n">
        <v>46181</v>
      </c>
      <c r="D388" t="inlineStr">
        <is>
          <t>ÖREBRO LÄN</t>
        </is>
      </c>
      <c r="E388" t="inlineStr">
        <is>
          <t>HÄLLEFORS</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9537-2025</t>
        </is>
      </c>
      <c r="B389" s="1" t="n">
        <v>45715.57903935185</v>
      </c>
      <c r="C389" s="1" t="n">
        <v>46181</v>
      </c>
      <c r="D389" t="inlineStr">
        <is>
          <t>ÖREBRO LÄN</t>
        </is>
      </c>
      <c r="E389" t="inlineStr">
        <is>
          <t>HÄLLEFORS</t>
        </is>
      </c>
      <c r="G389" t="n">
        <v>2.7</v>
      </c>
      <c r="H389" t="n">
        <v>0</v>
      </c>
      <c r="I389" t="n">
        <v>0</v>
      </c>
      <c r="J389" t="n">
        <v>0</v>
      </c>
      <c r="K389" t="n">
        <v>0</v>
      </c>
      <c r="L389" t="n">
        <v>0</v>
      </c>
      <c r="M389" t="n">
        <v>0</v>
      </c>
      <c r="N389" t="n">
        <v>0</v>
      </c>
      <c r="O389" t="n">
        <v>0</v>
      </c>
      <c r="P389" t="n">
        <v>0</v>
      </c>
      <c r="Q389" t="n">
        <v>0</v>
      </c>
      <c r="R389" s="2" t="inlineStr"/>
    </row>
    <row r="390" ht="15" customHeight="1">
      <c r="A390" t="inlineStr">
        <is>
          <t>A 18715-2025</t>
        </is>
      </c>
      <c r="B390" s="1" t="n">
        <v>45763.64383101852</v>
      </c>
      <c r="C390" s="1" t="n">
        <v>46181</v>
      </c>
      <c r="D390" t="inlineStr">
        <is>
          <t>ÖREBRO LÄN</t>
        </is>
      </c>
      <c r="E390" t="inlineStr">
        <is>
          <t>HÄLLEFORS</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14669-2025</t>
        </is>
      </c>
      <c r="B391" s="1" t="n">
        <v>45742.55043981481</v>
      </c>
      <c r="C391" s="1" t="n">
        <v>46181</v>
      </c>
      <c r="D391" t="inlineStr">
        <is>
          <t>ÖREBRO LÄN</t>
        </is>
      </c>
      <c r="E391" t="inlineStr">
        <is>
          <t>HÄLLEFORS</t>
        </is>
      </c>
      <c r="G391" t="n">
        <v>0.8</v>
      </c>
      <c r="H391" t="n">
        <v>0</v>
      </c>
      <c r="I391" t="n">
        <v>0</v>
      </c>
      <c r="J391" t="n">
        <v>0</v>
      </c>
      <c r="K391" t="n">
        <v>0</v>
      </c>
      <c r="L391" t="n">
        <v>0</v>
      </c>
      <c r="M391" t="n">
        <v>0</v>
      </c>
      <c r="N391" t="n">
        <v>0</v>
      </c>
      <c r="O391" t="n">
        <v>0</v>
      </c>
      <c r="P391" t="n">
        <v>0</v>
      </c>
      <c r="Q391" t="n">
        <v>0</v>
      </c>
      <c r="R391" s="2" t="inlineStr"/>
    </row>
    <row r="392" ht="15" customHeight="1">
      <c r="A392" t="inlineStr">
        <is>
          <t>A 46642-2024</t>
        </is>
      </c>
      <c r="B392" s="1" t="n">
        <v>45583.34902777777</v>
      </c>
      <c r="C392" s="1" t="n">
        <v>46181</v>
      </c>
      <c r="D392" t="inlineStr">
        <is>
          <t>ÖREBRO LÄN</t>
        </is>
      </c>
      <c r="E392" t="inlineStr">
        <is>
          <t>HÄLLEFORS</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20670-2025</t>
        </is>
      </c>
      <c r="B393" s="1" t="n">
        <v>45776.43351851852</v>
      </c>
      <c r="C393" s="1" t="n">
        <v>46181</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21050-2025</t>
        </is>
      </c>
      <c r="B394" s="1" t="n">
        <v>45777.56322916667</v>
      </c>
      <c r="C394" s="1" t="n">
        <v>46181</v>
      </c>
      <c r="D394" t="inlineStr">
        <is>
          <t>ÖREBRO LÄN</t>
        </is>
      </c>
      <c r="E394" t="inlineStr">
        <is>
          <t>HÄLLEFORS</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20951-2025</t>
        </is>
      </c>
      <c r="B395" s="1" t="n">
        <v>45777.43930555556</v>
      </c>
      <c r="C395" s="1" t="n">
        <v>46181</v>
      </c>
      <c r="D395" t="inlineStr">
        <is>
          <t>ÖREBRO LÄN</t>
        </is>
      </c>
      <c r="E395" t="inlineStr">
        <is>
          <t>HÄLLEFORS</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21099-2025</t>
        </is>
      </c>
      <c r="B396" s="1" t="n">
        <v>45777.64827546296</v>
      </c>
      <c r="C396" s="1" t="n">
        <v>46181</v>
      </c>
      <c r="D396" t="inlineStr">
        <is>
          <t>ÖREBRO LÄN</t>
        </is>
      </c>
      <c r="E396" t="inlineStr">
        <is>
          <t>HÄLLEFORS</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46181</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46181</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18852-2025</t>
        </is>
      </c>
      <c r="B399" s="1" t="n">
        <v>45764</v>
      </c>
      <c r="C399" s="1" t="n">
        <v>46181</v>
      </c>
      <c r="D399" t="inlineStr">
        <is>
          <t>ÖREBRO LÄN</t>
        </is>
      </c>
      <c r="E399" t="inlineStr">
        <is>
          <t>HÄLLEFORS</t>
        </is>
      </c>
      <c r="G399" t="n">
        <v>6.8</v>
      </c>
      <c r="H399" t="n">
        <v>0</v>
      </c>
      <c r="I399" t="n">
        <v>0</v>
      </c>
      <c r="J399" t="n">
        <v>0</v>
      </c>
      <c r="K399" t="n">
        <v>0</v>
      </c>
      <c r="L399" t="n">
        <v>0</v>
      </c>
      <c r="M399" t="n">
        <v>0</v>
      </c>
      <c r="N399" t="n">
        <v>0</v>
      </c>
      <c r="O399" t="n">
        <v>0</v>
      </c>
      <c r="P399" t="n">
        <v>0</v>
      </c>
      <c r="Q399" t="n">
        <v>0</v>
      </c>
      <c r="R399" s="2" t="inlineStr"/>
    </row>
    <row r="400" ht="15" customHeight="1">
      <c r="A400" t="inlineStr">
        <is>
          <t>A 18869-2025</t>
        </is>
      </c>
      <c r="B400" s="1" t="n">
        <v>45764</v>
      </c>
      <c r="C400" s="1" t="n">
        <v>46181</v>
      </c>
      <c r="D400" t="inlineStr">
        <is>
          <t>ÖREBRO LÄN</t>
        </is>
      </c>
      <c r="E400" t="inlineStr">
        <is>
          <t>HÄLLEFORS</t>
        </is>
      </c>
      <c r="G400" t="n">
        <v>3.7</v>
      </c>
      <c r="H400" t="n">
        <v>0</v>
      </c>
      <c r="I400" t="n">
        <v>0</v>
      </c>
      <c r="J400" t="n">
        <v>0</v>
      </c>
      <c r="K400" t="n">
        <v>0</v>
      </c>
      <c r="L400" t="n">
        <v>0</v>
      </c>
      <c r="M400" t="n">
        <v>0</v>
      </c>
      <c r="N400" t="n">
        <v>0</v>
      </c>
      <c r="O400" t="n">
        <v>0</v>
      </c>
      <c r="P400" t="n">
        <v>0</v>
      </c>
      <c r="Q400" t="n">
        <v>0</v>
      </c>
      <c r="R400" s="2" t="inlineStr"/>
    </row>
    <row r="401" ht="15" customHeight="1">
      <c r="A401" t="inlineStr">
        <is>
          <t>A 18891-2025</t>
        </is>
      </c>
      <c r="B401" s="1" t="n">
        <v>45764</v>
      </c>
      <c r="C401" s="1" t="n">
        <v>46181</v>
      </c>
      <c r="D401" t="inlineStr">
        <is>
          <t>ÖREBRO LÄN</t>
        </is>
      </c>
      <c r="E401" t="inlineStr">
        <is>
          <t>HÄLLEFORS</t>
        </is>
      </c>
      <c r="G401" t="n">
        <v>2.2</v>
      </c>
      <c r="H401" t="n">
        <v>0</v>
      </c>
      <c r="I401" t="n">
        <v>0</v>
      </c>
      <c r="J401" t="n">
        <v>0</v>
      </c>
      <c r="K401" t="n">
        <v>0</v>
      </c>
      <c r="L401" t="n">
        <v>0</v>
      </c>
      <c r="M401" t="n">
        <v>0</v>
      </c>
      <c r="N401" t="n">
        <v>0</v>
      </c>
      <c r="O401" t="n">
        <v>0</v>
      </c>
      <c r="P401" t="n">
        <v>0</v>
      </c>
      <c r="Q401" t="n">
        <v>0</v>
      </c>
      <c r="R401" s="2" t="inlineStr"/>
    </row>
    <row r="402" ht="15" customHeight="1">
      <c r="A402" t="inlineStr">
        <is>
          <t>A 21853-2025</t>
        </is>
      </c>
      <c r="B402" s="1" t="n">
        <v>45784.34652777778</v>
      </c>
      <c r="C402" s="1" t="n">
        <v>46181</v>
      </c>
      <c r="D402" t="inlineStr">
        <is>
          <t>ÖREBRO LÄN</t>
        </is>
      </c>
      <c r="E402" t="inlineStr">
        <is>
          <t>HÄLLEFORS</t>
        </is>
      </c>
      <c r="G402" t="n">
        <v>23.4</v>
      </c>
      <c r="H402" t="n">
        <v>0</v>
      </c>
      <c r="I402" t="n">
        <v>0</v>
      </c>
      <c r="J402" t="n">
        <v>0</v>
      </c>
      <c r="K402" t="n">
        <v>0</v>
      </c>
      <c r="L402" t="n">
        <v>0</v>
      </c>
      <c r="M402" t="n">
        <v>0</v>
      </c>
      <c r="N402" t="n">
        <v>0</v>
      </c>
      <c r="O402" t="n">
        <v>0</v>
      </c>
      <c r="P402" t="n">
        <v>0</v>
      </c>
      <c r="Q402" t="n">
        <v>0</v>
      </c>
      <c r="R402" s="2" t="inlineStr"/>
    </row>
    <row r="403" ht="15" customHeight="1">
      <c r="A403" t="inlineStr">
        <is>
          <t>A 30307-2024</t>
        </is>
      </c>
      <c r="B403" s="1" t="n">
        <v>45490.70074074074</v>
      </c>
      <c r="C403" s="1" t="n">
        <v>46181</v>
      </c>
      <c r="D403" t="inlineStr">
        <is>
          <t>ÖREBRO LÄN</t>
        </is>
      </c>
      <c r="E403" t="inlineStr">
        <is>
          <t>HÄLLEFORS</t>
        </is>
      </c>
      <c r="G403" t="n">
        <v>2.5</v>
      </c>
      <c r="H403" t="n">
        <v>0</v>
      </c>
      <c r="I403" t="n">
        <v>0</v>
      </c>
      <c r="J403" t="n">
        <v>0</v>
      </c>
      <c r="K403" t="n">
        <v>0</v>
      </c>
      <c r="L403" t="n">
        <v>0</v>
      </c>
      <c r="M403" t="n">
        <v>0</v>
      </c>
      <c r="N403" t="n">
        <v>0</v>
      </c>
      <c r="O403" t="n">
        <v>0</v>
      </c>
      <c r="P403" t="n">
        <v>0</v>
      </c>
      <c r="Q403" t="n">
        <v>0</v>
      </c>
      <c r="R403" s="2" t="inlineStr"/>
    </row>
    <row r="404" ht="15" customHeight="1">
      <c r="A404" t="inlineStr">
        <is>
          <t>A 45694-2023</t>
        </is>
      </c>
      <c r="B404" s="1" t="n">
        <v>45195</v>
      </c>
      <c r="C404" s="1" t="n">
        <v>46181</v>
      </c>
      <c r="D404" t="inlineStr">
        <is>
          <t>ÖREBRO LÄN</t>
        </is>
      </c>
      <c r="E404" t="inlineStr">
        <is>
          <t>HÄLLEFORS</t>
        </is>
      </c>
      <c r="G404" t="n">
        <v>10.8</v>
      </c>
      <c r="H404" t="n">
        <v>0</v>
      </c>
      <c r="I404" t="n">
        <v>0</v>
      </c>
      <c r="J404" t="n">
        <v>0</v>
      </c>
      <c r="K404" t="n">
        <v>0</v>
      </c>
      <c r="L404" t="n">
        <v>0</v>
      </c>
      <c r="M404" t="n">
        <v>0</v>
      </c>
      <c r="N404" t="n">
        <v>0</v>
      </c>
      <c r="O404" t="n">
        <v>0</v>
      </c>
      <c r="P404" t="n">
        <v>0</v>
      </c>
      <c r="Q404" t="n">
        <v>0</v>
      </c>
      <c r="R404" s="2" t="inlineStr"/>
    </row>
    <row r="405" ht="15" customHeight="1">
      <c r="A405" t="inlineStr">
        <is>
          <t>A 18168-2024</t>
        </is>
      </c>
      <c r="B405" s="1" t="n">
        <v>45420</v>
      </c>
      <c r="C405" s="1" t="n">
        <v>46181</v>
      </c>
      <c r="D405" t="inlineStr">
        <is>
          <t>ÖREBRO LÄN</t>
        </is>
      </c>
      <c r="E405" t="inlineStr">
        <is>
          <t>HÄLLEFORS</t>
        </is>
      </c>
      <c r="G405" t="n">
        <v>1.4</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46181</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25872-2026</t>
        </is>
      </c>
      <c r="B407" s="1" t="n">
        <v>46178.58704861111</v>
      </c>
      <c r="C407" s="1" t="n">
        <v>46181</v>
      </c>
      <c r="D407" t="inlineStr">
        <is>
          <t>ÖREBRO LÄN</t>
        </is>
      </c>
      <c r="E407" t="inlineStr">
        <is>
          <t>HÄLLEFORS</t>
        </is>
      </c>
      <c r="F407" t="inlineStr">
        <is>
          <t>Bergvik skog väst AB</t>
        </is>
      </c>
      <c r="G407" t="n">
        <v>4.7</v>
      </c>
      <c r="H407" t="n">
        <v>0</v>
      </c>
      <c r="I407" t="n">
        <v>0</v>
      </c>
      <c r="J407" t="n">
        <v>0</v>
      </c>
      <c r="K407" t="n">
        <v>0</v>
      </c>
      <c r="L407" t="n">
        <v>0</v>
      </c>
      <c r="M407" t="n">
        <v>0</v>
      </c>
      <c r="N407" t="n">
        <v>0</v>
      </c>
      <c r="O407" t="n">
        <v>0</v>
      </c>
      <c r="P407" t="n">
        <v>0</v>
      </c>
      <c r="Q407" t="n">
        <v>0</v>
      </c>
      <c r="R407" s="2" t="inlineStr"/>
    </row>
    <row r="408" ht="15" customHeight="1">
      <c r="A408" t="inlineStr">
        <is>
          <t>A 53340-2024</t>
        </is>
      </c>
      <c r="B408" s="1" t="n">
        <v>45614.43358796297</v>
      </c>
      <c r="C408" s="1" t="n">
        <v>46181</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35106-2023</t>
        </is>
      </c>
      <c r="B409" s="1" t="n">
        <v>45145</v>
      </c>
      <c r="C409" s="1" t="n">
        <v>46181</v>
      </c>
      <c r="D409" t="inlineStr">
        <is>
          <t>ÖREBRO LÄN</t>
        </is>
      </c>
      <c r="E409" t="inlineStr">
        <is>
          <t>HÄLLEFORS</t>
        </is>
      </c>
      <c r="F409" t="inlineStr">
        <is>
          <t>Bergvik skog väst AB</t>
        </is>
      </c>
      <c r="G409" t="n">
        <v>13.9</v>
      </c>
      <c r="H409" t="n">
        <v>0</v>
      </c>
      <c r="I409" t="n">
        <v>0</v>
      </c>
      <c r="J409" t="n">
        <v>0</v>
      </c>
      <c r="K409" t="n">
        <v>0</v>
      </c>
      <c r="L409" t="n">
        <v>0</v>
      </c>
      <c r="M409" t="n">
        <v>0</v>
      </c>
      <c r="N409" t="n">
        <v>0</v>
      </c>
      <c r="O409" t="n">
        <v>0</v>
      </c>
      <c r="P409" t="n">
        <v>0</v>
      </c>
      <c r="Q409" t="n">
        <v>0</v>
      </c>
      <c r="R409" s="2" t="inlineStr"/>
    </row>
    <row r="410" ht="15" customHeight="1">
      <c r="A410" t="inlineStr">
        <is>
          <t>A 39178-2022</t>
        </is>
      </c>
      <c r="B410" s="1" t="n">
        <v>44817.50186342592</v>
      </c>
      <c r="C410" s="1" t="n">
        <v>46181</v>
      </c>
      <c r="D410" t="inlineStr">
        <is>
          <t>ÖREBRO LÄN</t>
        </is>
      </c>
      <c r="E410" t="inlineStr">
        <is>
          <t>HÄLLEFORS</t>
        </is>
      </c>
      <c r="G410" t="n">
        <v>1.1</v>
      </c>
      <c r="H410" t="n">
        <v>0</v>
      </c>
      <c r="I410" t="n">
        <v>0</v>
      </c>
      <c r="J410" t="n">
        <v>0</v>
      </c>
      <c r="K410" t="n">
        <v>0</v>
      </c>
      <c r="L410" t="n">
        <v>0</v>
      </c>
      <c r="M410" t="n">
        <v>0</v>
      </c>
      <c r="N410" t="n">
        <v>0</v>
      </c>
      <c r="O410" t="n">
        <v>0</v>
      </c>
      <c r="P410" t="n">
        <v>0</v>
      </c>
      <c r="Q410" t="n">
        <v>0</v>
      </c>
      <c r="R410" s="2" t="inlineStr"/>
    </row>
    <row r="411" ht="15" customHeight="1">
      <c r="A411" t="inlineStr">
        <is>
          <t>A 47907-2024</t>
        </is>
      </c>
      <c r="B411" s="1" t="n">
        <v>45589.31677083333</v>
      </c>
      <c r="C411" s="1" t="n">
        <v>46181</v>
      </c>
      <c r="D411" t="inlineStr">
        <is>
          <t>ÖREBRO LÄN</t>
        </is>
      </c>
      <c r="E411" t="inlineStr">
        <is>
          <t>HÄLLEFORS</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59963-2024</t>
        </is>
      </c>
      <c r="B412" s="1" t="n">
        <v>45642.35274305556</v>
      </c>
      <c r="C412" s="1" t="n">
        <v>46181</v>
      </c>
      <c r="D412" t="inlineStr">
        <is>
          <t>ÖREBRO LÄN</t>
        </is>
      </c>
      <c r="E412" t="inlineStr">
        <is>
          <t>HÄLLEFORS</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36090-2024</t>
        </is>
      </c>
      <c r="B413" s="1" t="n">
        <v>45533.68363425926</v>
      </c>
      <c r="C413" s="1" t="n">
        <v>46181</v>
      </c>
      <c r="D413" t="inlineStr">
        <is>
          <t>ÖREBRO LÄN</t>
        </is>
      </c>
      <c r="E413" t="inlineStr">
        <is>
          <t>HÄLLEFORS</t>
        </is>
      </c>
      <c r="F413" t="inlineStr">
        <is>
          <t>Bergvik skog väst AB</t>
        </is>
      </c>
      <c r="G413" t="n">
        <v>5.2</v>
      </c>
      <c r="H413" t="n">
        <v>0</v>
      </c>
      <c r="I413" t="n">
        <v>0</v>
      </c>
      <c r="J413" t="n">
        <v>0</v>
      </c>
      <c r="K413" t="n">
        <v>0</v>
      </c>
      <c r="L413" t="n">
        <v>0</v>
      </c>
      <c r="M413" t="n">
        <v>0</v>
      </c>
      <c r="N413" t="n">
        <v>0</v>
      </c>
      <c r="O413" t="n">
        <v>0</v>
      </c>
      <c r="P413" t="n">
        <v>0</v>
      </c>
      <c r="Q413" t="n">
        <v>0</v>
      </c>
      <c r="R413" s="2" t="inlineStr"/>
    </row>
    <row r="414" ht="15" customHeight="1">
      <c r="A414" t="inlineStr">
        <is>
          <t>A 47811-2024</t>
        </is>
      </c>
      <c r="B414" s="1" t="n">
        <v>45588.61716435185</v>
      </c>
      <c r="C414" s="1" t="n">
        <v>46181</v>
      </c>
      <c r="D414" t="inlineStr">
        <is>
          <t>ÖREBRO LÄN</t>
        </is>
      </c>
      <c r="E414" t="inlineStr">
        <is>
          <t>HÄLLEFORS</t>
        </is>
      </c>
      <c r="F414" t="inlineStr">
        <is>
          <t>Bergvik skog väst AB</t>
        </is>
      </c>
      <c r="G414" t="n">
        <v>5.9</v>
      </c>
      <c r="H414" t="n">
        <v>0</v>
      </c>
      <c r="I414" t="n">
        <v>0</v>
      </c>
      <c r="J414" t="n">
        <v>0</v>
      </c>
      <c r="K414" t="n">
        <v>0</v>
      </c>
      <c r="L414" t="n">
        <v>0</v>
      </c>
      <c r="M414" t="n">
        <v>0</v>
      </c>
      <c r="N414" t="n">
        <v>0</v>
      </c>
      <c r="O414" t="n">
        <v>0</v>
      </c>
      <c r="P414" t="n">
        <v>0</v>
      </c>
      <c r="Q414" t="n">
        <v>0</v>
      </c>
      <c r="R414" s="2" t="inlineStr"/>
    </row>
    <row r="415" ht="15" customHeight="1">
      <c r="A415" t="inlineStr">
        <is>
          <t>A 25059-2024</t>
        </is>
      </c>
      <c r="B415" s="1" t="n">
        <v>45462.35787037037</v>
      </c>
      <c r="C415" s="1" t="n">
        <v>46181</v>
      </c>
      <c r="D415" t="inlineStr">
        <is>
          <t>ÖREBRO LÄN</t>
        </is>
      </c>
      <c r="E415" t="inlineStr">
        <is>
          <t>HÄLLEFORS</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35860-2024</t>
        </is>
      </c>
      <c r="B416" s="1" t="n">
        <v>45533</v>
      </c>
      <c r="C416" s="1" t="n">
        <v>46181</v>
      </c>
      <c r="D416" t="inlineStr">
        <is>
          <t>ÖREBRO LÄN</t>
        </is>
      </c>
      <c r="E416" t="inlineStr">
        <is>
          <t>HÄLLEFORS</t>
        </is>
      </c>
      <c r="F416" t="inlineStr">
        <is>
          <t>Bergvik skog väst AB</t>
        </is>
      </c>
      <c r="G416" t="n">
        <v>4.1</v>
      </c>
      <c r="H416" t="n">
        <v>0</v>
      </c>
      <c r="I416" t="n">
        <v>0</v>
      </c>
      <c r="J416" t="n">
        <v>0</v>
      </c>
      <c r="K416" t="n">
        <v>0</v>
      </c>
      <c r="L416" t="n">
        <v>0</v>
      </c>
      <c r="M416" t="n">
        <v>0</v>
      </c>
      <c r="N416" t="n">
        <v>0</v>
      </c>
      <c r="O416" t="n">
        <v>0</v>
      </c>
      <c r="P416" t="n">
        <v>0</v>
      </c>
      <c r="Q416" t="n">
        <v>0</v>
      </c>
      <c r="R416" s="2" t="inlineStr"/>
    </row>
    <row r="417" ht="15" customHeight="1">
      <c r="A417" t="inlineStr">
        <is>
          <t>A 36114-2024</t>
        </is>
      </c>
      <c r="B417" s="1" t="n">
        <v>45534.30509259259</v>
      </c>
      <c r="C417" s="1" t="n">
        <v>46181</v>
      </c>
      <c r="D417" t="inlineStr">
        <is>
          <t>ÖREBRO LÄN</t>
        </is>
      </c>
      <c r="E417" t="inlineStr">
        <is>
          <t>HÄLLEFORS</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53344-2024</t>
        </is>
      </c>
      <c r="B418" s="1" t="n">
        <v>45614.44175925926</v>
      </c>
      <c r="C418" s="1" t="n">
        <v>46181</v>
      </c>
      <c r="D418" t="inlineStr">
        <is>
          <t>ÖREBRO LÄN</t>
        </is>
      </c>
      <c r="E418" t="inlineStr">
        <is>
          <t>HÄLLEFORS</t>
        </is>
      </c>
      <c r="G418" t="n">
        <v>0.9</v>
      </c>
      <c r="H418" t="n">
        <v>0</v>
      </c>
      <c r="I418" t="n">
        <v>0</v>
      </c>
      <c r="J418" t="n">
        <v>0</v>
      </c>
      <c r="K418" t="n">
        <v>0</v>
      </c>
      <c r="L418" t="n">
        <v>0</v>
      </c>
      <c r="M418" t="n">
        <v>0</v>
      </c>
      <c r="N418" t="n">
        <v>0</v>
      </c>
      <c r="O418" t="n">
        <v>0</v>
      </c>
      <c r="P418" t="n">
        <v>0</v>
      </c>
      <c r="Q418" t="n">
        <v>0</v>
      </c>
      <c r="R418" s="2" t="inlineStr"/>
    </row>
    <row r="419" ht="15" customHeight="1">
      <c r="A419" t="inlineStr">
        <is>
          <t>A 28564-2024</t>
        </is>
      </c>
      <c r="B419" s="1" t="n">
        <v>45478.38640046296</v>
      </c>
      <c r="C419" s="1" t="n">
        <v>46181</v>
      </c>
      <c r="D419" t="inlineStr">
        <is>
          <t>ÖREBRO LÄN</t>
        </is>
      </c>
      <c r="E419" t="inlineStr">
        <is>
          <t>HÄLLEFORS</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32937-2024</t>
        </is>
      </c>
      <c r="B420" s="1" t="n">
        <v>45517.32866898148</v>
      </c>
      <c r="C420" s="1" t="n">
        <v>46181</v>
      </c>
      <c r="D420" t="inlineStr">
        <is>
          <t>ÖREBRO LÄN</t>
        </is>
      </c>
      <c r="E420" t="inlineStr">
        <is>
          <t>HÄLLEFORS</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53035-2022</t>
        </is>
      </c>
      <c r="B421" s="1" t="n">
        <v>44876.30667824074</v>
      </c>
      <c r="C421" s="1" t="n">
        <v>46181</v>
      </c>
      <c r="D421" t="inlineStr">
        <is>
          <t>ÖREBRO LÄN</t>
        </is>
      </c>
      <c r="E421" t="inlineStr">
        <is>
          <t>HÄLLEFORS</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60306-2024</t>
        </is>
      </c>
      <c r="B422" s="1" t="n">
        <v>45643.34040509259</v>
      </c>
      <c r="C422" s="1" t="n">
        <v>46181</v>
      </c>
      <c r="D422" t="inlineStr">
        <is>
          <t>ÖREBRO LÄN</t>
        </is>
      </c>
      <c r="E422" t="inlineStr">
        <is>
          <t>HÄLLEFORS</t>
        </is>
      </c>
      <c r="F422" t="inlineStr">
        <is>
          <t>Bergvik skog väst AB</t>
        </is>
      </c>
      <c r="G422" t="n">
        <v>4.5</v>
      </c>
      <c r="H422" t="n">
        <v>0</v>
      </c>
      <c r="I422" t="n">
        <v>0</v>
      </c>
      <c r="J422" t="n">
        <v>0</v>
      </c>
      <c r="K422" t="n">
        <v>0</v>
      </c>
      <c r="L422" t="n">
        <v>0</v>
      </c>
      <c r="M422" t="n">
        <v>0</v>
      </c>
      <c r="N422" t="n">
        <v>0</v>
      </c>
      <c r="O422" t="n">
        <v>0</v>
      </c>
      <c r="P422" t="n">
        <v>0</v>
      </c>
      <c r="Q422" t="n">
        <v>0</v>
      </c>
      <c r="R422" s="2" t="inlineStr"/>
    </row>
    <row r="423" ht="15" customHeight="1">
      <c r="A423" t="inlineStr">
        <is>
          <t>A 5237-2025</t>
        </is>
      </c>
      <c r="B423" s="1" t="n">
        <v>45692.30760416666</v>
      </c>
      <c r="C423" s="1" t="n">
        <v>46181</v>
      </c>
      <c r="D423" t="inlineStr">
        <is>
          <t>ÖREBRO LÄN</t>
        </is>
      </c>
      <c r="E423" t="inlineStr">
        <is>
          <t>HÄLLEFORS</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35861-2024</t>
        </is>
      </c>
      <c r="B424" s="1" t="n">
        <v>45533.33751157407</v>
      </c>
      <c r="C424" s="1" t="n">
        <v>46181</v>
      </c>
      <c r="D424" t="inlineStr">
        <is>
          <t>ÖREBRO LÄN</t>
        </is>
      </c>
      <c r="E424" t="inlineStr">
        <is>
          <t>HÄLLEFORS</t>
        </is>
      </c>
      <c r="F424" t="inlineStr">
        <is>
          <t>Bergvik skog väst AB</t>
        </is>
      </c>
      <c r="G424" t="n">
        <v>25.9</v>
      </c>
      <c r="H424" t="n">
        <v>0</v>
      </c>
      <c r="I424" t="n">
        <v>0</v>
      </c>
      <c r="J424" t="n">
        <v>0</v>
      </c>
      <c r="K424" t="n">
        <v>0</v>
      </c>
      <c r="L424" t="n">
        <v>0</v>
      </c>
      <c r="M424" t="n">
        <v>0</v>
      </c>
      <c r="N424" t="n">
        <v>0</v>
      </c>
      <c r="O424" t="n">
        <v>0</v>
      </c>
      <c r="P424" t="n">
        <v>0</v>
      </c>
      <c r="Q424" t="n">
        <v>0</v>
      </c>
      <c r="R424" s="2" t="inlineStr"/>
    </row>
    <row r="425" ht="15" customHeight="1">
      <c r="A425" t="inlineStr">
        <is>
          <t>A 18927-2025</t>
        </is>
      </c>
      <c r="B425" s="1" t="n">
        <v>45764.4846412037</v>
      </c>
      <c r="C425" s="1" t="n">
        <v>46181</v>
      </c>
      <c r="D425" t="inlineStr">
        <is>
          <t>ÖREBRO LÄN</t>
        </is>
      </c>
      <c r="E425" t="inlineStr">
        <is>
          <t>HÄLLEFORS</t>
        </is>
      </c>
      <c r="F425" t="inlineStr">
        <is>
          <t>Bergvik skog väst AB</t>
        </is>
      </c>
      <c r="G425" t="n">
        <v>2.3</v>
      </c>
      <c r="H425" t="n">
        <v>0</v>
      </c>
      <c r="I425" t="n">
        <v>0</v>
      </c>
      <c r="J425" t="n">
        <v>0</v>
      </c>
      <c r="K425" t="n">
        <v>0</v>
      </c>
      <c r="L425" t="n">
        <v>0</v>
      </c>
      <c r="M425" t="n">
        <v>0</v>
      </c>
      <c r="N425" t="n">
        <v>0</v>
      </c>
      <c r="O425" t="n">
        <v>0</v>
      </c>
      <c r="P425" t="n">
        <v>0</v>
      </c>
      <c r="Q425" t="n">
        <v>0</v>
      </c>
      <c r="R425" s="2" t="inlineStr"/>
    </row>
    <row r="426" ht="15" customHeight="1">
      <c r="A426" t="inlineStr">
        <is>
          <t>A 19944-2026</t>
        </is>
      </c>
      <c r="B426" s="1" t="n">
        <v>46136.38503472223</v>
      </c>
      <c r="C426" s="1" t="n">
        <v>46181</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16169-2025</t>
        </is>
      </c>
      <c r="B427" s="1" t="n">
        <v>45750</v>
      </c>
      <c r="C427" s="1" t="n">
        <v>46181</v>
      </c>
      <c r="D427" t="inlineStr">
        <is>
          <t>ÖREBRO LÄN</t>
        </is>
      </c>
      <c r="E427" t="inlineStr">
        <is>
          <t>HÄLLEFORS</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25873-2026</t>
        </is>
      </c>
      <c r="B428" s="1" t="n">
        <v>46178.58841435185</v>
      </c>
      <c r="C428" s="1" t="n">
        <v>46181</v>
      </c>
      <c r="D428" t="inlineStr">
        <is>
          <t>ÖREBRO LÄN</t>
        </is>
      </c>
      <c r="E428" t="inlineStr">
        <is>
          <t>HÄLLEFORS</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25871-2026</t>
        </is>
      </c>
      <c r="B429" s="1" t="n">
        <v>46178.58501157408</v>
      </c>
      <c r="C429" s="1" t="n">
        <v>46181</v>
      </c>
      <c r="D429" t="inlineStr">
        <is>
          <t>ÖREBRO LÄN</t>
        </is>
      </c>
      <c r="E429" t="inlineStr">
        <is>
          <t>HÄLLEFORS</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42918-2024</t>
        </is>
      </c>
      <c r="B430" s="1" t="n">
        <v>45567.27908564815</v>
      </c>
      <c r="C430" s="1" t="n">
        <v>46181</v>
      </c>
      <c r="D430" t="inlineStr">
        <is>
          <t>ÖREBRO LÄN</t>
        </is>
      </c>
      <c r="E430" t="inlineStr">
        <is>
          <t>HÄLLEFORS</t>
        </is>
      </c>
      <c r="F430" t="inlineStr">
        <is>
          <t>Bergvik skog väst AB</t>
        </is>
      </c>
      <c r="G430" t="n">
        <v>3.8</v>
      </c>
      <c r="H430" t="n">
        <v>0</v>
      </c>
      <c r="I430" t="n">
        <v>0</v>
      </c>
      <c r="J430" t="n">
        <v>0</v>
      </c>
      <c r="K430" t="n">
        <v>0</v>
      </c>
      <c r="L430" t="n">
        <v>0</v>
      </c>
      <c r="M430" t="n">
        <v>0</v>
      </c>
      <c r="N430" t="n">
        <v>0</v>
      </c>
      <c r="O430" t="n">
        <v>0</v>
      </c>
      <c r="P430" t="n">
        <v>0</v>
      </c>
      <c r="Q430" t="n">
        <v>0</v>
      </c>
      <c r="R430" s="2" t="inlineStr"/>
    </row>
    <row r="431">
      <c r="A431" t="inlineStr">
        <is>
          <t>A 58938-2025</t>
        </is>
      </c>
      <c r="B431" s="1" t="n">
        <v>45987.56550925926</v>
      </c>
      <c r="C431" s="1" t="n">
        <v>46181</v>
      </c>
      <c r="D431" t="inlineStr">
        <is>
          <t>ÖREBRO LÄN</t>
        </is>
      </c>
      <c r="E431" t="inlineStr">
        <is>
          <t>HÄLLEFORS</t>
        </is>
      </c>
      <c r="F431" t="inlineStr">
        <is>
          <t>Bergvik skog väst AB</t>
        </is>
      </c>
      <c r="G431" t="n">
        <v>3.7</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2026-06-08T10:36:56Z</dcterms:created>
  <dcterms:modified xmlns:dcterms="http://purl.org/dc/terms/" xmlns:xsi="http://www.w3.org/2001/XMLSchema-instance" xsi:type="dcterms:W3CDTF">2026-06-08T10:36:56Z</dcterms:modified>
</cp:coreProperties>
</file>