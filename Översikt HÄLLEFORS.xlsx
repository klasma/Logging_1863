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45829</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45829</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45829</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45829</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45829</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45829</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45829</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45829</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45829</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45829</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45829</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45829</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45829</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45829</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45829</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45829</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45829</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45829</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45829</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45829</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45829</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45829</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60270-2019</t>
        </is>
      </c>
      <c r="B24" s="1" t="n">
        <v>43780</v>
      </c>
      <c r="C24" s="1" t="n">
        <v>45829</v>
      </c>
      <c r="D24" t="inlineStr">
        <is>
          <t>ÖREBRO LÄN</t>
        </is>
      </c>
      <c r="E24" t="inlineStr">
        <is>
          <t>HÄLLEFORS</t>
        </is>
      </c>
      <c r="F24" t="inlineStr">
        <is>
          <t>Bergvik skog väst AB</t>
        </is>
      </c>
      <c r="G24" t="n">
        <v>3.1</v>
      </c>
      <c r="H24" t="n">
        <v>0</v>
      </c>
      <c r="I24" t="n">
        <v>0</v>
      </c>
      <c r="J24" t="n">
        <v>1</v>
      </c>
      <c r="K24" t="n">
        <v>0</v>
      </c>
      <c r="L24" t="n">
        <v>0</v>
      </c>
      <c r="M24" t="n">
        <v>0</v>
      </c>
      <c r="N24" t="n">
        <v>0</v>
      </c>
      <c r="O24" t="n">
        <v>1</v>
      </c>
      <c r="P24" t="n">
        <v>0</v>
      </c>
      <c r="Q24" t="n">
        <v>1</v>
      </c>
      <c r="R24" s="2" t="inlineStr">
        <is>
          <t>Brunklöver</t>
        </is>
      </c>
      <c r="S24">
        <f>HYPERLINK("https://klasma.github.io/Logging_1863/artfynd/A 60270-2019 artfynd.xlsx", "A 60270-2019")</f>
        <v/>
      </c>
      <c r="T24">
        <f>HYPERLINK("https://klasma.github.io/Logging_1863/kartor/A 60270-2019 karta.png", "A 60270-2019")</f>
        <v/>
      </c>
      <c r="V24">
        <f>HYPERLINK("https://klasma.github.io/Logging_1863/klagomål/A 60270-2019 FSC-klagomål.docx", "A 60270-2019")</f>
        <v/>
      </c>
      <c r="W24">
        <f>HYPERLINK("https://klasma.github.io/Logging_1863/klagomålsmail/A 60270-2019 FSC-klagomål mail.docx", "A 60270-2019")</f>
        <v/>
      </c>
      <c r="X24">
        <f>HYPERLINK("https://klasma.github.io/Logging_1863/tillsyn/A 60270-2019 tillsynsbegäran.docx", "A 60270-2019")</f>
        <v/>
      </c>
      <c r="Y24">
        <f>HYPERLINK("https://klasma.github.io/Logging_1863/tillsynsmail/A 60270-2019 tillsynsbegäran mail.docx", "A 60270-2019")</f>
        <v/>
      </c>
    </row>
    <row r="25" ht="15" customHeight="1">
      <c r="A25" t="inlineStr">
        <is>
          <t>A 21860-2020</t>
        </is>
      </c>
      <c r="B25" s="1" t="n">
        <v>43958</v>
      </c>
      <c r="C25" s="1" t="n">
        <v>45829</v>
      </c>
      <c r="D25" t="inlineStr">
        <is>
          <t>ÖREBRO LÄN</t>
        </is>
      </c>
      <c r="E25" t="inlineStr">
        <is>
          <t>HÄLLEFORS</t>
        </is>
      </c>
      <c r="F25" t="inlineStr">
        <is>
          <t>Bergvik skog väst AB</t>
        </is>
      </c>
      <c r="G25" t="n">
        <v>2.6</v>
      </c>
      <c r="H25" t="n">
        <v>0</v>
      </c>
      <c r="I25" t="n">
        <v>0</v>
      </c>
      <c r="J25" t="n">
        <v>1</v>
      </c>
      <c r="K25" t="n">
        <v>0</v>
      </c>
      <c r="L25" t="n">
        <v>0</v>
      </c>
      <c r="M25" t="n">
        <v>0</v>
      </c>
      <c r="N25" t="n">
        <v>0</v>
      </c>
      <c r="O25" t="n">
        <v>1</v>
      </c>
      <c r="P25" t="n">
        <v>0</v>
      </c>
      <c r="Q25" t="n">
        <v>1</v>
      </c>
      <c r="R25" s="2" t="inlineStr">
        <is>
          <t>Vickerglasvinge</t>
        </is>
      </c>
      <c r="S25">
        <f>HYPERLINK("https://klasma.github.io/Logging_1863/artfynd/A 21860-2020 artfynd.xlsx", "A 21860-2020")</f>
        <v/>
      </c>
      <c r="T25">
        <f>HYPERLINK("https://klasma.github.io/Logging_1863/kartor/A 21860-2020 karta.png", "A 21860-2020")</f>
        <v/>
      </c>
      <c r="U25">
        <f>HYPERLINK("https://klasma.github.io/Logging_1863/knärot/A 21860-2020 karta knärot.png", "A 21860-2020")</f>
        <v/>
      </c>
      <c r="V25">
        <f>HYPERLINK("https://klasma.github.io/Logging_1863/klagomål/A 21860-2020 FSC-klagomål.docx", "A 21860-2020")</f>
        <v/>
      </c>
      <c r="W25">
        <f>HYPERLINK("https://klasma.github.io/Logging_1863/klagomålsmail/A 21860-2020 FSC-klagomål mail.docx", "A 21860-2020")</f>
        <v/>
      </c>
      <c r="X25">
        <f>HYPERLINK("https://klasma.github.io/Logging_1863/tillsyn/A 21860-2020 tillsynsbegäran.docx", "A 21860-2020")</f>
        <v/>
      </c>
      <c r="Y25">
        <f>HYPERLINK("https://klasma.github.io/Logging_1863/tillsynsmail/A 21860-2020 tillsynsbegäran mail.docx", "A 21860-2020")</f>
        <v/>
      </c>
    </row>
    <row r="26" ht="15" customHeight="1">
      <c r="A26" t="inlineStr">
        <is>
          <t>A 58764-2020</t>
        </is>
      </c>
      <c r="B26" s="1" t="n">
        <v>44146</v>
      </c>
      <c r="C26" s="1" t="n">
        <v>45829</v>
      </c>
      <c r="D26" t="inlineStr">
        <is>
          <t>ÖREBRO LÄN</t>
        </is>
      </c>
      <c r="E26" t="inlineStr">
        <is>
          <t>HÄLLEFORS</t>
        </is>
      </c>
      <c r="F26" t="inlineStr">
        <is>
          <t>Sveaskog</t>
        </is>
      </c>
      <c r="G26" t="n">
        <v>2</v>
      </c>
      <c r="H26" t="n">
        <v>1</v>
      </c>
      <c r="I26" t="n">
        <v>0</v>
      </c>
      <c r="J26" t="n">
        <v>1</v>
      </c>
      <c r="K26" t="n">
        <v>0</v>
      </c>
      <c r="L26" t="n">
        <v>0</v>
      </c>
      <c r="M26" t="n">
        <v>0</v>
      </c>
      <c r="N26" t="n">
        <v>0</v>
      </c>
      <c r="O26" t="n">
        <v>1</v>
      </c>
      <c r="P26" t="n">
        <v>0</v>
      </c>
      <c r="Q26" t="n">
        <v>1</v>
      </c>
      <c r="R26" s="2" t="inlineStr">
        <is>
          <t>Utter</t>
        </is>
      </c>
      <c r="S26">
        <f>HYPERLINK("https://klasma.github.io/Logging_1863/artfynd/A 58764-2020 artfynd.xlsx", "A 58764-2020")</f>
        <v/>
      </c>
      <c r="T26">
        <f>HYPERLINK("https://klasma.github.io/Logging_1863/kartor/A 58764-2020 karta.png", "A 58764-2020")</f>
        <v/>
      </c>
      <c r="V26">
        <f>HYPERLINK("https://klasma.github.io/Logging_1863/klagomål/A 58764-2020 FSC-klagomål.docx", "A 58764-2020")</f>
        <v/>
      </c>
      <c r="W26">
        <f>HYPERLINK("https://klasma.github.io/Logging_1863/klagomålsmail/A 58764-2020 FSC-klagomål mail.docx", "A 58764-2020")</f>
        <v/>
      </c>
      <c r="X26">
        <f>HYPERLINK("https://klasma.github.io/Logging_1863/tillsyn/A 58764-2020 tillsynsbegäran.docx", "A 58764-2020")</f>
        <v/>
      </c>
      <c r="Y26">
        <f>HYPERLINK("https://klasma.github.io/Logging_1863/tillsynsmail/A 58764-2020 tillsynsbegäran mail.docx", "A 58764-2020")</f>
        <v/>
      </c>
    </row>
    <row r="27" ht="15" customHeight="1">
      <c r="A27" t="inlineStr">
        <is>
          <t>A 128-2021</t>
        </is>
      </c>
      <c r="B27" s="1" t="n">
        <v>44200</v>
      </c>
      <c r="C27" s="1" t="n">
        <v>45829</v>
      </c>
      <c r="D27" t="inlineStr">
        <is>
          <t>ÖREBRO LÄN</t>
        </is>
      </c>
      <c r="E27" t="inlineStr">
        <is>
          <t>HÄLLEFORS</t>
        </is>
      </c>
      <c r="G27" t="n">
        <v>4.3</v>
      </c>
      <c r="H27" t="n">
        <v>1</v>
      </c>
      <c r="I27" t="n">
        <v>1</v>
      </c>
      <c r="J27" t="n">
        <v>0</v>
      </c>
      <c r="K27" t="n">
        <v>0</v>
      </c>
      <c r="L27" t="n">
        <v>0</v>
      </c>
      <c r="M27" t="n">
        <v>0</v>
      </c>
      <c r="N27" t="n">
        <v>0</v>
      </c>
      <c r="O27" t="n">
        <v>0</v>
      </c>
      <c r="P27" t="n">
        <v>0</v>
      </c>
      <c r="Q27" t="n">
        <v>1</v>
      </c>
      <c r="R27" s="2" t="inlineStr">
        <is>
          <t>Purpurknipprot</t>
        </is>
      </c>
      <c r="S27">
        <f>HYPERLINK("https://klasma.github.io/Logging_1863/artfynd/A 128-2021 artfynd.xlsx", "A 128-2021")</f>
        <v/>
      </c>
      <c r="T27">
        <f>HYPERLINK("https://klasma.github.io/Logging_1863/kartor/A 128-2021 karta.png", "A 128-2021")</f>
        <v/>
      </c>
      <c r="V27">
        <f>HYPERLINK("https://klasma.github.io/Logging_1863/klagomål/A 128-2021 FSC-klagomål.docx", "A 128-2021")</f>
        <v/>
      </c>
      <c r="W27">
        <f>HYPERLINK("https://klasma.github.io/Logging_1863/klagomålsmail/A 128-2021 FSC-klagomål mail.docx", "A 128-2021")</f>
        <v/>
      </c>
      <c r="X27">
        <f>HYPERLINK("https://klasma.github.io/Logging_1863/tillsyn/A 128-2021 tillsynsbegäran.docx", "A 128-2021")</f>
        <v/>
      </c>
      <c r="Y27">
        <f>HYPERLINK("https://klasma.github.io/Logging_1863/tillsynsmail/A 128-2021 tillsynsbegäran mail.docx", "A 128-2021")</f>
        <v/>
      </c>
    </row>
    <row r="28" ht="15" customHeight="1">
      <c r="A28" t="inlineStr">
        <is>
          <t>A 46114-2021</t>
        </is>
      </c>
      <c r="B28" s="1" t="n">
        <v>44442</v>
      </c>
      <c r="C28" s="1" t="n">
        <v>45829</v>
      </c>
      <c r="D28" t="inlineStr">
        <is>
          <t>ÖREBRO LÄN</t>
        </is>
      </c>
      <c r="E28" t="inlineStr">
        <is>
          <t>HÄLLEFORS</t>
        </is>
      </c>
      <c r="F28" t="inlineStr">
        <is>
          <t>Sveaskog</t>
        </is>
      </c>
      <c r="G28" t="n">
        <v>4.1</v>
      </c>
      <c r="H28" t="n">
        <v>0</v>
      </c>
      <c r="I28" t="n">
        <v>1</v>
      </c>
      <c r="J28" t="n">
        <v>0</v>
      </c>
      <c r="K28" t="n">
        <v>0</v>
      </c>
      <c r="L28" t="n">
        <v>0</v>
      </c>
      <c r="M28" t="n">
        <v>0</v>
      </c>
      <c r="N28" t="n">
        <v>0</v>
      </c>
      <c r="O28" t="n">
        <v>0</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52079-2021</t>
        </is>
      </c>
      <c r="B29" s="1" t="n">
        <v>44463</v>
      </c>
      <c r="C29" s="1" t="n">
        <v>45829</v>
      </c>
      <c r="D29" t="inlineStr">
        <is>
          <t>ÖREBRO LÄN</t>
        </is>
      </c>
      <c r="E29" t="inlineStr">
        <is>
          <t>HÄLLEFORS</t>
        </is>
      </c>
      <c r="F29" t="inlineStr">
        <is>
          <t>Bergvik skog väst AB</t>
        </is>
      </c>
      <c r="G29" t="n">
        <v>21.6</v>
      </c>
      <c r="H29" t="n">
        <v>0</v>
      </c>
      <c r="I29" t="n">
        <v>0</v>
      </c>
      <c r="J29" t="n">
        <v>1</v>
      </c>
      <c r="K29" t="n">
        <v>0</v>
      </c>
      <c r="L29" t="n">
        <v>0</v>
      </c>
      <c r="M29" t="n">
        <v>0</v>
      </c>
      <c r="N29" t="n">
        <v>0</v>
      </c>
      <c r="O29" t="n">
        <v>1</v>
      </c>
      <c r="P29" t="n">
        <v>0</v>
      </c>
      <c r="Q29" t="n">
        <v>1</v>
      </c>
      <c r="R29" s="2" t="inlineStr">
        <is>
          <t>Lunglav</t>
        </is>
      </c>
      <c r="S29">
        <f>HYPERLINK("https://klasma.github.io/Logging_1863/artfynd/A 52079-2021 artfynd.xlsx", "A 52079-2021")</f>
        <v/>
      </c>
      <c r="T29">
        <f>HYPERLINK("https://klasma.github.io/Logging_1863/kartor/A 52079-2021 karta.png", "A 52079-2021")</f>
        <v/>
      </c>
      <c r="V29">
        <f>HYPERLINK("https://klasma.github.io/Logging_1863/klagomål/A 52079-2021 FSC-klagomål.docx", "A 52079-2021")</f>
        <v/>
      </c>
      <c r="W29">
        <f>HYPERLINK("https://klasma.github.io/Logging_1863/klagomålsmail/A 52079-2021 FSC-klagomål mail.docx", "A 52079-2021")</f>
        <v/>
      </c>
      <c r="X29">
        <f>HYPERLINK("https://klasma.github.io/Logging_1863/tillsyn/A 52079-2021 tillsynsbegäran.docx", "A 52079-2021")</f>
        <v/>
      </c>
      <c r="Y29">
        <f>HYPERLINK("https://klasma.github.io/Logging_1863/tillsynsmail/A 52079-2021 tillsynsbegäran mail.docx", "A 52079-2021")</f>
        <v/>
      </c>
    </row>
    <row r="30" ht="15" customHeight="1">
      <c r="A30" t="inlineStr">
        <is>
          <t>A 71826-2021</t>
        </is>
      </c>
      <c r="B30" s="1" t="n">
        <v>44543</v>
      </c>
      <c r="C30" s="1" t="n">
        <v>45829</v>
      </c>
      <c r="D30" t="inlineStr">
        <is>
          <t>ÖREBRO LÄN</t>
        </is>
      </c>
      <c r="E30" t="inlineStr">
        <is>
          <t>HÄLLEFORS</t>
        </is>
      </c>
      <c r="F30" t="inlineStr">
        <is>
          <t>Sveaskog</t>
        </is>
      </c>
      <c r="G30" t="n">
        <v>0.2</v>
      </c>
      <c r="H30" t="n">
        <v>1</v>
      </c>
      <c r="I30" t="n">
        <v>0</v>
      </c>
      <c r="J30" t="n">
        <v>0</v>
      </c>
      <c r="K30" t="n">
        <v>0</v>
      </c>
      <c r="L30" t="n">
        <v>0</v>
      </c>
      <c r="M30" t="n">
        <v>0</v>
      </c>
      <c r="N30" t="n">
        <v>0</v>
      </c>
      <c r="O30" t="n">
        <v>0</v>
      </c>
      <c r="P30" t="n">
        <v>0</v>
      </c>
      <c r="Q30" t="n">
        <v>1</v>
      </c>
      <c r="R30" s="2" t="inlineStr">
        <is>
          <t>Gullviva</t>
        </is>
      </c>
      <c r="S30">
        <f>HYPERLINK("https://klasma.github.io/Logging_1863/artfynd/A 71826-2021 artfynd.xlsx", "A 71826-2021")</f>
        <v/>
      </c>
      <c r="T30">
        <f>HYPERLINK("https://klasma.github.io/Logging_1863/kartor/A 71826-2021 karta.png", "A 71826-2021")</f>
        <v/>
      </c>
      <c r="V30">
        <f>HYPERLINK("https://klasma.github.io/Logging_1863/klagomål/A 71826-2021 FSC-klagomål.docx", "A 71826-2021")</f>
        <v/>
      </c>
      <c r="W30">
        <f>HYPERLINK("https://klasma.github.io/Logging_1863/klagomålsmail/A 71826-2021 FSC-klagomål mail.docx", "A 71826-2021")</f>
        <v/>
      </c>
      <c r="X30">
        <f>HYPERLINK("https://klasma.github.io/Logging_1863/tillsyn/A 71826-2021 tillsynsbegäran.docx", "A 71826-2021")</f>
        <v/>
      </c>
      <c r="Y30">
        <f>HYPERLINK("https://klasma.github.io/Logging_1863/tillsynsmail/A 71826-2021 tillsynsbegäran mail.docx", "A 71826-2021")</f>
        <v/>
      </c>
    </row>
    <row r="31" ht="15" customHeight="1">
      <c r="A31" t="inlineStr">
        <is>
          <t>A 27134-2022</t>
        </is>
      </c>
      <c r="B31" s="1" t="n">
        <v>44741</v>
      </c>
      <c r="C31" s="1" t="n">
        <v>45829</v>
      </c>
      <c r="D31" t="inlineStr">
        <is>
          <t>ÖREBRO LÄN</t>
        </is>
      </c>
      <c r="E31" t="inlineStr">
        <is>
          <t>HÄLLEFORS</t>
        </is>
      </c>
      <c r="F31" t="inlineStr">
        <is>
          <t>Bergvik skog väst AB</t>
        </is>
      </c>
      <c r="G31" t="n">
        <v>8.1</v>
      </c>
      <c r="H31" t="n">
        <v>1</v>
      </c>
      <c r="I31" t="n">
        <v>0</v>
      </c>
      <c r="J31" t="n">
        <v>0</v>
      </c>
      <c r="K31" t="n">
        <v>0</v>
      </c>
      <c r="L31" t="n">
        <v>0</v>
      </c>
      <c r="M31" t="n">
        <v>0</v>
      </c>
      <c r="N31" t="n">
        <v>0</v>
      </c>
      <c r="O31" t="n">
        <v>0</v>
      </c>
      <c r="P31" t="n">
        <v>0</v>
      </c>
      <c r="Q31" t="n">
        <v>1</v>
      </c>
      <c r="R31" s="2" t="inlineStr">
        <is>
          <t>Nattviol</t>
        </is>
      </c>
      <c r="S31">
        <f>HYPERLINK("https://klasma.github.io/Logging_1863/artfynd/A 27134-2022 artfynd.xlsx", "A 27134-2022")</f>
        <v/>
      </c>
      <c r="T31">
        <f>HYPERLINK("https://klasma.github.io/Logging_1863/kartor/A 27134-2022 karta.png", "A 27134-2022")</f>
        <v/>
      </c>
      <c r="V31">
        <f>HYPERLINK("https://klasma.github.io/Logging_1863/klagomål/A 27134-2022 FSC-klagomål.docx", "A 27134-2022")</f>
        <v/>
      </c>
      <c r="W31">
        <f>HYPERLINK("https://klasma.github.io/Logging_1863/klagomålsmail/A 27134-2022 FSC-klagomål mail.docx", "A 27134-2022")</f>
        <v/>
      </c>
      <c r="X31">
        <f>HYPERLINK("https://klasma.github.io/Logging_1863/tillsyn/A 27134-2022 tillsynsbegäran.docx", "A 27134-2022")</f>
        <v/>
      </c>
      <c r="Y31">
        <f>HYPERLINK("https://klasma.github.io/Logging_1863/tillsynsmail/A 27134-2022 tillsynsbegäran mail.docx", "A 27134-2022")</f>
        <v/>
      </c>
    </row>
    <row r="32" ht="15" customHeight="1">
      <c r="A32" t="inlineStr">
        <is>
          <t>A 39540-2022</t>
        </is>
      </c>
      <c r="B32" s="1" t="n">
        <v>44818</v>
      </c>
      <c r="C32" s="1" t="n">
        <v>45829</v>
      </c>
      <c r="D32" t="inlineStr">
        <is>
          <t>ÖREBRO LÄN</t>
        </is>
      </c>
      <c r="E32" t="inlineStr">
        <is>
          <t>HÄLLEFORS</t>
        </is>
      </c>
      <c r="G32" t="n">
        <v>0.5</v>
      </c>
      <c r="H32" t="n">
        <v>0</v>
      </c>
      <c r="I32" t="n">
        <v>1</v>
      </c>
      <c r="J32" t="n">
        <v>0</v>
      </c>
      <c r="K32" t="n">
        <v>0</v>
      </c>
      <c r="L32" t="n">
        <v>0</v>
      </c>
      <c r="M32" t="n">
        <v>0</v>
      </c>
      <c r="N32" t="n">
        <v>0</v>
      </c>
      <c r="O32" t="n">
        <v>0</v>
      </c>
      <c r="P32" t="n">
        <v>0</v>
      </c>
      <c r="Q32" t="n">
        <v>1</v>
      </c>
      <c r="R32" s="2" t="inlineStr">
        <is>
          <t>Norrlandslav</t>
        </is>
      </c>
      <c r="S32">
        <f>HYPERLINK("https://klasma.github.io/Logging_1863/artfynd/A 39540-2022 artfynd.xlsx", "A 39540-2022")</f>
        <v/>
      </c>
      <c r="T32">
        <f>HYPERLINK("https://klasma.github.io/Logging_1863/kartor/A 39540-2022 karta.png", "A 39540-2022")</f>
        <v/>
      </c>
      <c r="V32">
        <f>HYPERLINK("https://klasma.github.io/Logging_1863/klagomål/A 39540-2022 FSC-klagomål.docx", "A 39540-2022")</f>
        <v/>
      </c>
      <c r="W32">
        <f>HYPERLINK("https://klasma.github.io/Logging_1863/klagomålsmail/A 39540-2022 FSC-klagomål mail.docx", "A 39540-2022")</f>
        <v/>
      </c>
      <c r="X32">
        <f>HYPERLINK("https://klasma.github.io/Logging_1863/tillsyn/A 39540-2022 tillsynsbegäran.docx", "A 39540-2022")</f>
        <v/>
      </c>
      <c r="Y32">
        <f>HYPERLINK("https://klasma.github.io/Logging_1863/tillsynsmail/A 39540-2022 tillsynsbegäran mail.docx", "A 39540-2022")</f>
        <v/>
      </c>
    </row>
    <row r="33" ht="15" customHeight="1">
      <c r="A33" t="inlineStr">
        <is>
          <t>A 54267-2022</t>
        </is>
      </c>
      <c r="B33" s="1" t="n">
        <v>44882</v>
      </c>
      <c r="C33" s="1" t="n">
        <v>45829</v>
      </c>
      <c r="D33" t="inlineStr">
        <is>
          <t>ÖREBRO LÄN</t>
        </is>
      </c>
      <c r="E33" t="inlineStr">
        <is>
          <t>HÄLLEFORS</t>
        </is>
      </c>
      <c r="F33" t="inlineStr">
        <is>
          <t>Bergvik skog väst AB</t>
        </is>
      </c>
      <c r="G33" t="n">
        <v>1.3</v>
      </c>
      <c r="H33" t="n">
        <v>1</v>
      </c>
      <c r="I33" t="n">
        <v>0</v>
      </c>
      <c r="J33" t="n">
        <v>0</v>
      </c>
      <c r="K33" t="n">
        <v>1</v>
      </c>
      <c r="L33" t="n">
        <v>0</v>
      </c>
      <c r="M33" t="n">
        <v>0</v>
      </c>
      <c r="N33" t="n">
        <v>0</v>
      </c>
      <c r="O33" t="n">
        <v>1</v>
      </c>
      <c r="P33" t="n">
        <v>1</v>
      </c>
      <c r="Q33" t="n">
        <v>1</v>
      </c>
      <c r="R33" s="2" t="inlineStr">
        <is>
          <t>Knärot</t>
        </is>
      </c>
      <c r="S33">
        <f>HYPERLINK("https://klasma.github.io/Logging_1863/artfynd/A 54267-2022 artfynd.xlsx", "A 54267-2022")</f>
        <v/>
      </c>
      <c r="T33">
        <f>HYPERLINK("https://klasma.github.io/Logging_1863/kartor/A 54267-2022 karta.png", "A 54267-2022")</f>
        <v/>
      </c>
      <c r="U33">
        <f>HYPERLINK("https://klasma.github.io/Logging_1863/knärot/A 54267-2022 karta knärot.png", "A 54267-2022")</f>
        <v/>
      </c>
      <c r="V33">
        <f>HYPERLINK("https://klasma.github.io/Logging_1863/klagomål/A 54267-2022 FSC-klagomål.docx", "A 54267-2022")</f>
        <v/>
      </c>
      <c r="W33">
        <f>HYPERLINK("https://klasma.github.io/Logging_1863/klagomålsmail/A 54267-2022 FSC-klagomål mail.docx", "A 54267-2022")</f>
        <v/>
      </c>
      <c r="X33">
        <f>HYPERLINK("https://klasma.github.io/Logging_1863/tillsyn/A 54267-2022 tillsynsbegäran.docx", "A 54267-2022")</f>
        <v/>
      </c>
      <c r="Y33">
        <f>HYPERLINK("https://klasma.github.io/Logging_1863/tillsynsmail/A 54267-2022 tillsynsbegäran mail.docx", "A 54267-2022")</f>
        <v/>
      </c>
    </row>
    <row r="34" ht="15" customHeight="1">
      <c r="A34" t="inlineStr">
        <is>
          <t>A 60162-2022</t>
        </is>
      </c>
      <c r="B34" s="1" t="n">
        <v>44909</v>
      </c>
      <c r="C34" s="1" t="n">
        <v>45829</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4652-2023</t>
        </is>
      </c>
      <c r="B35" s="1" t="n">
        <v>44957</v>
      </c>
      <c r="C35" s="1" t="n">
        <v>45829</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Vedtrappmossa</t>
        </is>
      </c>
      <c r="S35">
        <f>HYPERLINK("https://klasma.github.io/Logging_1863/artfynd/A 4652-2023 artfynd.xlsx", "A 4652-2023")</f>
        <v/>
      </c>
      <c r="T35">
        <f>HYPERLINK("https://klasma.github.io/Logging_1863/kartor/A 4652-2023 karta.png", "A 4652-2023")</f>
        <v/>
      </c>
      <c r="V35">
        <f>HYPERLINK("https://klasma.github.io/Logging_1863/klagomål/A 4652-2023 FSC-klagomål.docx", "A 4652-2023")</f>
        <v/>
      </c>
      <c r="W35">
        <f>HYPERLINK("https://klasma.github.io/Logging_1863/klagomålsmail/A 4652-2023 FSC-klagomål mail.docx", "A 4652-2023")</f>
        <v/>
      </c>
      <c r="X35">
        <f>HYPERLINK("https://klasma.github.io/Logging_1863/tillsyn/A 4652-2023 tillsynsbegäran.docx", "A 4652-2023")</f>
        <v/>
      </c>
      <c r="Y35">
        <f>HYPERLINK("https://klasma.github.io/Logging_1863/tillsynsmail/A 4652-2023 tillsynsbegäran mail.docx", "A 4652-2023")</f>
        <v/>
      </c>
    </row>
    <row r="36" ht="15" customHeight="1">
      <c r="A36" t="inlineStr">
        <is>
          <t>A 24357-2023</t>
        </is>
      </c>
      <c r="B36" s="1" t="n">
        <v>45082</v>
      </c>
      <c r="C36" s="1" t="n">
        <v>45829</v>
      </c>
      <c r="D36" t="inlineStr">
        <is>
          <t>ÖREBRO LÄN</t>
        </is>
      </c>
      <c r="E36" t="inlineStr">
        <is>
          <t>HÄLLEFORS</t>
        </is>
      </c>
      <c r="F36" t="inlineStr">
        <is>
          <t>Sveaskog</t>
        </is>
      </c>
      <c r="G36" t="n">
        <v>9</v>
      </c>
      <c r="H36" t="n">
        <v>1</v>
      </c>
      <c r="I36" t="n">
        <v>0</v>
      </c>
      <c r="J36" t="n">
        <v>0</v>
      </c>
      <c r="K36" t="n">
        <v>0</v>
      </c>
      <c r="L36" t="n">
        <v>0</v>
      </c>
      <c r="M36" t="n">
        <v>0</v>
      </c>
      <c r="N36" t="n">
        <v>0</v>
      </c>
      <c r="O36" t="n">
        <v>0</v>
      </c>
      <c r="P36" t="n">
        <v>0</v>
      </c>
      <c r="Q36" t="n">
        <v>1</v>
      </c>
      <c r="R36" s="2" t="inlineStr">
        <is>
          <t>Fläcknycklar</t>
        </is>
      </c>
      <c r="S36">
        <f>HYPERLINK("https://klasma.github.io/Logging_1863/artfynd/A 24357-2023 artfynd.xlsx", "A 24357-2023")</f>
        <v/>
      </c>
      <c r="T36">
        <f>HYPERLINK("https://klasma.github.io/Logging_1863/kartor/A 24357-2023 karta.png", "A 24357-2023")</f>
        <v/>
      </c>
      <c r="V36">
        <f>HYPERLINK("https://klasma.github.io/Logging_1863/klagomål/A 24357-2023 FSC-klagomål.docx", "A 24357-2023")</f>
        <v/>
      </c>
      <c r="W36">
        <f>HYPERLINK("https://klasma.github.io/Logging_1863/klagomålsmail/A 24357-2023 FSC-klagomål mail.docx", "A 24357-2023")</f>
        <v/>
      </c>
      <c r="X36">
        <f>HYPERLINK("https://klasma.github.io/Logging_1863/tillsyn/A 24357-2023 tillsynsbegäran.docx", "A 24357-2023")</f>
        <v/>
      </c>
      <c r="Y36">
        <f>HYPERLINK("https://klasma.github.io/Logging_1863/tillsynsmail/A 24357-2023 tillsynsbegäran mail.docx", "A 24357-2023")</f>
        <v/>
      </c>
    </row>
    <row r="37" ht="15" customHeight="1">
      <c r="A37" t="inlineStr">
        <is>
          <t>A 41834-2023</t>
        </is>
      </c>
      <c r="B37" s="1" t="n">
        <v>45176</v>
      </c>
      <c r="C37" s="1" t="n">
        <v>45829</v>
      </c>
      <c r="D37" t="inlineStr">
        <is>
          <t>ÖREBRO LÄN</t>
        </is>
      </c>
      <c r="E37" t="inlineStr">
        <is>
          <t>HÄLLEFORS</t>
        </is>
      </c>
      <c r="F37" t="inlineStr">
        <is>
          <t>Bergvik skog väst AB</t>
        </is>
      </c>
      <c r="G37" t="n">
        <v>3.4</v>
      </c>
      <c r="H37" t="n">
        <v>1</v>
      </c>
      <c r="I37" t="n">
        <v>1</v>
      </c>
      <c r="J37" t="n">
        <v>0</v>
      </c>
      <c r="K37" t="n">
        <v>0</v>
      </c>
      <c r="L37" t="n">
        <v>0</v>
      </c>
      <c r="M37" t="n">
        <v>0</v>
      </c>
      <c r="N37" t="n">
        <v>0</v>
      </c>
      <c r="O37" t="n">
        <v>0</v>
      </c>
      <c r="P37" t="n">
        <v>0</v>
      </c>
      <c r="Q37" t="n">
        <v>1</v>
      </c>
      <c r="R37" s="2" t="inlineStr">
        <is>
          <t>Plattlummer</t>
        </is>
      </c>
      <c r="S37">
        <f>HYPERLINK("https://klasma.github.io/Logging_1863/artfynd/A 41834-2023 artfynd.xlsx", "A 41834-2023")</f>
        <v/>
      </c>
      <c r="T37">
        <f>HYPERLINK("https://klasma.github.io/Logging_1863/kartor/A 41834-2023 karta.png", "A 41834-2023")</f>
        <v/>
      </c>
      <c r="V37">
        <f>HYPERLINK("https://klasma.github.io/Logging_1863/klagomål/A 41834-2023 FSC-klagomål.docx", "A 41834-2023")</f>
        <v/>
      </c>
      <c r="W37">
        <f>HYPERLINK("https://klasma.github.io/Logging_1863/klagomålsmail/A 41834-2023 FSC-klagomål mail.docx", "A 41834-2023")</f>
        <v/>
      </c>
      <c r="X37">
        <f>HYPERLINK("https://klasma.github.io/Logging_1863/tillsyn/A 41834-2023 tillsynsbegäran.docx", "A 41834-2023")</f>
        <v/>
      </c>
      <c r="Y37">
        <f>HYPERLINK("https://klasma.github.io/Logging_1863/tillsynsmail/A 41834-2023 tillsynsbegäran mail.docx", "A 41834-2023")</f>
        <v/>
      </c>
    </row>
    <row r="38" ht="15" customHeight="1">
      <c r="A38" t="inlineStr">
        <is>
          <t>A 55623-2023</t>
        </is>
      </c>
      <c r="B38" s="1" t="n">
        <v>45238</v>
      </c>
      <c r="C38" s="1" t="n">
        <v>45829</v>
      </c>
      <c r="D38" t="inlineStr">
        <is>
          <t>ÖREBRO LÄN</t>
        </is>
      </c>
      <c r="E38" t="inlineStr">
        <is>
          <t>HÄLLEFORS</t>
        </is>
      </c>
      <c r="G38" t="n">
        <v>5.8</v>
      </c>
      <c r="H38" t="n">
        <v>0</v>
      </c>
      <c r="I38" t="n">
        <v>1</v>
      </c>
      <c r="J38" t="n">
        <v>0</v>
      </c>
      <c r="K38" t="n">
        <v>0</v>
      </c>
      <c r="L38" t="n">
        <v>0</v>
      </c>
      <c r="M38" t="n">
        <v>0</v>
      </c>
      <c r="N38" t="n">
        <v>0</v>
      </c>
      <c r="O38" t="n">
        <v>0</v>
      </c>
      <c r="P38" t="n">
        <v>0</v>
      </c>
      <c r="Q38" t="n">
        <v>1</v>
      </c>
      <c r="R38" s="2" t="inlineStr">
        <is>
          <t>Norrlandslav</t>
        </is>
      </c>
      <c r="S38">
        <f>HYPERLINK("https://klasma.github.io/Logging_1863/artfynd/A 55623-2023 artfynd.xlsx", "A 55623-2023")</f>
        <v/>
      </c>
      <c r="T38">
        <f>HYPERLINK("https://klasma.github.io/Logging_1863/kartor/A 55623-2023 karta.png", "A 55623-2023")</f>
        <v/>
      </c>
      <c r="V38">
        <f>HYPERLINK("https://klasma.github.io/Logging_1863/klagomål/A 55623-2023 FSC-klagomål.docx", "A 55623-2023")</f>
        <v/>
      </c>
      <c r="W38">
        <f>HYPERLINK("https://klasma.github.io/Logging_1863/klagomålsmail/A 55623-2023 FSC-klagomål mail.docx", "A 55623-2023")</f>
        <v/>
      </c>
      <c r="X38">
        <f>HYPERLINK("https://klasma.github.io/Logging_1863/tillsyn/A 55623-2023 tillsynsbegäran.docx", "A 55623-2023")</f>
        <v/>
      </c>
      <c r="Y38">
        <f>HYPERLINK("https://klasma.github.io/Logging_1863/tillsynsmail/A 55623-2023 tillsynsbegäran mail.docx", "A 55623-2023")</f>
        <v/>
      </c>
    </row>
    <row r="39" ht="15" customHeight="1">
      <c r="A39" t="inlineStr">
        <is>
          <t>A 14985-2024</t>
        </is>
      </c>
      <c r="B39" s="1" t="n">
        <v>45399</v>
      </c>
      <c r="C39" s="1" t="n">
        <v>45829</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28598-2024</t>
        </is>
      </c>
      <c r="B40" s="1" t="n">
        <v>45478</v>
      </c>
      <c r="C40" s="1" t="n">
        <v>45829</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39105-2024</t>
        </is>
      </c>
      <c r="B41" s="1" t="n">
        <v>45548</v>
      </c>
      <c r="C41" s="1" t="n">
        <v>45829</v>
      </c>
      <c r="D41" t="inlineStr">
        <is>
          <t>ÖREBRO LÄN</t>
        </is>
      </c>
      <c r="E41" t="inlineStr">
        <is>
          <t>HÄLLEFORS</t>
        </is>
      </c>
      <c r="G41" t="n">
        <v>3.3</v>
      </c>
      <c r="H41" t="n">
        <v>0</v>
      </c>
      <c r="I41" t="n">
        <v>0</v>
      </c>
      <c r="J41" t="n">
        <v>0</v>
      </c>
      <c r="K41" t="n">
        <v>1</v>
      </c>
      <c r="L41" t="n">
        <v>0</v>
      </c>
      <c r="M41" t="n">
        <v>0</v>
      </c>
      <c r="N41" t="n">
        <v>0</v>
      </c>
      <c r="O41" t="n">
        <v>1</v>
      </c>
      <c r="P41" t="n">
        <v>1</v>
      </c>
      <c r="Q41" t="n">
        <v>1</v>
      </c>
      <c r="R41" s="2" t="inlineStr">
        <is>
          <t>Trollsmultron</t>
        </is>
      </c>
      <c r="S41">
        <f>HYPERLINK("https://klasma.github.io/Logging_1863/artfynd/A 39105-2024 artfynd.xlsx", "A 39105-2024")</f>
        <v/>
      </c>
      <c r="T41">
        <f>HYPERLINK("https://klasma.github.io/Logging_1863/kartor/A 39105-2024 karta.png", "A 39105-2024")</f>
        <v/>
      </c>
      <c r="V41">
        <f>HYPERLINK("https://klasma.github.io/Logging_1863/klagomål/A 39105-2024 FSC-klagomål.docx", "A 39105-2024")</f>
        <v/>
      </c>
      <c r="W41">
        <f>HYPERLINK("https://klasma.github.io/Logging_1863/klagomålsmail/A 39105-2024 FSC-klagomål mail.docx", "A 39105-2024")</f>
        <v/>
      </c>
      <c r="X41">
        <f>HYPERLINK("https://klasma.github.io/Logging_1863/tillsyn/A 39105-2024 tillsynsbegäran.docx", "A 39105-2024")</f>
        <v/>
      </c>
      <c r="Y41">
        <f>HYPERLINK("https://klasma.github.io/Logging_1863/tillsynsmail/A 39105-2024 tillsynsbegäran mail.docx", "A 39105-2024")</f>
        <v/>
      </c>
    </row>
    <row r="42" ht="15" customHeight="1">
      <c r="A42" t="inlineStr">
        <is>
          <t>A 44781-2024</t>
        </is>
      </c>
      <c r="B42" s="1" t="n">
        <v>45574</v>
      </c>
      <c r="C42" s="1" t="n">
        <v>45829</v>
      </c>
      <c r="D42" t="inlineStr">
        <is>
          <t>ÖREBRO LÄN</t>
        </is>
      </c>
      <c r="E42" t="inlineStr">
        <is>
          <t>HÄLLEFORS</t>
        </is>
      </c>
      <c r="F42" t="inlineStr">
        <is>
          <t>Sveaskog</t>
        </is>
      </c>
      <c r="G42" t="n">
        <v>2.7</v>
      </c>
      <c r="H42" t="n">
        <v>0</v>
      </c>
      <c r="I42" t="n">
        <v>1</v>
      </c>
      <c r="J42" t="n">
        <v>0</v>
      </c>
      <c r="K42" t="n">
        <v>0</v>
      </c>
      <c r="L42" t="n">
        <v>0</v>
      </c>
      <c r="M42" t="n">
        <v>0</v>
      </c>
      <c r="N42" t="n">
        <v>0</v>
      </c>
      <c r="O42" t="n">
        <v>0</v>
      </c>
      <c r="P42" t="n">
        <v>0</v>
      </c>
      <c r="Q42" t="n">
        <v>1</v>
      </c>
      <c r="R42" s="2" t="inlineStr">
        <is>
          <t>Rödgul trumpetsvamp</t>
        </is>
      </c>
      <c r="S42">
        <f>HYPERLINK("https://klasma.github.io/Logging_1863/artfynd/A 44781-2024 artfynd.xlsx", "A 44781-2024")</f>
        <v/>
      </c>
      <c r="T42">
        <f>HYPERLINK("https://klasma.github.io/Logging_1863/kartor/A 44781-2024 karta.png", "A 44781-2024")</f>
        <v/>
      </c>
      <c r="V42">
        <f>HYPERLINK("https://klasma.github.io/Logging_1863/klagomål/A 44781-2024 FSC-klagomål.docx", "A 44781-2024")</f>
        <v/>
      </c>
      <c r="W42">
        <f>HYPERLINK("https://klasma.github.io/Logging_1863/klagomålsmail/A 44781-2024 FSC-klagomål mail.docx", "A 44781-2024")</f>
        <v/>
      </c>
      <c r="X42">
        <f>HYPERLINK("https://klasma.github.io/Logging_1863/tillsyn/A 44781-2024 tillsynsbegäran.docx", "A 44781-2024")</f>
        <v/>
      </c>
      <c r="Y42">
        <f>HYPERLINK("https://klasma.github.io/Logging_1863/tillsynsmail/A 44781-2024 tillsynsbegäran mail.docx", "A 44781-2024")</f>
        <v/>
      </c>
    </row>
    <row r="43" ht="15" customHeight="1">
      <c r="A43" t="inlineStr">
        <is>
          <t>A 55749-2024</t>
        </is>
      </c>
      <c r="B43" s="1" t="n">
        <v>45623</v>
      </c>
      <c r="C43" s="1" t="n">
        <v>45829</v>
      </c>
      <c r="D43" t="inlineStr">
        <is>
          <t>ÖREBRO LÄN</t>
        </is>
      </c>
      <c r="E43" t="inlineStr">
        <is>
          <t>HÄLLEFORS</t>
        </is>
      </c>
      <c r="F43" t="inlineStr">
        <is>
          <t>Bergvik skog väst AB</t>
        </is>
      </c>
      <c r="G43" t="n">
        <v>2.9</v>
      </c>
      <c r="H43" t="n">
        <v>0</v>
      </c>
      <c r="I43" t="n">
        <v>0</v>
      </c>
      <c r="J43" t="n">
        <v>1</v>
      </c>
      <c r="K43" t="n">
        <v>0</v>
      </c>
      <c r="L43" t="n">
        <v>0</v>
      </c>
      <c r="M43" t="n">
        <v>0</v>
      </c>
      <c r="N43" t="n">
        <v>0</v>
      </c>
      <c r="O43" t="n">
        <v>1</v>
      </c>
      <c r="P43" t="n">
        <v>0</v>
      </c>
      <c r="Q43" t="n">
        <v>1</v>
      </c>
      <c r="R43" s="2" t="inlineStr">
        <is>
          <t>Garnlav</t>
        </is>
      </c>
      <c r="S43">
        <f>HYPERLINK("https://klasma.github.io/Logging_1863/artfynd/A 55749-2024 artfynd.xlsx", "A 55749-2024")</f>
        <v/>
      </c>
      <c r="T43">
        <f>HYPERLINK("https://klasma.github.io/Logging_1863/kartor/A 55749-2024 karta.png", "A 55749-2024")</f>
        <v/>
      </c>
      <c r="V43">
        <f>HYPERLINK("https://klasma.github.io/Logging_1863/klagomål/A 55749-2024 FSC-klagomål.docx", "A 55749-2024")</f>
        <v/>
      </c>
      <c r="W43">
        <f>HYPERLINK("https://klasma.github.io/Logging_1863/klagomålsmail/A 55749-2024 FSC-klagomål mail.docx", "A 55749-2024")</f>
        <v/>
      </c>
      <c r="X43">
        <f>HYPERLINK("https://klasma.github.io/Logging_1863/tillsyn/A 55749-2024 tillsynsbegäran.docx", "A 55749-2024")</f>
        <v/>
      </c>
      <c r="Y43">
        <f>HYPERLINK("https://klasma.github.io/Logging_1863/tillsynsmail/A 55749-2024 tillsynsbegäran mail.docx", "A 55749-2024")</f>
        <v/>
      </c>
    </row>
    <row r="44" ht="15" customHeight="1">
      <c r="A44" t="inlineStr">
        <is>
          <t>A 421-2025</t>
        </is>
      </c>
      <c r="B44" s="1" t="n">
        <v>45663</v>
      </c>
      <c r="C44" s="1" t="n">
        <v>45829</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1585-2025</t>
        </is>
      </c>
      <c r="B45" s="1" t="n">
        <v>45670</v>
      </c>
      <c r="C45" s="1" t="n">
        <v>45829</v>
      </c>
      <c r="D45" t="inlineStr">
        <is>
          <t>ÖREBRO LÄN</t>
        </is>
      </c>
      <c r="E45" t="inlineStr">
        <is>
          <t>HÄLLEFORS</t>
        </is>
      </c>
      <c r="F45" t="inlineStr">
        <is>
          <t>Sveaskog</t>
        </is>
      </c>
      <c r="G45" t="n">
        <v>2.8</v>
      </c>
      <c r="H45" t="n">
        <v>1</v>
      </c>
      <c r="I45" t="n">
        <v>0</v>
      </c>
      <c r="J45" t="n">
        <v>0</v>
      </c>
      <c r="K45" t="n">
        <v>0</v>
      </c>
      <c r="L45" t="n">
        <v>0</v>
      </c>
      <c r="M45" t="n">
        <v>0</v>
      </c>
      <c r="N45" t="n">
        <v>0</v>
      </c>
      <c r="O45" t="n">
        <v>0</v>
      </c>
      <c r="P45" t="n">
        <v>0</v>
      </c>
      <c r="Q45" t="n">
        <v>1</v>
      </c>
      <c r="R45" s="2" t="inlineStr">
        <is>
          <t>Tjäder</t>
        </is>
      </c>
      <c r="S45">
        <f>HYPERLINK("https://klasma.github.io/Logging_1863/artfynd/A 1585-2025 artfynd.xlsx", "A 1585-2025")</f>
        <v/>
      </c>
      <c r="T45">
        <f>HYPERLINK("https://klasma.github.io/Logging_1863/kartor/A 1585-2025 karta.png", "A 1585-2025")</f>
        <v/>
      </c>
      <c r="V45">
        <f>HYPERLINK("https://klasma.github.io/Logging_1863/klagomål/A 1585-2025 FSC-klagomål.docx", "A 1585-2025")</f>
        <v/>
      </c>
      <c r="W45">
        <f>HYPERLINK("https://klasma.github.io/Logging_1863/klagomålsmail/A 1585-2025 FSC-klagomål mail.docx", "A 1585-2025")</f>
        <v/>
      </c>
      <c r="X45">
        <f>HYPERLINK("https://klasma.github.io/Logging_1863/tillsyn/A 1585-2025 tillsynsbegäran.docx", "A 1585-2025")</f>
        <v/>
      </c>
      <c r="Y45">
        <f>HYPERLINK("https://klasma.github.io/Logging_1863/tillsynsmail/A 1585-2025 tillsynsbegäran mail.docx", "A 1585-2025")</f>
        <v/>
      </c>
      <c r="Z45">
        <f>HYPERLINK("https://klasma.github.io/Logging_1863/fåglar/A 1585-2025 prioriterade fågelarter.docx", "A 1585-2025")</f>
        <v/>
      </c>
    </row>
    <row r="46" ht="15" customHeight="1">
      <c r="A46" t="inlineStr">
        <is>
          <t>A 5244-2025</t>
        </is>
      </c>
      <c r="B46" s="1" t="n">
        <v>45692</v>
      </c>
      <c r="C46" s="1" t="n">
        <v>45829</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16923-2025</t>
        </is>
      </c>
      <c r="B47" s="1" t="n">
        <v>45755</v>
      </c>
      <c r="C47" s="1" t="n">
        <v>45829</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HYPERLINK("https://klasma.github.io/Logging_181863/artfynd/A 16923-2025 artfynd.xlsx", "A 16923-2025")</f>
        <v/>
      </c>
      <c r="T47">
        <f>HYPERLINK("https://klasma.github.io/Logging_181863/kartor/A 16923-2025 karta.png", "A 16923-2025")</f>
        <v/>
      </c>
      <c r="V47">
        <f>HYPERLINK("https://klasma.github.io/Logging_181863/klagomål/A 16923-2025 FSC-klagomål.docx", "A 16923-2025")</f>
        <v/>
      </c>
      <c r="W47">
        <f>HYPERLINK("https://klasma.github.io/Logging_181863/klagomålsmail/A 16923-2025 FSC-klagomål mail.docx", "A 16923-2025")</f>
        <v/>
      </c>
      <c r="X47">
        <f>HYPERLINK("https://klasma.github.io/Logging_181863/tillsyn/A 16923-2025 tillsynsbegäran.docx", "A 16923-2025")</f>
        <v/>
      </c>
      <c r="Y47">
        <f>HYPERLINK("https://klasma.github.io/Logging_181863/tillsynsmail/A 16923-2025 tillsynsbegäran mail.docx", "A 16923-2025")</f>
        <v/>
      </c>
    </row>
    <row r="48" ht="15" customHeight="1">
      <c r="A48" t="inlineStr">
        <is>
          <t>A 18617-2025</t>
        </is>
      </c>
      <c r="B48" s="1" t="n">
        <v>45763</v>
      </c>
      <c r="C48" s="1" t="n">
        <v>45829</v>
      </c>
      <c r="D48" t="inlineStr">
        <is>
          <t>ÖREBRO LÄN</t>
        </is>
      </c>
      <c r="E48" t="inlineStr">
        <is>
          <t>HÄLLEFORS</t>
        </is>
      </c>
      <c r="F48" t="inlineStr">
        <is>
          <t>Bergvik skog väst AB</t>
        </is>
      </c>
      <c r="G48" t="n">
        <v>3.5</v>
      </c>
      <c r="H48" t="n">
        <v>1</v>
      </c>
      <c r="I48" t="n">
        <v>0</v>
      </c>
      <c r="J48" t="n">
        <v>0</v>
      </c>
      <c r="K48" t="n">
        <v>0</v>
      </c>
      <c r="L48" t="n">
        <v>0</v>
      </c>
      <c r="M48" t="n">
        <v>0</v>
      </c>
      <c r="N48" t="n">
        <v>0</v>
      </c>
      <c r="O48" t="n">
        <v>0</v>
      </c>
      <c r="P48" t="n">
        <v>0</v>
      </c>
      <c r="Q48" t="n">
        <v>1</v>
      </c>
      <c r="R48" s="2" t="inlineStr">
        <is>
          <t>Blåsippa</t>
        </is>
      </c>
      <c r="S48">
        <f>HYPERLINK("https://klasma.github.io/Logging_181863/artfynd/A 18617-2025 artfynd.xlsx", "A 18617-2025")</f>
        <v/>
      </c>
      <c r="T48">
        <f>HYPERLINK("https://klasma.github.io/Logging_181863/kartor/A 18617-2025 karta.png", "A 18617-2025")</f>
        <v/>
      </c>
      <c r="V48">
        <f>HYPERLINK("https://klasma.github.io/Logging_181863/klagomål/A 18617-2025 FSC-klagomål.docx", "A 18617-2025")</f>
        <v/>
      </c>
      <c r="W48">
        <f>HYPERLINK("https://klasma.github.io/Logging_181863/klagomålsmail/A 18617-2025 FSC-klagomål mail.docx", "A 18617-2025")</f>
        <v/>
      </c>
      <c r="X48">
        <f>HYPERLINK("https://klasma.github.io/Logging_181863/tillsyn/A 18617-2025 tillsynsbegäran.docx", "A 18617-2025")</f>
        <v/>
      </c>
      <c r="Y48">
        <f>HYPERLINK("https://klasma.github.io/Logging_181863/tillsynsmail/A 18617-2025 tillsynsbegäran mail.docx", "A 18617-2025")</f>
        <v/>
      </c>
    </row>
    <row r="49" ht="15" customHeight="1">
      <c r="A49" t="inlineStr">
        <is>
          <t>A 21399-2019</t>
        </is>
      </c>
      <c r="B49" s="1" t="n">
        <v>43580</v>
      </c>
      <c r="C49" s="1" t="n">
        <v>45829</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22348-2019</t>
        </is>
      </c>
      <c r="B50" s="1" t="n">
        <v>43587</v>
      </c>
      <c r="C50" s="1" t="n">
        <v>45829</v>
      </c>
      <c r="D50" t="inlineStr">
        <is>
          <t>ÖREBRO LÄN</t>
        </is>
      </c>
      <c r="E50" t="inlineStr">
        <is>
          <t>HÄLLEFORS</t>
        </is>
      </c>
      <c r="G50" t="n">
        <v>3.5</v>
      </c>
      <c r="H50" t="n">
        <v>0</v>
      </c>
      <c r="I50" t="n">
        <v>0</v>
      </c>
      <c r="J50" t="n">
        <v>0</v>
      </c>
      <c r="K50" t="n">
        <v>0</v>
      </c>
      <c r="L50" t="n">
        <v>0</v>
      </c>
      <c r="M50" t="n">
        <v>0</v>
      </c>
      <c r="N50" t="n">
        <v>0</v>
      </c>
      <c r="O50" t="n">
        <v>0</v>
      </c>
      <c r="P50" t="n">
        <v>0</v>
      </c>
      <c r="Q50" t="n">
        <v>0</v>
      </c>
      <c r="R50" s="2" t="inlineStr"/>
    </row>
    <row r="51" ht="15" customHeight="1">
      <c r="A51" t="inlineStr">
        <is>
          <t>A 24477-2019</t>
        </is>
      </c>
      <c r="B51" s="1" t="n">
        <v>43600</v>
      </c>
      <c r="C51" s="1" t="n">
        <v>45829</v>
      </c>
      <c r="D51" t="inlineStr">
        <is>
          <t>ÖREBRO LÄN</t>
        </is>
      </c>
      <c r="E51" t="inlineStr">
        <is>
          <t>HÄLLEFORS</t>
        </is>
      </c>
      <c r="G51" t="n">
        <v>1.7</v>
      </c>
      <c r="H51" t="n">
        <v>0</v>
      </c>
      <c r="I51" t="n">
        <v>0</v>
      </c>
      <c r="J51" t="n">
        <v>0</v>
      </c>
      <c r="K51" t="n">
        <v>0</v>
      </c>
      <c r="L51" t="n">
        <v>0</v>
      </c>
      <c r="M51" t="n">
        <v>0</v>
      </c>
      <c r="N51" t="n">
        <v>0</v>
      </c>
      <c r="O51" t="n">
        <v>0</v>
      </c>
      <c r="P51" t="n">
        <v>0</v>
      </c>
      <c r="Q51" t="n">
        <v>0</v>
      </c>
      <c r="R51" s="2" t="inlineStr"/>
    </row>
    <row r="52" ht="15" customHeight="1">
      <c r="A52" t="inlineStr">
        <is>
          <t>A 24459-2019</t>
        </is>
      </c>
      <c r="B52" s="1" t="n">
        <v>43600</v>
      </c>
      <c r="C52" s="1" t="n">
        <v>45829</v>
      </c>
      <c r="D52" t="inlineStr">
        <is>
          <t>ÖREBRO LÄN</t>
        </is>
      </c>
      <c r="E52" t="inlineStr">
        <is>
          <t>HÄLLEFORS</t>
        </is>
      </c>
      <c r="G52" t="n">
        <v>7.1</v>
      </c>
      <c r="H52" t="n">
        <v>0</v>
      </c>
      <c r="I52" t="n">
        <v>0</v>
      </c>
      <c r="J52" t="n">
        <v>0</v>
      </c>
      <c r="K52" t="n">
        <v>0</v>
      </c>
      <c r="L52" t="n">
        <v>0</v>
      </c>
      <c r="M52" t="n">
        <v>0</v>
      </c>
      <c r="N52" t="n">
        <v>0</v>
      </c>
      <c r="O52" t="n">
        <v>0</v>
      </c>
      <c r="P52" t="n">
        <v>0</v>
      </c>
      <c r="Q52" t="n">
        <v>0</v>
      </c>
      <c r="R52" s="2" t="inlineStr"/>
    </row>
    <row r="53" ht="15" customHeight="1">
      <c r="A53" t="inlineStr">
        <is>
          <t>A 30719-2019</t>
        </is>
      </c>
      <c r="B53" s="1" t="n">
        <v>43636</v>
      </c>
      <c r="C53" s="1" t="n">
        <v>45829</v>
      </c>
      <c r="D53" t="inlineStr">
        <is>
          <t>ÖREBRO LÄN</t>
        </is>
      </c>
      <c r="E53" t="inlineStr">
        <is>
          <t>HÄLLEFORS</t>
        </is>
      </c>
      <c r="F53" t="inlineStr">
        <is>
          <t>Bergvik skog väst AB</t>
        </is>
      </c>
      <c r="G53" t="n">
        <v>3.7</v>
      </c>
      <c r="H53" t="n">
        <v>0</v>
      </c>
      <c r="I53" t="n">
        <v>0</v>
      </c>
      <c r="J53" t="n">
        <v>0</v>
      </c>
      <c r="K53" t="n">
        <v>0</v>
      </c>
      <c r="L53" t="n">
        <v>0</v>
      </c>
      <c r="M53" t="n">
        <v>0</v>
      </c>
      <c r="N53" t="n">
        <v>0</v>
      </c>
      <c r="O53" t="n">
        <v>0</v>
      </c>
      <c r="P53" t="n">
        <v>0</v>
      </c>
      <c r="Q53" t="n">
        <v>0</v>
      </c>
      <c r="R53" s="2" t="inlineStr"/>
    </row>
    <row r="54" ht="15" customHeight="1">
      <c r="A54" t="inlineStr">
        <is>
          <t>A 33102-2019</t>
        </is>
      </c>
      <c r="B54" s="1" t="n">
        <v>43649</v>
      </c>
      <c r="C54" s="1" t="n">
        <v>45829</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35741-2019</t>
        </is>
      </c>
      <c r="B55" s="1" t="n">
        <v>43665</v>
      </c>
      <c r="C55" s="1" t="n">
        <v>45829</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35743-2019</t>
        </is>
      </c>
      <c r="B56" s="1" t="n">
        <v>43665</v>
      </c>
      <c r="C56" s="1" t="n">
        <v>45829</v>
      </c>
      <c r="D56" t="inlineStr">
        <is>
          <t>ÖREBRO LÄN</t>
        </is>
      </c>
      <c r="E56" t="inlineStr">
        <is>
          <t>HÄLLEFORS</t>
        </is>
      </c>
      <c r="G56" t="n">
        <v>1.3</v>
      </c>
      <c r="H56" t="n">
        <v>0</v>
      </c>
      <c r="I56" t="n">
        <v>0</v>
      </c>
      <c r="J56" t="n">
        <v>0</v>
      </c>
      <c r="K56" t="n">
        <v>0</v>
      </c>
      <c r="L56" t="n">
        <v>0</v>
      </c>
      <c r="M56" t="n">
        <v>0</v>
      </c>
      <c r="N56" t="n">
        <v>0</v>
      </c>
      <c r="O56" t="n">
        <v>0</v>
      </c>
      <c r="P56" t="n">
        <v>0</v>
      </c>
      <c r="Q56" t="n">
        <v>0</v>
      </c>
      <c r="R56" s="2" t="inlineStr"/>
    </row>
    <row r="57" ht="15" customHeight="1">
      <c r="A57" t="inlineStr">
        <is>
          <t>A 35742-2019</t>
        </is>
      </c>
      <c r="B57" s="1" t="n">
        <v>43665</v>
      </c>
      <c r="C57" s="1" t="n">
        <v>45829</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35740-2019</t>
        </is>
      </c>
      <c r="B58" s="1" t="n">
        <v>43665</v>
      </c>
      <c r="C58" s="1" t="n">
        <v>45829</v>
      </c>
      <c r="D58" t="inlineStr">
        <is>
          <t>ÖREBRO LÄN</t>
        </is>
      </c>
      <c r="E58" t="inlineStr">
        <is>
          <t>HÄLLEFORS</t>
        </is>
      </c>
      <c r="G58" t="n">
        <v>2.3</v>
      </c>
      <c r="H58" t="n">
        <v>0</v>
      </c>
      <c r="I58" t="n">
        <v>0</v>
      </c>
      <c r="J58" t="n">
        <v>0</v>
      </c>
      <c r="K58" t="n">
        <v>0</v>
      </c>
      <c r="L58" t="n">
        <v>0</v>
      </c>
      <c r="M58" t="n">
        <v>0</v>
      </c>
      <c r="N58" t="n">
        <v>0</v>
      </c>
      <c r="O58" t="n">
        <v>0</v>
      </c>
      <c r="P58" t="n">
        <v>0</v>
      </c>
      <c r="Q58" t="n">
        <v>0</v>
      </c>
      <c r="R58" s="2" t="inlineStr"/>
    </row>
    <row r="59" ht="15" customHeight="1">
      <c r="A59" t="inlineStr">
        <is>
          <t>A 37325-2019</t>
        </is>
      </c>
      <c r="B59" s="1" t="n">
        <v>43678</v>
      </c>
      <c r="C59" s="1" t="n">
        <v>45829</v>
      </c>
      <c r="D59" t="inlineStr">
        <is>
          <t>ÖREBRO LÄN</t>
        </is>
      </c>
      <c r="E59" t="inlineStr">
        <is>
          <t>HÄLLEFORS</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39501-2019</t>
        </is>
      </c>
      <c r="B60" s="1" t="n">
        <v>43686</v>
      </c>
      <c r="C60" s="1" t="n">
        <v>45829</v>
      </c>
      <c r="D60" t="inlineStr">
        <is>
          <t>ÖREBRO LÄN</t>
        </is>
      </c>
      <c r="E60" t="inlineStr">
        <is>
          <t>HÄLLEFORS</t>
        </is>
      </c>
      <c r="F60" t="inlineStr">
        <is>
          <t>Kyrkan</t>
        </is>
      </c>
      <c r="G60" t="n">
        <v>3.5</v>
      </c>
      <c r="H60" t="n">
        <v>0</v>
      </c>
      <c r="I60" t="n">
        <v>0</v>
      </c>
      <c r="J60" t="n">
        <v>0</v>
      </c>
      <c r="K60" t="n">
        <v>0</v>
      </c>
      <c r="L60" t="n">
        <v>0</v>
      </c>
      <c r="M60" t="n">
        <v>0</v>
      </c>
      <c r="N60" t="n">
        <v>0</v>
      </c>
      <c r="O60" t="n">
        <v>0</v>
      </c>
      <c r="P60" t="n">
        <v>0</v>
      </c>
      <c r="Q60" t="n">
        <v>0</v>
      </c>
      <c r="R60" s="2" t="inlineStr"/>
    </row>
    <row r="61" ht="15" customHeight="1">
      <c r="A61" t="inlineStr">
        <is>
          <t>A 38819-2019</t>
        </is>
      </c>
      <c r="B61" s="1" t="n">
        <v>43689</v>
      </c>
      <c r="C61" s="1" t="n">
        <v>45829</v>
      </c>
      <c r="D61" t="inlineStr">
        <is>
          <t>ÖREBRO LÄN</t>
        </is>
      </c>
      <c r="E61" t="inlineStr">
        <is>
          <t>HÄLLEFORS</t>
        </is>
      </c>
      <c r="G61" t="n">
        <v>2.1</v>
      </c>
      <c r="H61" t="n">
        <v>0</v>
      </c>
      <c r="I61" t="n">
        <v>0</v>
      </c>
      <c r="J61" t="n">
        <v>0</v>
      </c>
      <c r="K61" t="n">
        <v>0</v>
      </c>
      <c r="L61" t="n">
        <v>0</v>
      </c>
      <c r="M61" t="n">
        <v>0</v>
      </c>
      <c r="N61" t="n">
        <v>0</v>
      </c>
      <c r="O61" t="n">
        <v>0</v>
      </c>
      <c r="P61" t="n">
        <v>0</v>
      </c>
      <c r="Q61" t="n">
        <v>0</v>
      </c>
      <c r="R61" s="2" t="inlineStr"/>
    </row>
    <row r="62" ht="15" customHeight="1">
      <c r="A62" t="inlineStr">
        <is>
          <t>A 40171-2019</t>
        </is>
      </c>
      <c r="B62" s="1" t="n">
        <v>43693</v>
      </c>
      <c r="C62" s="1" t="n">
        <v>45829</v>
      </c>
      <c r="D62" t="inlineStr">
        <is>
          <t>ÖREBRO LÄN</t>
        </is>
      </c>
      <c r="E62" t="inlineStr">
        <is>
          <t>HÄLLEFORS</t>
        </is>
      </c>
      <c r="G62" t="n">
        <v>8.199999999999999</v>
      </c>
      <c r="H62" t="n">
        <v>0</v>
      </c>
      <c r="I62" t="n">
        <v>0</v>
      </c>
      <c r="J62" t="n">
        <v>0</v>
      </c>
      <c r="K62" t="n">
        <v>0</v>
      </c>
      <c r="L62" t="n">
        <v>0</v>
      </c>
      <c r="M62" t="n">
        <v>0</v>
      </c>
      <c r="N62" t="n">
        <v>0</v>
      </c>
      <c r="O62" t="n">
        <v>0</v>
      </c>
      <c r="P62" t="n">
        <v>0</v>
      </c>
      <c r="Q62" t="n">
        <v>0</v>
      </c>
      <c r="R62" s="2" t="inlineStr"/>
    </row>
    <row r="63" ht="15" customHeight="1">
      <c r="A63" t="inlineStr">
        <is>
          <t>A 40311-2019</t>
        </is>
      </c>
      <c r="B63" s="1" t="n">
        <v>43696</v>
      </c>
      <c r="C63" s="1" t="n">
        <v>45829</v>
      </c>
      <c r="D63" t="inlineStr">
        <is>
          <t>ÖREBRO LÄN</t>
        </is>
      </c>
      <c r="E63" t="inlineStr">
        <is>
          <t>HÄLLEFORS</t>
        </is>
      </c>
      <c r="G63" t="n">
        <v>1.8</v>
      </c>
      <c r="H63" t="n">
        <v>0</v>
      </c>
      <c r="I63" t="n">
        <v>0</v>
      </c>
      <c r="J63" t="n">
        <v>0</v>
      </c>
      <c r="K63" t="n">
        <v>0</v>
      </c>
      <c r="L63" t="n">
        <v>0</v>
      </c>
      <c r="M63" t="n">
        <v>0</v>
      </c>
      <c r="N63" t="n">
        <v>0</v>
      </c>
      <c r="O63" t="n">
        <v>0</v>
      </c>
      <c r="P63" t="n">
        <v>0</v>
      </c>
      <c r="Q63" t="n">
        <v>0</v>
      </c>
      <c r="R63" s="2" t="inlineStr"/>
    </row>
    <row r="64" ht="15" customHeight="1">
      <c r="A64" t="inlineStr">
        <is>
          <t>A 43514-2019</t>
        </is>
      </c>
      <c r="B64" s="1" t="n">
        <v>43706</v>
      </c>
      <c r="C64" s="1" t="n">
        <v>45829</v>
      </c>
      <c r="D64" t="inlineStr">
        <is>
          <t>ÖREBRO LÄN</t>
        </is>
      </c>
      <c r="E64" t="inlineStr">
        <is>
          <t>HÄLLEFORS</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45768-2019</t>
        </is>
      </c>
      <c r="B65" s="1" t="n">
        <v>43712</v>
      </c>
      <c r="C65" s="1" t="n">
        <v>45829</v>
      </c>
      <c r="D65" t="inlineStr">
        <is>
          <t>ÖREBRO LÄN</t>
        </is>
      </c>
      <c r="E65" t="inlineStr">
        <is>
          <t>HÄLLEFORS</t>
        </is>
      </c>
      <c r="G65" t="n">
        <v>1.4</v>
      </c>
      <c r="H65" t="n">
        <v>0</v>
      </c>
      <c r="I65" t="n">
        <v>0</v>
      </c>
      <c r="J65" t="n">
        <v>0</v>
      </c>
      <c r="K65" t="n">
        <v>0</v>
      </c>
      <c r="L65" t="n">
        <v>0</v>
      </c>
      <c r="M65" t="n">
        <v>0</v>
      </c>
      <c r="N65" t="n">
        <v>0</v>
      </c>
      <c r="O65" t="n">
        <v>0</v>
      </c>
      <c r="P65" t="n">
        <v>0</v>
      </c>
      <c r="Q65" t="n">
        <v>0</v>
      </c>
      <c r="R65" s="2" t="inlineStr"/>
    </row>
    <row r="66" ht="15" customHeight="1">
      <c r="A66" t="inlineStr">
        <is>
          <t>A 47219-2019</t>
        </is>
      </c>
      <c r="B66" s="1" t="n">
        <v>43721</v>
      </c>
      <c r="C66" s="1" t="n">
        <v>45829</v>
      </c>
      <c r="D66" t="inlineStr">
        <is>
          <t>ÖREBRO LÄN</t>
        </is>
      </c>
      <c r="E66" t="inlineStr">
        <is>
          <t>HÄLLEFORS</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47175-2019</t>
        </is>
      </c>
      <c r="B67" s="1" t="n">
        <v>43721</v>
      </c>
      <c r="C67" s="1" t="n">
        <v>45829</v>
      </c>
      <c r="D67" t="inlineStr">
        <is>
          <t>ÖREBRO LÄN</t>
        </is>
      </c>
      <c r="E67" t="inlineStr">
        <is>
          <t>HÄLLEFORS</t>
        </is>
      </c>
      <c r="F67" t="inlineStr">
        <is>
          <t>Sveaskog</t>
        </is>
      </c>
      <c r="G67" t="n">
        <v>5.6</v>
      </c>
      <c r="H67" t="n">
        <v>0</v>
      </c>
      <c r="I67" t="n">
        <v>0</v>
      </c>
      <c r="J67" t="n">
        <v>0</v>
      </c>
      <c r="K67" t="n">
        <v>0</v>
      </c>
      <c r="L67" t="n">
        <v>0</v>
      </c>
      <c r="M67" t="n">
        <v>0</v>
      </c>
      <c r="N67" t="n">
        <v>0</v>
      </c>
      <c r="O67" t="n">
        <v>0</v>
      </c>
      <c r="P67" t="n">
        <v>0</v>
      </c>
      <c r="Q67" t="n">
        <v>0</v>
      </c>
      <c r="R67" s="2" t="inlineStr"/>
    </row>
    <row r="68" ht="15" customHeight="1">
      <c r="A68" t="inlineStr">
        <is>
          <t>A 48224-2019</t>
        </is>
      </c>
      <c r="B68" s="1" t="n">
        <v>43726</v>
      </c>
      <c r="C68" s="1" t="n">
        <v>45829</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48206-2019</t>
        </is>
      </c>
      <c r="B69" s="1" t="n">
        <v>43726</v>
      </c>
      <c r="C69" s="1" t="n">
        <v>45829</v>
      </c>
      <c r="D69" t="inlineStr">
        <is>
          <t>ÖREBRO LÄN</t>
        </is>
      </c>
      <c r="E69" t="inlineStr">
        <is>
          <t>HÄLLEFORS</t>
        </is>
      </c>
      <c r="F69" t="inlineStr">
        <is>
          <t>Bergvik skog väst AB</t>
        </is>
      </c>
      <c r="G69" t="n">
        <v>13.6</v>
      </c>
      <c r="H69" t="n">
        <v>0</v>
      </c>
      <c r="I69" t="n">
        <v>0</v>
      </c>
      <c r="J69" t="n">
        <v>0</v>
      </c>
      <c r="K69" t="n">
        <v>0</v>
      </c>
      <c r="L69" t="n">
        <v>0</v>
      </c>
      <c r="M69" t="n">
        <v>0</v>
      </c>
      <c r="N69" t="n">
        <v>0</v>
      </c>
      <c r="O69" t="n">
        <v>0</v>
      </c>
      <c r="P69" t="n">
        <v>0</v>
      </c>
      <c r="Q69" t="n">
        <v>0</v>
      </c>
      <c r="R69" s="2" t="inlineStr"/>
    </row>
    <row r="70" ht="15" customHeight="1">
      <c r="A70" t="inlineStr">
        <is>
          <t>A 51442-2019</t>
        </is>
      </c>
      <c r="B70" s="1" t="n">
        <v>43732</v>
      </c>
      <c r="C70" s="1" t="n">
        <v>45829</v>
      </c>
      <c r="D70" t="inlineStr">
        <is>
          <t>ÖREBRO LÄN</t>
        </is>
      </c>
      <c r="E70" t="inlineStr">
        <is>
          <t>HÄLLEFORS</t>
        </is>
      </c>
      <c r="F70" t="inlineStr">
        <is>
          <t>Kyrkan</t>
        </is>
      </c>
      <c r="G70" t="n">
        <v>3.9</v>
      </c>
      <c r="H70" t="n">
        <v>0</v>
      </c>
      <c r="I70" t="n">
        <v>0</v>
      </c>
      <c r="J70" t="n">
        <v>0</v>
      </c>
      <c r="K70" t="n">
        <v>0</v>
      </c>
      <c r="L70" t="n">
        <v>0</v>
      </c>
      <c r="M70" t="n">
        <v>0</v>
      </c>
      <c r="N70" t="n">
        <v>0</v>
      </c>
      <c r="O70" t="n">
        <v>0</v>
      </c>
      <c r="P70" t="n">
        <v>0</v>
      </c>
      <c r="Q70" t="n">
        <v>0</v>
      </c>
      <c r="R70" s="2" t="inlineStr"/>
    </row>
    <row r="71" ht="15" customHeight="1">
      <c r="A71" t="inlineStr">
        <is>
          <t>A 52329-2019</t>
        </is>
      </c>
      <c r="B71" s="1" t="n">
        <v>43745</v>
      </c>
      <c r="C71" s="1" t="n">
        <v>45829</v>
      </c>
      <c r="D71" t="inlineStr">
        <is>
          <t>ÖREBRO LÄN</t>
        </is>
      </c>
      <c r="E71" t="inlineStr">
        <is>
          <t>HÄLLEFORS</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52452-2019</t>
        </is>
      </c>
      <c r="B72" s="1" t="n">
        <v>43745</v>
      </c>
      <c r="C72" s="1" t="n">
        <v>45829</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52411-2019</t>
        </is>
      </c>
      <c r="B73" s="1" t="n">
        <v>43745</v>
      </c>
      <c r="C73" s="1" t="n">
        <v>45829</v>
      </c>
      <c r="D73" t="inlineStr">
        <is>
          <t>ÖREBRO LÄN</t>
        </is>
      </c>
      <c r="E73" t="inlineStr">
        <is>
          <t>HÄLLEFORS</t>
        </is>
      </c>
      <c r="F73" t="inlineStr">
        <is>
          <t>Bergvik skog väst AB</t>
        </is>
      </c>
      <c r="G73" t="n">
        <v>6.5</v>
      </c>
      <c r="H73" t="n">
        <v>0</v>
      </c>
      <c r="I73" t="n">
        <v>0</v>
      </c>
      <c r="J73" t="n">
        <v>0</v>
      </c>
      <c r="K73" t="n">
        <v>0</v>
      </c>
      <c r="L73" t="n">
        <v>0</v>
      </c>
      <c r="M73" t="n">
        <v>0</v>
      </c>
      <c r="N73" t="n">
        <v>0</v>
      </c>
      <c r="O73" t="n">
        <v>0</v>
      </c>
      <c r="P73" t="n">
        <v>0</v>
      </c>
      <c r="Q73" t="n">
        <v>0</v>
      </c>
      <c r="R73" s="2" t="inlineStr"/>
    </row>
    <row r="74" ht="15" customHeight="1">
      <c r="A74" t="inlineStr">
        <is>
          <t>A 52711-2019</t>
        </is>
      </c>
      <c r="B74" s="1" t="n">
        <v>43746</v>
      </c>
      <c r="C74" s="1" t="n">
        <v>45829</v>
      </c>
      <c r="D74" t="inlineStr">
        <is>
          <t>ÖREBRO LÄN</t>
        </is>
      </c>
      <c r="E74" t="inlineStr">
        <is>
          <t>HÄLLEFORS</t>
        </is>
      </c>
      <c r="G74" t="n">
        <v>1</v>
      </c>
      <c r="H74" t="n">
        <v>0</v>
      </c>
      <c r="I74" t="n">
        <v>0</v>
      </c>
      <c r="J74" t="n">
        <v>0</v>
      </c>
      <c r="K74" t="n">
        <v>0</v>
      </c>
      <c r="L74" t="n">
        <v>0</v>
      </c>
      <c r="M74" t="n">
        <v>0</v>
      </c>
      <c r="N74" t="n">
        <v>0</v>
      </c>
      <c r="O74" t="n">
        <v>0</v>
      </c>
      <c r="P74" t="n">
        <v>0</v>
      </c>
      <c r="Q74" t="n">
        <v>0</v>
      </c>
      <c r="R74" s="2" t="inlineStr"/>
    </row>
    <row r="75" ht="15" customHeight="1">
      <c r="A75" t="inlineStr">
        <is>
          <t>A 53031-2019</t>
        </is>
      </c>
      <c r="B75" s="1" t="n">
        <v>43747</v>
      </c>
      <c r="C75" s="1" t="n">
        <v>45829</v>
      </c>
      <c r="D75" t="inlineStr">
        <is>
          <t>ÖREBRO LÄN</t>
        </is>
      </c>
      <c r="E75" t="inlineStr">
        <is>
          <t>HÄLLEFORS</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53062-2019</t>
        </is>
      </c>
      <c r="B76" s="1" t="n">
        <v>43747</v>
      </c>
      <c r="C76" s="1" t="n">
        <v>45829</v>
      </c>
      <c r="D76" t="inlineStr">
        <is>
          <t>ÖREBRO LÄN</t>
        </is>
      </c>
      <c r="E76" t="inlineStr">
        <is>
          <t>HÄLLEFORS</t>
        </is>
      </c>
      <c r="F76" t="inlineStr">
        <is>
          <t>Bergvik skog väst AB</t>
        </is>
      </c>
      <c r="G76" t="n">
        <v>13.9</v>
      </c>
      <c r="H76" t="n">
        <v>0</v>
      </c>
      <c r="I76" t="n">
        <v>0</v>
      </c>
      <c r="J76" t="n">
        <v>0</v>
      </c>
      <c r="K76" t="n">
        <v>0</v>
      </c>
      <c r="L76" t="n">
        <v>0</v>
      </c>
      <c r="M76" t="n">
        <v>0</v>
      </c>
      <c r="N76" t="n">
        <v>0</v>
      </c>
      <c r="O76" t="n">
        <v>0</v>
      </c>
      <c r="P76" t="n">
        <v>0</v>
      </c>
      <c r="Q76" t="n">
        <v>0</v>
      </c>
      <c r="R76" s="2" t="inlineStr"/>
    </row>
    <row r="77" ht="15" customHeight="1">
      <c r="A77" t="inlineStr">
        <is>
          <t>A 53029-2019</t>
        </is>
      </c>
      <c r="B77" s="1" t="n">
        <v>43747</v>
      </c>
      <c r="C77" s="1" t="n">
        <v>45829</v>
      </c>
      <c r="D77" t="inlineStr">
        <is>
          <t>ÖREBRO LÄN</t>
        </is>
      </c>
      <c r="E77" t="inlineStr">
        <is>
          <t>HÄLLEFORS</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53388-2019</t>
        </is>
      </c>
      <c r="B78" s="1" t="n">
        <v>43748</v>
      </c>
      <c r="C78" s="1" t="n">
        <v>45829</v>
      </c>
      <c r="D78" t="inlineStr">
        <is>
          <t>ÖREBRO LÄN</t>
        </is>
      </c>
      <c r="E78" t="inlineStr">
        <is>
          <t>HÄLLEFORS</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53400-2019</t>
        </is>
      </c>
      <c r="B79" s="1" t="n">
        <v>43748</v>
      </c>
      <c r="C79" s="1" t="n">
        <v>45829</v>
      </c>
      <c r="D79" t="inlineStr">
        <is>
          <t>ÖREBRO LÄN</t>
        </is>
      </c>
      <c r="E79" t="inlineStr">
        <is>
          <t>HÄLLEFORS</t>
        </is>
      </c>
      <c r="F79" t="inlineStr">
        <is>
          <t>Bergvik skog väst AB</t>
        </is>
      </c>
      <c r="G79" t="n">
        <v>8.699999999999999</v>
      </c>
      <c r="H79" t="n">
        <v>0</v>
      </c>
      <c r="I79" t="n">
        <v>0</v>
      </c>
      <c r="J79" t="n">
        <v>0</v>
      </c>
      <c r="K79" t="n">
        <v>0</v>
      </c>
      <c r="L79" t="n">
        <v>0</v>
      </c>
      <c r="M79" t="n">
        <v>0</v>
      </c>
      <c r="N79" t="n">
        <v>0</v>
      </c>
      <c r="O79" t="n">
        <v>0</v>
      </c>
      <c r="P79" t="n">
        <v>0</v>
      </c>
      <c r="Q79" t="n">
        <v>0</v>
      </c>
      <c r="R79" s="2" t="inlineStr"/>
    </row>
    <row r="80" ht="15" customHeight="1">
      <c r="A80" t="inlineStr">
        <is>
          <t>A 53965-2019</t>
        </is>
      </c>
      <c r="B80" s="1" t="n">
        <v>43752</v>
      </c>
      <c r="C80" s="1" t="n">
        <v>45829</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54433-2019</t>
        </is>
      </c>
      <c r="B81" s="1" t="n">
        <v>43754</v>
      </c>
      <c r="C81" s="1" t="n">
        <v>45829</v>
      </c>
      <c r="D81" t="inlineStr">
        <is>
          <t>ÖREBRO LÄN</t>
        </is>
      </c>
      <c r="E81" t="inlineStr">
        <is>
          <t>HÄLLEFORS</t>
        </is>
      </c>
      <c r="F81" t="inlineStr">
        <is>
          <t>Bergvik skog väst AB</t>
        </is>
      </c>
      <c r="G81" t="n">
        <v>7.9</v>
      </c>
      <c r="H81" t="n">
        <v>0</v>
      </c>
      <c r="I81" t="n">
        <v>0</v>
      </c>
      <c r="J81" t="n">
        <v>0</v>
      </c>
      <c r="K81" t="n">
        <v>0</v>
      </c>
      <c r="L81" t="n">
        <v>0</v>
      </c>
      <c r="M81" t="n">
        <v>0</v>
      </c>
      <c r="N81" t="n">
        <v>0</v>
      </c>
      <c r="O81" t="n">
        <v>0</v>
      </c>
      <c r="P81" t="n">
        <v>0</v>
      </c>
      <c r="Q81" t="n">
        <v>0</v>
      </c>
      <c r="R81" s="2" t="inlineStr"/>
    </row>
    <row r="82" ht="15" customHeight="1">
      <c r="A82" t="inlineStr">
        <is>
          <t>A 54977-2019</t>
        </is>
      </c>
      <c r="B82" s="1" t="n">
        <v>43755</v>
      </c>
      <c r="C82" s="1" t="n">
        <v>45829</v>
      </c>
      <c r="D82" t="inlineStr">
        <is>
          <t>ÖREBRO LÄN</t>
        </is>
      </c>
      <c r="E82" t="inlineStr">
        <is>
          <t>HÄLLEFORS</t>
        </is>
      </c>
      <c r="F82" t="inlineStr">
        <is>
          <t>Bergvik skog väst AB</t>
        </is>
      </c>
      <c r="G82" t="n">
        <v>17.5</v>
      </c>
      <c r="H82" t="n">
        <v>0</v>
      </c>
      <c r="I82" t="n">
        <v>0</v>
      </c>
      <c r="J82" t="n">
        <v>0</v>
      </c>
      <c r="K82" t="n">
        <v>0</v>
      </c>
      <c r="L82" t="n">
        <v>0</v>
      </c>
      <c r="M82" t="n">
        <v>0</v>
      </c>
      <c r="N82" t="n">
        <v>0</v>
      </c>
      <c r="O82" t="n">
        <v>0</v>
      </c>
      <c r="P82" t="n">
        <v>0</v>
      </c>
      <c r="Q82" t="n">
        <v>0</v>
      </c>
      <c r="R82" s="2" t="inlineStr"/>
    </row>
    <row r="83" ht="15" customHeight="1">
      <c r="A83" t="inlineStr">
        <is>
          <t>A 55129-2019</t>
        </is>
      </c>
      <c r="B83" s="1" t="n">
        <v>43756</v>
      </c>
      <c r="C83" s="1" t="n">
        <v>45829</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55150-2019</t>
        </is>
      </c>
      <c r="B84" s="1" t="n">
        <v>43756</v>
      </c>
      <c r="C84" s="1" t="n">
        <v>45829</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57363-2019</t>
        </is>
      </c>
      <c r="B85" s="1" t="n">
        <v>43767</v>
      </c>
      <c r="C85" s="1" t="n">
        <v>45829</v>
      </c>
      <c r="D85" t="inlineStr">
        <is>
          <t>ÖREBRO LÄN</t>
        </is>
      </c>
      <c r="E85" t="inlineStr">
        <is>
          <t>HÄLLEFORS</t>
        </is>
      </c>
      <c r="G85" t="n">
        <v>1.4</v>
      </c>
      <c r="H85" t="n">
        <v>0</v>
      </c>
      <c r="I85" t="n">
        <v>0</v>
      </c>
      <c r="J85" t="n">
        <v>0</v>
      </c>
      <c r="K85" t="n">
        <v>0</v>
      </c>
      <c r="L85" t="n">
        <v>0</v>
      </c>
      <c r="M85" t="n">
        <v>0</v>
      </c>
      <c r="N85" t="n">
        <v>0</v>
      </c>
      <c r="O85" t="n">
        <v>0</v>
      </c>
      <c r="P85" t="n">
        <v>0</v>
      </c>
      <c r="Q85" t="n">
        <v>0</v>
      </c>
      <c r="R85" s="2" t="inlineStr"/>
    </row>
    <row r="86" ht="15" customHeight="1">
      <c r="A86" t="inlineStr">
        <is>
          <t>A 57443-2019</t>
        </is>
      </c>
      <c r="B86" s="1" t="n">
        <v>43767</v>
      </c>
      <c r="C86" s="1" t="n">
        <v>45829</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57398-2019</t>
        </is>
      </c>
      <c r="B87" s="1" t="n">
        <v>43767</v>
      </c>
      <c r="C87" s="1" t="n">
        <v>45829</v>
      </c>
      <c r="D87" t="inlineStr">
        <is>
          <t>ÖREBRO LÄN</t>
        </is>
      </c>
      <c r="E87" t="inlineStr">
        <is>
          <t>HÄLLEFORS</t>
        </is>
      </c>
      <c r="F87" t="inlineStr">
        <is>
          <t>Bergvik skog väst AB</t>
        </is>
      </c>
      <c r="G87" t="n">
        <v>10.4</v>
      </c>
      <c r="H87" t="n">
        <v>0</v>
      </c>
      <c r="I87" t="n">
        <v>0</v>
      </c>
      <c r="J87" t="n">
        <v>0</v>
      </c>
      <c r="K87" t="n">
        <v>0</v>
      </c>
      <c r="L87" t="n">
        <v>0</v>
      </c>
      <c r="M87" t="n">
        <v>0</v>
      </c>
      <c r="N87" t="n">
        <v>0</v>
      </c>
      <c r="O87" t="n">
        <v>0</v>
      </c>
      <c r="P87" t="n">
        <v>0</v>
      </c>
      <c r="Q87" t="n">
        <v>0</v>
      </c>
      <c r="R87" s="2" t="inlineStr"/>
    </row>
    <row r="88" ht="15" customHeight="1">
      <c r="A88" t="inlineStr">
        <is>
          <t>A 58100-2019</t>
        </is>
      </c>
      <c r="B88" s="1" t="n">
        <v>43769</v>
      </c>
      <c r="C88" s="1" t="n">
        <v>45829</v>
      </c>
      <c r="D88" t="inlineStr">
        <is>
          <t>ÖREBRO LÄN</t>
        </is>
      </c>
      <c r="E88" t="inlineStr">
        <is>
          <t>HÄLLEFORS</t>
        </is>
      </c>
      <c r="G88" t="n">
        <v>2.3</v>
      </c>
      <c r="H88" t="n">
        <v>0</v>
      </c>
      <c r="I88" t="n">
        <v>0</v>
      </c>
      <c r="J88" t="n">
        <v>0</v>
      </c>
      <c r="K88" t="n">
        <v>0</v>
      </c>
      <c r="L88" t="n">
        <v>0</v>
      </c>
      <c r="M88" t="n">
        <v>0</v>
      </c>
      <c r="N88" t="n">
        <v>0</v>
      </c>
      <c r="O88" t="n">
        <v>0</v>
      </c>
      <c r="P88" t="n">
        <v>0</v>
      </c>
      <c r="Q88" t="n">
        <v>0</v>
      </c>
      <c r="R88" s="2" t="inlineStr"/>
    </row>
    <row r="89" ht="15" customHeight="1">
      <c r="A89" t="inlineStr">
        <is>
          <t>A 58317-2019</t>
        </is>
      </c>
      <c r="B89" s="1" t="n">
        <v>43770</v>
      </c>
      <c r="C89" s="1" t="n">
        <v>45829</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65073-2019</t>
        </is>
      </c>
      <c r="B90" s="1" t="n">
        <v>43802</v>
      </c>
      <c r="C90" s="1" t="n">
        <v>45829</v>
      </c>
      <c r="D90" t="inlineStr">
        <is>
          <t>ÖREBRO LÄN</t>
        </is>
      </c>
      <c r="E90" t="inlineStr">
        <is>
          <t>HÄLLEFORS</t>
        </is>
      </c>
      <c r="F90" t="inlineStr">
        <is>
          <t>Bergvik skog väst AB</t>
        </is>
      </c>
      <c r="G90" t="n">
        <v>3.3</v>
      </c>
      <c r="H90" t="n">
        <v>0</v>
      </c>
      <c r="I90" t="n">
        <v>0</v>
      </c>
      <c r="J90" t="n">
        <v>0</v>
      </c>
      <c r="K90" t="n">
        <v>0</v>
      </c>
      <c r="L90" t="n">
        <v>0</v>
      </c>
      <c r="M90" t="n">
        <v>0</v>
      </c>
      <c r="N90" t="n">
        <v>0</v>
      </c>
      <c r="O90" t="n">
        <v>0</v>
      </c>
      <c r="P90" t="n">
        <v>0</v>
      </c>
      <c r="Q90" t="n">
        <v>0</v>
      </c>
      <c r="R90" s="2" t="inlineStr"/>
    </row>
    <row r="91" ht="15" customHeight="1">
      <c r="A91" t="inlineStr">
        <is>
          <t>A 65758-2019</t>
        </is>
      </c>
      <c r="B91" s="1" t="n">
        <v>43804</v>
      </c>
      <c r="C91" s="1" t="n">
        <v>45829</v>
      </c>
      <c r="D91" t="inlineStr">
        <is>
          <t>ÖREBRO LÄN</t>
        </is>
      </c>
      <c r="E91" t="inlineStr">
        <is>
          <t>HÄLLEFORS</t>
        </is>
      </c>
      <c r="G91" t="n">
        <v>2.1</v>
      </c>
      <c r="H91" t="n">
        <v>0</v>
      </c>
      <c r="I91" t="n">
        <v>0</v>
      </c>
      <c r="J91" t="n">
        <v>0</v>
      </c>
      <c r="K91" t="n">
        <v>0</v>
      </c>
      <c r="L91" t="n">
        <v>0</v>
      </c>
      <c r="M91" t="n">
        <v>0</v>
      </c>
      <c r="N91" t="n">
        <v>0</v>
      </c>
      <c r="O91" t="n">
        <v>0</v>
      </c>
      <c r="P91" t="n">
        <v>0</v>
      </c>
      <c r="Q91" t="n">
        <v>0</v>
      </c>
      <c r="R91" s="2" t="inlineStr"/>
    </row>
    <row r="92" ht="15" customHeight="1">
      <c r="A92" t="inlineStr">
        <is>
          <t>A 68534-2019</t>
        </is>
      </c>
      <c r="B92" s="1" t="n">
        <v>43818</v>
      </c>
      <c r="C92" s="1" t="n">
        <v>45829</v>
      </c>
      <c r="D92" t="inlineStr">
        <is>
          <t>ÖREBRO LÄN</t>
        </is>
      </c>
      <c r="E92" t="inlineStr">
        <is>
          <t>HÄLLEFORS</t>
        </is>
      </c>
      <c r="F92" t="inlineStr">
        <is>
          <t>Bergvik skog väst AB</t>
        </is>
      </c>
      <c r="G92" t="n">
        <v>14.3</v>
      </c>
      <c r="H92" t="n">
        <v>0</v>
      </c>
      <c r="I92" t="n">
        <v>0</v>
      </c>
      <c r="J92" t="n">
        <v>0</v>
      </c>
      <c r="K92" t="n">
        <v>0</v>
      </c>
      <c r="L92" t="n">
        <v>0</v>
      </c>
      <c r="M92" t="n">
        <v>0</v>
      </c>
      <c r="N92" t="n">
        <v>0</v>
      </c>
      <c r="O92" t="n">
        <v>0</v>
      </c>
      <c r="P92" t="n">
        <v>0</v>
      </c>
      <c r="Q92" t="n">
        <v>0</v>
      </c>
      <c r="R92" s="2" t="inlineStr"/>
    </row>
    <row r="93" ht="15" customHeight="1">
      <c r="A93" t="inlineStr">
        <is>
          <t>A 55-2020</t>
        </is>
      </c>
      <c r="B93" s="1" t="n">
        <v>43832</v>
      </c>
      <c r="C93" s="1" t="n">
        <v>45829</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5089-2020</t>
        </is>
      </c>
      <c r="B94" s="1" t="n">
        <v>43859</v>
      </c>
      <c r="C94" s="1" t="n">
        <v>45829</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6196-2020</t>
        </is>
      </c>
      <c r="B95" s="1" t="n">
        <v>43865</v>
      </c>
      <c r="C95" s="1" t="n">
        <v>45829</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6914-2020</t>
        </is>
      </c>
      <c r="B96" s="1" t="n">
        <v>43868</v>
      </c>
      <c r="C96" s="1" t="n">
        <v>45829</v>
      </c>
      <c r="D96" t="inlineStr">
        <is>
          <t>ÖREBRO LÄN</t>
        </is>
      </c>
      <c r="E96" t="inlineStr">
        <is>
          <t>HÄLLEFORS</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9959-2020</t>
        </is>
      </c>
      <c r="B97" s="1" t="n">
        <v>43882</v>
      </c>
      <c r="C97" s="1" t="n">
        <v>45829</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11308-2020</t>
        </is>
      </c>
      <c r="B98" s="1" t="n">
        <v>43892</v>
      </c>
      <c r="C98" s="1" t="n">
        <v>45829</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11235-2020</t>
        </is>
      </c>
      <c r="B99" s="1" t="n">
        <v>43892</v>
      </c>
      <c r="C99" s="1" t="n">
        <v>45829</v>
      </c>
      <c r="D99" t="inlineStr">
        <is>
          <t>ÖREBRO LÄN</t>
        </is>
      </c>
      <c r="E99" t="inlineStr">
        <is>
          <t>HÄLLEFORS</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12170-2020</t>
        </is>
      </c>
      <c r="B100" s="1" t="n">
        <v>43895</v>
      </c>
      <c r="C100" s="1" t="n">
        <v>45829</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16829-2020</t>
        </is>
      </c>
      <c r="B101" s="1" t="n">
        <v>43921</v>
      </c>
      <c r="C101" s="1" t="n">
        <v>45829</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18000-2020</t>
        </is>
      </c>
      <c r="B102" s="1" t="n">
        <v>43927</v>
      </c>
      <c r="C102" s="1" t="n">
        <v>45829</v>
      </c>
      <c r="D102" t="inlineStr">
        <is>
          <t>ÖREBRO LÄN</t>
        </is>
      </c>
      <c r="E102" t="inlineStr">
        <is>
          <t>HÄLLEFORS</t>
        </is>
      </c>
      <c r="F102" t="inlineStr">
        <is>
          <t>Bergvik skog väst AB</t>
        </is>
      </c>
      <c r="G102" t="n">
        <v>11.1</v>
      </c>
      <c r="H102" t="n">
        <v>0</v>
      </c>
      <c r="I102" t="n">
        <v>0</v>
      </c>
      <c r="J102" t="n">
        <v>0</v>
      </c>
      <c r="K102" t="n">
        <v>0</v>
      </c>
      <c r="L102" t="n">
        <v>0</v>
      </c>
      <c r="M102" t="n">
        <v>0</v>
      </c>
      <c r="N102" t="n">
        <v>0</v>
      </c>
      <c r="O102" t="n">
        <v>0</v>
      </c>
      <c r="P102" t="n">
        <v>0</v>
      </c>
      <c r="Q102" t="n">
        <v>0</v>
      </c>
      <c r="R102" s="2" t="inlineStr"/>
    </row>
    <row r="103" ht="15" customHeight="1">
      <c r="A103" t="inlineStr">
        <is>
          <t>A 18669-2020</t>
        </is>
      </c>
      <c r="B103" s="1" t="n">
        <v>43930</v>
      </c>
      <c r="C103" s="1" t="n">
        <v>45829</v>
      </c>
      <c r="D103" t="inlineStr">
        <is>
          <t>ÖREBRO LÄN</t>
        </is>
      </c>
      <c r="E103" t="inlineStr">
        <is>
          <t>HÄLLEFORS</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18672-2020</t>
        </is>
      </c>
      <c r="B104" s="1" t="n">
        <v>43930</v>
      </c>
      <c r="C104" s="1" t="n">
        <v>45829</v>
      </c>
      <c r="D104" t="inlineStr">
        <is>
          <t>ÖREBRO LÄN</t>
        </is>
      </c>
      <c r="E104" t="inlineStr">
        <is>
          <t>HÄLLEFORS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20719-2020</t>
        </is>
      </c>
      <c r="B105" s="1" t="n">
        <v>43949</v>
      </c>
      <c r="C105" s="1" t="n">
        <v>45829</v>
      </c>
      <c r="D105" t="inlineStr">
        <is>
          <t>ÖREBRO LÄN</t>
        </is>
      </c>
      <c r="E105" t="inlineStr">
        <is>
          <t>HÄLLEFORS</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20718-2020</t>
        </is>
      </c>
      <c r="B106" s="1" t="n">
        <v>43949</v>
      </c>
      <c r="C106" s="1" t="n">
        <v>45829</v>
      </c>
      <c r="D106" t="inlineStr">
        <is>
          <t>ÖREBRO LÄN</t>
        </is>
      </c>
      <c r="E106" t="inlineStr">
        <is>
          <t>HÄLLEFORS</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21177-2020</t>
        </is>
      </c>
      <c r="B107" s="1" t="n">
        <v>43951</v>
      </c>
      <c r="C107" s="1" t="n">
        <v>45829</v>
      </c>
      <c r="D107" t="inlineStr">
        <is>
          <t>ÖREBRO LÄN</t>
        </is>
      </c>
      <c r="E107" t="inlineStr">
        <is>
          <t>HÄLLEFORS</t>
        </is>
      </c>
      <c r="F107" t="inlineStr">
        <is>
          <t>Bergvik skog väst AB</t>
        </is>
      </c>
      <c r="G107" t="n">
        <v>3.5</v>
      </c>
      <c r="H107" t="n">
        <v>0</v>
      </c>
      <c r="I107" t="n">
        <v>0</v>
      </c>
      <c r="J107" t="n">
        <v>0</v>
      </c>
      <c r="K107" t="n">
        <v>0</v>
      </c>
      <c r="L107" t="n">
        <v>0</v>
      </c>
      <c r="M107" t="n">
        <v>0</v>
      </c>
      <c r="N107" t="n">
        <v>0</v>
      </c>
      <c r="O107" t="n">
        <v>0</v>
      </c>
      <c r="P107" t="n">
        <v>0</v>
      </c>
      <c r="Q107" t="n">
        <v>0</v>
      </c>
      <c r="R107" s="2" t="inlineStr"/>
    </row>
    <row r="108" ht="15" customHeight="1">
      <c r="A108" t="inlineStr">
        <is>
          <t>A 21750-2020</t>
        </is>
      </c>
      <c r="B108" s="1" t="n">
        <v>43957</v>
      </c>
      <c r="C108" s="1" t="n">
        <v>45829</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21859-2020</t>
        </is>
      </c>
      <c r="B109" s="1" t="n">
        <v>43958</v>
      </c>
      <c r="C109" s="1" t="n">
        <v>45829</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22729-2020</t>
        </is>
      </c>
      <c r="B110" s="1" t="n">
        <v>43962</v>
      </c>
      <c r="C110" s="1" t="n">
        <v>45829</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24483-2020</t>
        </is>
      </c>
      <c r="B111" s="1" t="n">
        <v>43977</v>
      </c>
      <c r="C111" s="1" t="n">
        <v>45829</v>
      </c>
      <c r="D111" t="inlineStr">
        <is>
          <t>ÖREBRO LÄN</t>
        </is>
      </c>
      <c r="E111" t="inlineStr">
        <is>
          <t>HÄLLEFORS</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27171-2020</t>
        </is>
      </c>
      <c r="B112" s="1" t="n">
        <v>43991</v>
      </c>
      <c r="C112" s="1" t="n">
        <v>45829</v>
      </c>
      <c r="D112" t="inlineStr">
        <is>
          <t>ÖREBRO LÄN</t>
        </is>
      </c>
      <c r="E112" t="inlineStr">
        <is>
          <t>HÄLLEFORS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27173-2020</t>
        </is>
      </c>
      <c r="B113" s="1" t="n">
        <v>43991</v>
      </c>
      <c r="C113" s="1" t="n">
        <v>45829</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28373-2020</t>
        </is>
      </c>
      <c r="B114" s="1" t="n">
        <v>43998</v>
      </c>
      <c r="C114" s="1" t="n">
        <v>45829</v>
      </c>
      <c r="D114" t="inlineStr">
        <is>
          <t>ÖREBRO LÄN</t>
        </is>
      </c>
      <c r="E114" t="inlineStr">
        <is>
          <t>HÄLLEFORS</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32649-2020</t>
        </is>
      </c>
      <c r="B115" s="1" t="n">
        <v>44018</v>
      </c>
      <c r="C115" s="1" t="n">
        <v>45829</v>
      </c>
      <c r="D115" t="inlineStr">
        <is>
          <t>ÖREBRO LÄN</t>
        </is>
      </c>
      <c r="E115" t="inlineStr">
        <is>
          <t>HÄLLEFORS</t>
        </is>
      </c>
      <c r="F115" t="inlineStr">
        <is>
          <t>Kyrkan</t>
        </is>
      </c>
      <c r="G115" t="n">
        <v>10.8</v>
      </c>
      <c r="H115" t="n">
        <v>0</v>
      </c>
      <c r="I115" t="n">
        <v>0</v>
      </c>
      <c r="J115" t="n">
        <v>0</v>
      </c>
      <c r="K115" t="n">
        <v>0</v>
      </c>
      <c r="L115" t="n">
        <v>0</v>
      </c>
      <c r="M115" t="n">
        <v>0</v>
      </c>
      <c r="N115" t="n">
        <v>0</v>
      </c>
      <c r="O115" t="n">
        <v>0</v>
      </c>
      <c r="P115" t="n">
        <v>0</v>
      </c>
      <c r="Q115" t="n">
        <v>0</v>
      </c>
      <c r="R115" s="2" t="inlineStr"/>
    </row>
    <row r="116" ht="15" customHeight="1">
      <c r="A116" t="inlineStr">
        <is>
          <t>A 34415-2020</t>
        </is>
      </c>
      <c r="B116" s="1" t="n">
        <v>44032</v>
      </c>
      <c r="C116" s="1" t="n">
        <v>45829</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35825-2020</t>
        </is>
      </c>
      <c r="B117" s="1" t="n">
        <v>44047</v>
      </c>
      <c r="C117" s="1" t="n">
        <v>45829</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39505-2020</t>
        </is>
      </c>
      <c r="B118" s="1" t="n">
        <v>44064</v>
      </c>
      <c r="C118" s="1" t="n">
        <v>45829</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39512-2020</t>
        </is>
      </c>
      <c r="B119" s="1" t="n">
        <v>44064</v>
      </c>
      <c r="C119" s="1" t="n">
        <v>45829</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39557-2020</t>
        </is>
      </c>
      <c r="B120" s="1" t="n">
        <v>44064</v>
      </c>
      <c r="C120" s="1" t="n">
        <v>45829</v>
      </c>
      <c r="D120" t="inlineStr">
        <is>
          <t>ÖREBRO LÄN</t>
        </is>
      </c>
      <c r="E120" t="inlineStr">
        <is>
          <t>HÄLLEFORS</t>
        </is>
      </c>
      <c r="F120" t="inlineStr">
        <is>
          <t>Bergvik skog väst AB</t>
        </is>
      </c>
      <c r="G120" t="n">
        <v>18.1</v>
      </c>
      <c r="H120" t="n">
        <v>0</v>
      </c>
      <c r="I120" t="n">
        <v>0</v>
      </c>
      <c r="J120" t="n">
        <v>0</v>
      </c>
      <c r="K120" t="n">
        <v>0</v>
      </c>
      <c r="L120" t="n">
        <v>0</v>
      </c>
      <c r="M120" t="n">
        <v>0</v>
      </c>
      <c r="N120" t="n">
        <v>0</v>
      </c>
      <c r="O120" t="n">
        <v>0</v>
      </c>
      <c r="P120" t="n">
        <v>0</v>
      </c>
      <c r="Q120" t="n">
        <v>0</v>
      </c>
      <c r="R120" s="2" t="inlineStr"/>
    </row>
    <row r="121" ht="15" customHeight="1">
      <c r="A121" t="inlineStr">
        <is>
          <t>A 39484-2020</t>
        </is>
      </c>
      <c r="B121" s="1" t="n">
        <v>44064</v>
      </c>
      <c r="C121" s="1" t="n">
        <v>45829</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39499-2020</t>
        </is>
      </c>
      <c r="B122" s="1" t="n">
        <v>44064</v>
      </c>
      <c r="C122" s="1" t="n">
        <v>45829</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39607-2020</t>
        </is>
      </c>
      <c r="B123" s="1" t="n">
        <v>44064</v>
      </c>
      <c r="C123" s="1" t="n">
        <v>45829</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39572-2020</t>
        </is>
      </c>
      <c r="B124" s="1" t="n">
        <v>44064</v>
      </c>
      <c r="C124" s="1" t="n">
        <v>45829</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39603-2020</t>
        </is>
      </c>
      <c r="B125" s="1" t="n">
        <v>44064</v>
      </c>
      <c r="C125" s="1" t="n">
        <v>45829</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39613-2020</t>
        </is>
      </c>
      <c r="B126" s="1" t="n">
        <v>44064</v>
      </c>
      <c r="C126" s="1" t="n">
        <v>45829</v>
      </c>
      <c r="D126" t="inlineStr">
        <is>
          <t>ÖREBRO LÄN</t>
        </is>
      </c>
      <c r="E126" t="inlineStr">
        <is>
          <t>HÄLLEFORS</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39564-2020</t>
        </is>
      </c>
      <c r="B127" s="1" t="n">
        <v>44064</v>
      </c>
      <c r="C127" s="1" t="n">
        <v>45829</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39914-2020</t>
        </is>
      </c>
      <c r="B128" s="1" t="n">
        <v>44067</v>
      </c>
      <c r="C128" s="1" t="n">
        <v>45829</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39921-2020</t>
        </is>
      </c>
      <c r="B129" s="1" t="n">
        <v>44067</v>
      </c>
      <c r="C129" s="1" t="n">
        <v>45829</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40467-2020</t>
        </is>
      </c>
      <c r="B130" s="1" t="n">
        <v>44069</v>
      </c>
      <c r="C130" s="1" t="n">
        <v>45829</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40935-2020</t>
        </is>
      </c>
      <c r="B131" s="1" t="n">
        <v>44070</v>
      </c>
      <c r="C131" s="1" t="n">
        <v>45829</v>
      </c>
      <c r="D131" t="inlineStr">
        <is>
          <t>ÖREBRO LÄN</t>
        </is>
      </c>
      <c r="E131" t="inlineStr">
        <is>
          <t>HÄLLEFORS</t>
        </is>
      </c>
      <c r="F131" t="inlineStr">
        <is>
          <t>Bergvik skog väst AB</t>
        </is>
      </c>
      <c r="G131" t="n">
        <v>8.1</v>
      </c>
      <c r="H131" t="n">
        <v>0</v>
      </c>
      <c r="I131" t="n">
        <v>0</v>
      </c>
      <c r="J131" t="n">
        <v>0</v>
      </c>
      <c r="K131" t="n">
        <v>0</v>
      </c>
      <c r="L131" t="n">
        <v>0</v>
      </c>
      <c r="M131" t="n">
        <v>0</v>
      </c>
      <c r="N131" t="n">
        <v>0</v>
      </c>
      <c r="O131" t="n">
        <v>0</v>
      </c>
      <c r="P131" t="n">
        <v>0</v>
      </c>
      <c r="Q131" t="n">
        <v>0</v>
      </c>
      <c r="R131" s="2" t="inlineStr"/>
    </row>
    <row r="132" ht="15" customHeight="1">
      <c r="A132" t="inlineStr">
        <is>
          <t>A 42613-2020</t>
        </is>
      </c>
      <c r="B132" s="1" t="n">
        <v>44077</v>
      </c>
      <c r="C132" s="1" t="n">
        <v>45829</v>
      </c>
      <c r="D132" t="inlineStr">
        <is>
          <t>ÖREBRO LÄN</t>
        </is>
      </c>
      <c r="E132" t="inlineStr">
        <is>
          <t>HÄLLEFORS</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44924-2020</t>
        </is>
      </c>
      <c r="B133" s="1" t="n">
        <v>44083</v>
      </c>
      <c r="C133" s="1" t="n">
        <v>45829</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44556-2020</t>
        </is>
      </c>
      <c r="B134" s="1" t="n">
        <v>44085</v>
      </c>
      <c r="C134" s="1" t="n">
        <v>45829</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45459-2020</t>
        </is>
      </c>
      <c r="B135" s="1" t="n">
        <v>44089</v>
      </c>
      <c r="C135" s="1" t="n">
        <v>45829</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47609-2020</t>
        </is>
      </c>
      <c r="B136" s="1" t="n">
        <v>44098</v>
      </c>
      <c r="C136" s="1" t="n">
        <v>45829</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47702-2020</t>
        </is>
      </c>
      <c r="B137" s="1" t="n">
        <v>44098</v>
      </c>
      <c r="C137" s="1" t="n">
        <v>45829</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47614-2020</t>
        </is>
      </c>
      <c r="B138" s="1" t="n">
        <v>44098</v>
      </c>
      <c r="C138" s="1" t="n">
        <v>45829</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47731-2020</t>
        </is>
      </c>
      <c r="B139" s="1" t="n">
        <v>44098</v>
      </c>
      <c r="C139" s="1" t="n">
        <v>45829</v>
      </c>
      <c r="D139" t="inlineStr">
        <is>
          <t>ÖREBRO LÄN</t>
        </is>
      </c>
      <c r="E139" t="inlineStr">
        <is>
          <t>HÄLLEFORS</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48127-2020</t>
        </is>
      </c>
      <c r="B140" s="1" t="n">
        <v>44102</v>
      </c>
      <c r="C140" s="1" t="n">
        <v>45829</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48316-2020</t>
        </is>
      </c>
      <c r="B141" s="1" t="n">
        <v>44102</v>
      </c>
      <c r="C141" s="1" t="n">
        <v>45829</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49640-2020</t>
        </is>
      </c>
      <c r="B142" s="1" t="n">
        <v>44106</v>
      </c>
      <c r="C142" s="1" t="n">
        <v>45829</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49719-2020</t>
        </is>
      </c>
      <c r="B143" s="1" t="n">
        <v>44106</v>
      </c>
      <c r="C143" s="1" t="n">
        <v>45829</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49642-2020</t>
        </is>
      </c>
      <c r="B144" s="1" t="n">
        <v>44106</v>
      </c>
      <c r="C144" s="1" t="n">
        <v>45829</v>
      </c>
      <c r="D144" t="inlineStr">
        <is>
          <t>ÖREBRO LÄN</t>
        </is>
      </c>
      <c r="E144" t="inlineStr">
        <is>
          <t>HÄLLEFORS</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49650-2020</t>
        </is>
      </c>
      <c r="B145" s="1" t="n">
        <v>44106</v>
      </c>
      <c r="C145" s="1" t="n">
        <v>45829</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49882-2020</t>
        </is>
      </c>
      <c r="B146" s="1" t="n">
        <v>44108</v>
      </c>
      <c r="C146" s="1" t="n">
        <v>45829</v>
      </c>
      <c r="D146" t="inlineStr">
        <is>
          <t>ÖREBRO LÄN</t>
        </is>
      </c>
      <c r="E146" t="inlineStr">
        <is>
          <t>HÄLLEFORS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50345-2020</t>
        </is>
      </c>
      <c r="B147" s="1" t="n">
        <v>44110</v>
      </c>
      <c r="C147" s="1" t="n">
        <v>45829</v>
      </c>
      <c r="D147" t="inlineStr">
        <is>
          <t>ÖREBRO LÄN</t>
        </is>
      </c>
      <c r="E147" t="inlineStr">
        <is>
          <t>HÄLLEFORS</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58534-2020</t>
        </is>
      </c>
      <c r="B148" s="1" t="n">
        <v>44145</v>
      </c>
      <c r="C148" s="1" t="n">
        <v>45829</v>
      </c>
      <c r="D148" t="inlineStr">
        <is>
          <t>ÖREBRO LÄN</t>
        </is>
      </c>
      <c r="E148" t="inlineStr">
        <is>
          <t>HÄLLEFORS</t>
        </is>
      </c>
      <c r="G148" t="n">
        <v>3.1</v>
      </c>
      <c r="H148" t="n">
        <v>0</v>
      </c>
      <c r="I148" t="n">
        <v>0</v>
      </c>
      <c r="J148" t="n">
        <v>0</v>
      </c>
      <c r="K148" t="n">
        <v>0</v>
      </c>
      <c r="L148" t="n">
        <v>0</v>
      </c>
      <c r="M148" t="n">
        <v>0</v>
      </c>
      <c r="N148" t="n">
        <v>0</v>
      </c>
      <c r="O148" t="n">
        <v>0</v>
      </c>
      <c r="P148" t="n">
        <v>0</v>
      </c>
      <c r="Q148" t="n">
        <v>0</v>
      </c>
      <c r="R148" s="2" t="inlineStr"/>
    </row>
    <row r="149" ht="15" customHeight="1">
      <c r="A149" t="inlineStr">
        <is>
          <t>A 59294-2020</t>
        </is>
      </c>
      <c r="B149" s="1" t="n">
        <v>44147</v>
      </c>
      <c r="C149" s="1" t="n">
        <v>45829</v>
      </c>
      <c r="D149" t="inlineStr">
        <is>
          <t>ÖREBRO LÄN</t>
        </is>
      </c>
      <c r="E149" t="inlineStr">
        <is>
          <t>HÄLLEFORS</t>
        </is>
      </c>
      <c r="F149" t="inlineStr">
        <is>
          <t>Kyrkan</t>
        </is>
      </c>
      <c r="G149" t="n">
        <v>10.2</v>
      </c>
      <c r="H149" t="n">
        <v>0</v>
      </c>
      <c r="I149" t="n">
        <v>0</v>
      </c>
      <c r="J149" t="n">
        <v>0</v>
      </c>
      <c r="K149" t="n">
        <v>0</v>
      </c>
      <c r="L149" t="n">
        <v>0</v>
      </c>
      <c r="M149" t="n">
        <v>0</v>
      </c>
      <c r="N149" t="n">
        <v>0</v>
      </c>
      <c r="O149" t="n">
        <v>0</v>
      </c>
      <c r="P149" t="n">
        <v>0</v>
      </c>
      <c r="Q149" t="n">
        <v>0</v>
      </c>
      <c r="R149" s="2" t="inlineStr"/>
    </row>
    <row r="150" ht="15" customHeight="1">
      <c r="A150" t="inlineStr">
        <is>
          <t>A 59298-2020</t>
        </is>
      </c>
      <c r="B150" s="1" t="n">
        <v>44147</v>
      </c>
      <c r="C150" s="1" t="n">
        <v>45829</v>
      </c>
      <c r="D150" t="inlineStr">
        <is>
          <t>ÖREBRO LÄN</t>
        </is>
      </c>
      <c r="E150" t="inlineStr">
        <is>
          <t>HÄLLEFORS</t>
        </is>
      </c>
      <c r="F150" t="inlineStr">
        <is>
          <t>Kyrkan</t>
        </is>
      </c>
      <c r="G150" t="n">
        <v>5.2</v>
      </c>
      <c r="H150" t="n">
        <v>0</v>
      </c>
      <c r="I150" t="n">
        <v>0</v>
      </c>
      <c r="J150" t="n">
        <v>0</v>
      </c>
      <c r="K150" t="n">
        <v>0</v>
      </c>
      <c r="L150" t="n">
        <v>0</v>
      </c>
      <c r="M150" t="n">
        <v>0</v>
      </c>
      <c r="N150" t="n">
        <v>0</v>
      </c>
      <c r="O150" t="n">
        <v>0</v>
      </c>
      <c r="P150" t="n">
        <v>0</v>
      </c>
      <c r="Q150" t="n">
        <v>0</v>
      </c>
      <c r="R150" s="2" t="inlineStr"/>
    </row>
    <row r="151" ht="15" customHeight="1">
      <c r="A151" t="inlineStr">
        <is>
          <t>A 59601-2020</t>
        </is>
      </c>
      <c r="B151" s="1" t="n">
        <v>44149</v>
      </c>
      <c r="C151" s="1" t="n">
        <v>45829</v>
      </c>
      <c r="D151" t="inlineStr">
        <is>
          <t>ÖREBRO LÄN</t>
        </is>
      </c>
      <c r="E151" t="inlineStr">
        <is>
          <t>HÄLLEFORS</t>
        </is>
      </c>
      <c r="G151" t="n">
        <v>5.8</v>
      </c>
      <c r="H151" t="n">
        <v>0</v>
      </c>
      <c r="I151" t="n">
        <v>0</v>
      </c>
      <c r="J151" t="n">
        <v>0</v>
      </c>
      <c r="K151" t="n">
        <v>0</v>
      </c>
      <c r="L151" t="n">
        <v>0</v>
      </c>
      <c r="M151" t="n">
        <v>0</v>
      </c>
      <c r="N151" t="n">
        <v>0</v>
      </c>
      <c r="O151" t="n">
        <v>0</v>
      </c>
      <c r="P151" t="n">
        <v>0</v>
      </c>
      <c r="Q151" t="n">
        <v>0</v>
      </c>
      <c r="R151" s="2" t="inlineStr"/>
    </row>
    <row r="152" ht="15" customHeight="1">
      <c r="A152" t="inlineStr">
        <is>
          <t>A 60724-2020</t>
        </is>
      </c>
      <c r="B152" s="1" t="n">
        <v>44153</v>
      </c>
      <c r="C152" s="1" t="n">
        <v>45829</v>
      </c>
      <c r="D152" t="inlineStr">
        <is>
          <t>ÖREBRO LÄN</t>
        </is>
      </c>
      <c r="E152" t="inlineStr">
        <is>
          <t>HÄLLEFORS</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62454-2020</t>
        </is>
      </c>
      <c r="B153" s="1" t="n">
        <v>44160</v>
      </c>
      <c r="C153" s="1" t="n">
        <v>45829</v>
      </c>
      <c r="D153" t="inlineStr">
        <is>
          <t>ÖREBRO LÄN</t>
        </is>
      </c>
      <c r="E153" t="inlineStr">
        <is>
          <t>HÄLLEFORS</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62455-2020</t>
        </is>
      </c>
      <c r="B154" s="1" t="n">
        <v>44160</v>
      </c>
      <c r="C154" s="1" t="n">
        <v>45829</v>
      </c>
      <c r="D154" t="inlineStr">
        <is>
          <t>ÖREBRO LÄN</t>
        </is>
      </c>
      <c r="E154" t="inlineStr">
        <is>
          <t>HÄLLEFORS</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62591-2020</t>
        </is>
      </c>
      <c r="B155" s="1" t="n">
        <v>44161</v>
      </c>
      <c r="C155" s="1" t="n">
        <v>45829</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62803-2020</t>
        </is>
      </c>
      <c r="B156" s="1" t="n">
        <v>44161</v>
      </c>
      <c r="C156" s="1" t="n">
        <v>45829</v>
      </c>
      <c r="D156" t="inlineStr">
        <is>
          <t>ÖREBRO LÄN</t>
        </is>
      </c>
      <c r="E156" t="inlineStr">
        <is>
          <t>HÄLLEFORS</t>
        </is>
      </c>
      <c r="F156" t="inlineStr">
        <is>
          <t>Kyrkan</t>
        </is>
      </c>
      <c r="G156" t="n">
        <v>0.7</v>
      </c>
      <c r="H156" t="n">
        <v>0</v>
      </c>
      <c r="I156" t="n">
        <v>0</v>
      </c>
      <c r="J156" t="n">
        <v>0</v>
      </c>
      <c r="K156" t="n">
        <v>0</v>
      </c>
      <c r="L156" t="n">
        <v>0</v>
      </c>
      <c r="M156" t="n">
        <v>0</v>
      </c>
      <c r="N156" t="n">
        <v>0</v>
      </c>
      <c r="O156" t="n">
        <v>0</v>
      </c>
      <c r="P156" t="n">
        <v>0</v>
      </c>
      <c r="Q156" t="n">
        <v>0</v>
      </c>
      <c r="R156" s="2" t="inlineStr"/>
    </row>
    <row r="157" ht="15" customHeight="1">
      <c r="A157" t="inlineStr">
        <is>
          <t>A 65861-2020</t>
        </is>
      </c>
      <c r="B157" s="1" t="n">
        <v>44174</v>
      </c>
      <c r="C157" s="1" t="n">
        <v>45829</v>
      </c>
      <c r="D157" t="inlineStr">
        <is>
          <t>ÖREBRO LÄN</t>
        </is>
      </c>
      <c r="E157" t="inlineStr">
        <is>
          <t>HÄLLEFORS</t>
        </is>
      </c>
      <c r="G157" t="n">
        <v>3.6</v>
      </c>
      <c r="H157" t="n">
        <v>0</v>
      </c>
      <c r="I157" t="n">
        <v>0</v>
      </c>
      <c r="J157" t="n">
        <v>0</v>
      </c>
      <c r="K157" t="n">
        <v>0</v>
      </c>
      <c r="L157" t="n">
        <v>0</v>
      </c>
      <c r="M157" t="n">
        <v>0</v>
      </c>
      <c r="N157" t="n">
        <v>0</v>
      </c>
      <c r="O157" t="n">
        <v>0</v>
      </c>
      <c r="P157" t="n">
        <v>0</v>
      </c>
      <c r="Q157" t="n">
        <v>0</v>
      </c>
      <c r="R157" s="2" t="inlineStr"/>
    </row>
    <row r="158" ht="15" customHeight="1">
      <c r="A158" t="inlineStr">
        <is>
          <t>A 65856-2020</t>
        </is>
      </c>
      <c r="B158" s="1" t="n">
        <v>44174</v>
      </c>
      <c r="C158" s="1" t="n">
        <v>45829</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66151-2020</t>
        </is>
      </c>
      <c r="B159" s="1" t="n">
        <v>44175</v>
      </c>
      <c r="C159" s="1" t="n">
        <v>45829</v>
      </c>
      <c r="D159" t="inlineStr">
        <is>
          <t>ÖREBRO LÄN</t>
        </is>
      </c>
      <c r="E159" t="inlineStr">
        <is>
          <t>HÄLLEFORS</t>
        </is>
      </c>
      <c r="F159" t="inlineStr">
        <is>
          <t>Bergvik skog väst AB</t>
        </is>
      </c>
      <c r="G159" t="n">
        <v>12.2</v>
      </c>
      <c r="H159" t="n">
        <v>0</v>
      </c>
      <c r="I159" t="n">
        <v>0</v>
      </c>
      <c r="J159" t="n">
        <v>0</v>
      </c>
      <c r="K159" t="n">
        <v>0</v>
      </c>
      <c r="L159" t="n">
        <v>0</v>
      </c>
      <c r="M159" t="n">
        <v>0</v>
      </c>
      <c r="N159" t="n">
        <v>0</v>
      </c>
      <c r="O159" t="n">
        <v>0</v>
      </c>
      <c r="P159" t="n">
        <v>0</v>
      </c>
      <c r="Q159" t="n">
        <v>0</v>
      </c>
      <c r="R159" s="2" t="inlineStr"/>
    </row>
    <row r="160" ht="15" customHeight="1">
      <c r="A160" t="inlineStr">
        <is>
          <t>A 67446-2020</t>
        </is>
      </c>
      <c r="B160" s="1" t="n">
        <v>44181</v>
      </c>
      <c r="C160" s="1" t="n">
        <v>45829</v>
      </c>
      <c r="D160" t="inlineStr">
        <is>
          <t>ÖREBRO LÄN</t>
        </is>
      </c>
      <c r="E160" t="inlineStr">
        <is>
          <t>HÄLLEFORS</t>
        </is>
      </c>
      <c r="F160" t="inlineStr">
        <is>
          <t>Bergvik skog väst AB</t>
        </is>
      </c>
      <c r="G160" t="n">
        <v>6.7</v>
      </c>
      <c r="H160" t="n">
        <v>0</v>
      </c>
      <c r="I160" t="n">
        <v>0</v>
      </c>
      <c r="J160" t="n">
        <v>0</v>
      </c>
      <c r="K160" t="n">
        <v>0</v>
      </c>
      <c r="L160" t="n">
        <v>0</v>
      </c>
      <c r="M160" t="n">
        <v>0</v>
      </c>
      <c r="N160" t="n">
        <v>0</v>
      </c>
      <c r="O160" t="n">
        <v>0</v>
      </c>
      <c r="P160" t="n">
        <v>0</v>
      </c>
      <c r="Q160" t="n">
        <v>0</v>
      </c>
      <c r="R160" s="2" t="inlineStr"/>
    </row>
    <row r="161" ht="15" customHeight="1">
      <c r="A161" t="inlineStr">
        <is>
          <t>A 3619-2021</t>
        </is>
      </c>
      <c r="B161" s="1" t="n">
        <v>44221</v>
      </c>
      <c r="C161" s="1" t="n">
        <v>45829</v>
      </c>
      <c r="D161" t="inlineStr">
        <is>
          <t>ÖREBRO LÄN</t>
        </is>
      </c>
      <c r="E161" t="inlineStr">
        <is>
          <t>HÄLLEFORS</t>
        </is>
      </c>
      <c r="F161" t="inlineStr">
        <is>
          <t>Kyrkan</t>
        </is>
      </c>
      <c r="G161" t="n">
        <v>0.6</v>
      </c>
      <c r="H161" t="n">
        <v>0</v>
      </c>
      <c r="I161" t="n">
        <v>0</v>
      </c>
      <c r="J161" t="n">
        <v>0</v>
      </c>
      <c r="K161" t="n">
        <v>0</v>
      </c>
      <c r="L161" t="n">
        <v>0</v>
      </c>
      <c r="M161" t="n">
        <v>0</v>
      </c>
      <c r="N161" t="n">
        <v>0</v>
      </c>
      <c r="O161" t="n">
        <v>0</v>
      </c>
      <c r="P161" t="n">
        <v>0</v>
      </c>
      <c r="Q161" t="n">
        <v>0</v>
      </c>
      <c r="R161" s="2" t="inlineStr"/>
    </row>
    <row r="162" ht="15" customHeight="1">
      <c r="A162" t="inlineStr">
        <is>
          <t>A 7123-2021</t>
        </is>
      </c>
      <c r="B162" s="1" t="n">
        <v>44238</v>
      </c>
      <c r="C162" s="1" t="n">
        <v>45829</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10083-2021</t>
        </is>
      </c>
      <c r="B163" s="1" t="n">
        <v>44256</v>
      </c>
      <c r="C163" s="1" t="n">
        <v>45829</v>
      </c>
      <c r="D163" t="inlineStr">
        <is>
          <t>ÖREBRO LÄN</t>
        </is>
      </c>
      <c r="E163" t="inlineStr">
        <is>
          <t>HÄLLEFORS</t>
        </is>
      </c>
      <c r="G163" t="n">
        <v>0.8</v>
      </c>
      <c r="H163" t="n">
        <v>0</v>
      </c>
      <c r="I163" t="n">
        <v>0</v>
      </c>
      <c r="J163" t="n">
        <v>0</v>
      </c>
      <c r="K163" t="n">
        <v>0</v>
      </c>
      <c r="L163" t="n">
        <v>0</v>
      </c>
      <c r="M163" t="n">
        <v>0</v>
      </c>
      <c r="N163" t="n">
        <v>0</v>
      </c>
      <c r="O163" t="n">
        <v>0</v>
      </c>
      <c r="P163" t="n">
        <v>0</v>
      </c>
      <c r="Q163" t="n">
        <v>0</v>
      </c>
      <c r="R163" s="2" t="inlineStr"/>
    </row>
    <row r="164" ht="15" customHeight="1">
      <c r="A164" t="inlineStr">
        <is>
          <t>A 11002-2021</t>
        </is>
      </c>
      <c r="B164" s="1" t="n">
        <v>44260</v>
      </c>
      <c r="C164" s="1" t="n">
        <v>45829</v>
      </c>
      <c r="D164" t="inlineStr">
        <is>
          <t>ÖREBRO LÄN</t>
        </is>
      </c>
      <c r="E164" t="inlineStr">
        <is>
          <t>HÄLLEFORS</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11044-2021</t>
        </is>
      </c>
      <c r="B165" s="1" t="n">
        <v>44260</v>
      </c>
      <c r="C165" s="1" t="n">
        <v>45829</v>
      </c>
      <c r="D165" t="inlineStr">
        <is>
          <t>ÖREBRO LÄN</t>
        </is>
      </c>
      <c r="E165" t="inlineStr">
        <is>
          <t>HÄLLEFORS</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10976-2021</t>
        </is>
      </c>
      <c r="B166" s="1" t="n">
        <v>44260</v>
      </c>
      <c r="C166" s="1" t="n">
        <v>45829</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11571-2021</t>
        </is>
      </c>
      <c r="B167" s="1" t="n">
        <v>44264</v>
      </c>
      <c r="C167" s="1" t="n">
        <v>45829</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12127-2021</t>
        </is>
      </c>
      <c r="B168" s="1" t="n">
        <v>44266</v>
      </c>
      <c r="C168" s="1" t="n">
        <v>45829</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12339-2021</t>
        </is>
      </c>
      <c r="B169" s="1" t="n">
        <v>44267</v>
      </c>
      <c r="C169" s="1" t="n">
        <v>45829</v>
      </c>
      <c r="D169" t="inlineStr">
        <is>
          <t>ÖREBRO LÄN</t>
        </is>
      </c>
      <c r="E169" t="inlineStr">
        <is>
          <t>HÄLLEFORS</t>
        </is>
      </c>
      <c r="F169" t="inlineStr">
        <is>
          <t>Bergvik skog väst AB</t>
        </is>
      </c>
      <c r="G169" t="n">
        <v>7.6</v>
      </c>
      <c r="H169" t="n">
        <v>0</v>
      </c>
      <c r="I169" t="n">
        <v>0</v>
      </c>
      <c r="J169" t="n">
        <v>0</v>
      </c>
      <c r="K169" t="n">
        <v>0</v>
      </c>
      <c r="L169" t="n">
        <v>0</v>
      </c>
      <c r="M169" t="n">
        <v>0</v>
      </c>
      <c r="N169" t="n">
        <v>0</v>
      </c>
      <c r="O169" t="n">
        <v>0</v>
      </c>
      <c r="P169" t="n">
        <v>0</v>
      </c>
      <c r="Q169" t="n">
        <v>0</v>
      </c>
      <c r="R169" s="2" t="inlineStr"/>
    </row>
    <row r="170" ht="15" customHeight="1">
      <c r="A170" t="inlineStr">
        <is>
          <t>A 12966-2021</t>
        </is>
      </c>
      <c r="B170" s="1" t="n">
        <v>44271</v>
      </c>
      <c r="C170" s="1" t="n">
        <v>45829</v>
      </c>
      <c r="D170" t="inlineStr">
        <is>
          <t>ÖREBRO LÄN</t>
        </is>
      </c>
      <c r="E170" t="inlineStr">
        <is>
          <t>HÄLLEFORS</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13347-2021</t>
        </is>
      </c>
      <c r="B171" s="1" t="n">
        <v>44273</v>
      </c>
      <c r="C171" s="1" t="n">
        <v>45829</v>
      </c>
      <c r="D171" t="inlineStr">
        <is>
          <t>ÖREBRO LÄN</t>
        </is>
      </c>
      <c r="E171" t="inlineStr">
        <is>
          <t>HÄLLEFORS</t>
        </is>
      </c>
      <c r="F171" t="inlineStr">
        <is>
          <t>Bergvik skog väst AB</t>
        </is>
      </c>
      <c r="G171" t="n">
        <v>10.9</v>
      </c>
      <c r="H171" t="n">
        <v>0</v>
      </c>
      <c r="I171" t="n">
        <v>0</v>
      </c>
      <c r="J171" t="n">
        <v>0</v>
      </c>
      <c r="K171" t="n">
        <v>0</v>
      </c>
      <c r="L171" t="n">
        <v>0</v>
      </c>
      <c r="M171" t="n">
        <v>0</v>
      </c>
      <c r="N171" t="n">
        <v>0</v>
      </c>
      <c r="O171" t="n">
        <v>0</v>
      </c>
      <c r="P171" t="n">
        <v>0</v>
      </c>
      <c r="Q171" t="n">
        <v>0</v>
      </c>
      <c r="R171" s="2" t="inlineStr"/>
    </row>
    <row r="172" ht="15" customHeight="1">
      <c r="A172" t="inlineStr">
        <is>
          <t>A 15799-2021</t>
        </is>
      </c>
      <c r="B172" s="1" t="n">
        <v>44286</v>
      </c>
      <c r="C172" s="1" t="n">
        <v>45829</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19033-2021</t>
        </is>
      </c>
      <c r="B173" s="1" t="n">
        <v>44308</v>
      </c>
      <c r="C173" s="1" t="n">
        <v>45829</v>
      </c>
      <c r="D173" t="inlineStr">
        <is>
          <t>ÖREBRO LÄN</t>
        </is>
      </c>
      <c r="E173" t="inlineStr">
        <is>
          <t>HÄLLEFORS</t>
        </is>
      </c>
      <c r="G173" t="n">
        <v>7.8</v>
      </c>
      <c r="H173" t="n">
        <v>0</v>
      </c>
      <c r="I173" t="n">
        <v>0</v>
      </c>
      <c r="J173" t="n">
        <v>0</v>
      </c>
      <c r="K173" t="n">
        <v>0</v>
      </c>
      <c r="L173" t="n">
        <v>0</v>
      </c>
      <c r="M173" t="n">
        <v>0</v>
      </c>
      <c r="N173" t="n">
        <v>0</v>
      </c>
      <c r="O173" t="n">
        <v>0</v>
      </c>
      <c r="P173" t="n">
        <v>0</v>
      </c>
      <c r="Q173" t="n">
        <v>0</v>
      </c>
      <c r="R173" s="2" t="inlineStr"/>
    </row>
    <row r="174" ht="15" customHeight="1">
      <c r="A174" t="inlineStr">
        <is>
          <t>A 20071-2021</t>
        </is>
      </c>
      <c r="B174" s="1" t="n">
        <v>44314</v>
      </c>
      <c r="C174" s="1" t="n">
        <v>45829</v>
      </c>
      <c r="D174" t="inlineStr">
        <is>
          <t>ÖREBRO LÄN</t>
        </is>
      </c>
      <c r="E174" t="inlineStr">
        <is>
          <t>HÄLLEFORS</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20072-2021</t>
        </is>
      </c>
      <c r="B175" s="1" t="n">
        <v>44314</v>
      </c>
      <c r="C175" s="1" t="n">
        <v>45829</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20070-2021</t>
        </is>
      </c>
      <c r="B176" s="1" t="n">
        <v>44314</v>
      </c>
      <c r="C176" s="1" t="n">
        <v>45829</v>
      </c>
      <c r="D176" t="inlineStr">
        <is>
          <t>ÖREBRO LÄN</t>
        </is>
      </c>
      <c r="E176" t="inlineStr">
        <is>
          <t>HÄLLEFORS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20244-2021</t>
        </is>
      </c>
      <c r="B177" s="1" t="n">
        <v>44314</v>
      </c>
      <c r="C177" s="1" t="n">
        <v>45829</v>
      </c>
      <c r="D177" t="inlineStr">
        <is>
          <t>ÖREBRO LÄN</t>
        </is>
      </c>
      <c r="E177" t="inlineStr">
        <is>
          <t>HÄLLEFORS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22819-2021</t>
        </is>
      </c>
      <c r="B178" s="1" t="n">
        <v>44328</v>
      </c>
      <c r="C178" s="1" t="n">
        <v>45829</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26527-2021</t>
        </is>
      </c>
      <c r="B179" s="1" t="n">
        <v>44348</v>
      </c>
      <c r="C179" s="1" t="n">
        <v>45829</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26537-2021</t>
        </is>
      </c>
      <c r="B180" s="1" t="n">
        <v>44348</v>
      </c>
      <c r="C180" s="1" t="n">
        <v>45829</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27175-2021</t>
        </is>
      </c>
      <c r="B181" s="1" t="n">
        <v>44350</v>
      </c>
      <c r="C181" s="1" t="n">
        <v>45829</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45829</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28657-2021</t>
        </is>
      </c>
      <c r="B183" s="1" t="n">
        <v>44357</v>
      </c>
      <c r="C183" s="1" t="n">
        <v>45829</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45829</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34893-2021</t>
        </is>
      </c>
      <c r="B185" s="1" t="n">
        <v>44383</v>
      </c>
      <c r="C185" s="1" t="n">
        <v>45829</v>
      </c>
      <c r="D185" t="inlineStr">
        <is>
          <t>ÖREBRO LÄN</t>
        </is>
      </c>
      <c r="E185" t="inlineStr">
        <is>
          <t>HÄLLEFORS</t>
        </is>
      </c>
      <c r="F185" t="inlineStr">
        <is>
          <t>Bergvik skog väst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35594-2021</t>
        </is>
      </c>
      <c r="B186" s="1" t="n">
        <v>44386</v>
      </c>
      <c r="C186" s="1" t="n">
        <v>45829</v>
      </c>
      <c r="D186" t="inlineStr">
        <is>
          <t>ÖREBRO LÄN</t>
        </is>
      </c>
      <c r="E186" t="inlineStr">
        <is>
          <t>HÄLLEFORS</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37028-2021</t>
        </is>
      </c>
      <c r="B187" s="1" t="n">
        <v>44393</v>
      </c>
      <c r="C187" s="1" t="n">
        <v>45829</v>
      </c>
      <c r="D187" t="inlineStr">
        <is>
          <t>ÖREBRO LÄN</t>
        </is>
      </c>
      <c r="E187" t="inlineStr">
        <is>
          <t>HÄLLEFORS</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38908-2021</t>
        </is>
      </c>
      <c r="B188" s="1" t="n">
        <v>44411</v>
      </c>
      <c r="C188" s="1" t="n">
        <v>45829</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44322-2021</t>
        </is>
      </c>
      <c r="B189" s="1" t="n">
        <v>44435</v>
      </c>
      <c r="C189" s="1" t="n">
        <v>45829</v>
      </c>
      <c r="D189" t="inlineStr">
        <is>
          <t>ÖREBRO LÄN</t>
        </is>
      </c>
      <c r="E189" t="inlineStr">
        <is>
          <t>HÄLLEFORS</t>
        </is>
      </c>
      <c r="G189" t="n">
        <v>10.9</v>
      </c>
      <c r="H189" t="n">
        <v>0</v>
      </c>
      <c r="I189" t="n">
        <v>0</v>
      </c>
      <c r="J189" t="n">
        <v>0</v>
      </c>
      <c r="K189" t="n">
        <v>0</v>
      </c>
      <c r="L189" t="n">
        <v>0</v>
      </c>
      <c r="M189" t="n">
        <v>0</v>
      </c>
      <c r="N189" t="n">
        <v>0</v>
      </c>
      <c r="O189" t="n">
        <v>0</v>
      </c>
      <c r="P189" t="n">
        <v>0</v>
      </c>
      <c r="Q189" t="n">
        <v>0</v>
      </c>
      <c r="R189" s="2" t="inlineStr"/>
    </row>
    <row r="190" ht="15" customHeight="1">
      <c r="A190" t="inlineStr">
        <is>
          <t>A 44905-2021</t>
        </is>
      </c>
      <c r="B190" s="1" t="n">
        <v>44438</v>
      </c>
      <c r="C190" s="1" t="n">
        <v>45829</v>
      </c>
      <c r="D190" t="inlineStr">
        <is>
          <t>ÖREBRO LÄN</t>
        </is>
      </c>
      <c r="E190" t="inlineStr">
        <is>
          <t>HÄLLEFORS</t>
        </is>
      </c>
      <c r="F190" t="inlineStr">
        <is>
          <t>Sveaskog</t>
        </is>
      </c>
      <c r="G190" t="n">
        <v>5.3</v>
      </c>
      <c r="H190" t="n">
        <v>0</v>
      </c>
      <c r="I190" t="n">
        <v>0</v>
      </c>
      <c r="J190" t="n">
        <v>0</v>
      </c>
      <c r="K190" t="n">
        <v>0</v>
      </c>
      <c r="L190" t="n">
        <v>0</v>
      </c>
      <c r="M190" t="n">
        <v>0</v>
      </c>
      <c r="N190" t="n">
        <v>0</v>
      </c>
      <c r="O190" t="n">
        <v>0</v>
      </c>
      <c r="P190" t="n">
        <v>0</v>
      </c>
      <c r="Q190" t="n">
        <v>0</v>
      </c>
      <c r="R190" s="2" t="inlineStr"/>
    </row>
    <row r="191" ht="15" customHeight="1">
      <c r="A191" t="inlineStr">
        <is>
          <t>A 46335-2021</t>
        </is>
      </c>
      <c r="B191" s="1" t="n">
        <v>44442</v>
      </c>
      <c r="C191" s="1" t="n">
        <v>45829</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46280-2021</t>
        </is>
      </c>
      <c r="B192" s="1" t="n">
        <v>44442</v>
      </c>
      <c r="C192" s="1" t="n">
        <v>45829</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49154-2021</t>
        </is>
      </c>
      <c r="B193" s="1" t="n">
        <v>44453</v>
      </c>
      <c r="C193" s="1" t="n">
        <v>45829</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51488-2021</t>
        </is>
      </c>
      <c r="B194" s="1" t="n">
        <v>44460</v>
      </c>
      <c r="C194" s="1" t="n">
        <v>45829</v>
      </c>
      <c r="D194" t="inlineStr">
        <is>
          <t>ÖREBRO LÄN</t>
        </is>
      </c>
      <c r="E194" t="inlineStr">
        <is>
          <t>HÄLLEFORS</t>
        </is>
      </c>
      <c r="G194" t="n">
        <v>2.8</v>
      </c>
      <c r="H194" t="n">
        <v>0</v>
      </c>
      <c r="I194" t="n">
        <v>0</v>
      </c>
      <c r="J194" t="n">
        <v>0</v>
      </c>
      <c r="K194" t="n">
        <v>0</v>
      </c>
      <c r="L194" t="n">
        <v>0</v>
      </c>
      <c r="M194" t="n">
        <v>0</v>
      </c>
      <c r="N194" t="n">
        <v>0</v>
      </c>
      <c r="O194" t="n">
        <v>0</v>
      </c>
      <c r="P194" t="n">
        <v>0</v>
      </c>
      <c r="Q194" t="n">
        <v>0</v>
      </c>
      <c r="R194" s="2" t="inlineStr"/>
    </row>
    <row r="195" ht="15" customHeight="1">
      <c r="A195" t="inlineStr">
        <is>
          <t>A 52172-2021</t>
        </is>
      </c>
      <c r="B195" s="1" t="n">
        <v>44462</v>
      </c>
      <c r="C195" s="1" t="n">
        <v>45829</v>
      </c>
      <c r="D195" t="inlineStr">
        <is>
          <t>ÖREBRO LÄN</t>
        </is>
      </c>
      <c r="E195" t="inlineStr">
        <is>
          <t>HÄLLEFORS</t>
        </is>
      </c>
      <c r="F195" t="inlineStr">
        <is>
          <t>Bergvik skog väst AB</t>
        </is>
      </c>
      <c r="G195" t="n">
        <v>6.5</v>
      </c>
      <c r="H195" t="n">
        <v>0</v>
      </c>
      <c r="I195" t="n">
        <v>0</v>
      </c>
      <c r="J195" t="n">
        <v>0</v>
      </c>
      <c r="K195" t="n">
        <v>0</v>
      </c>
      <c r="L195" t="n">
        <v>0</v>
      </c>
      <c r="M195" t="n">
        <v>0</v>
      </c>
      <c r="N195" t="n">
        <v>0</v>
      </c>
      <c r="O195" t="n">
        <v>0</v>
      </c>
      <c r="P195" t="n">
        <v>0</v>
      </c>
      <c r="Q195" t="n">
        <v>0</v>
      </c>
      <c r="R195" s="2" t="inlineStr"/>
    </row>
    <row r="196" ht="15" customHeight="1">
      <c r="A196" t="inlineStr">
        <is>
          <t>A 56295-2021</t>
        </is>
      </c>
      <c r="B196" s="1" t="n">
        <v>44477</v>
      </c>
      <c r="C196" s="1" t="n">
        <v>45829</v>
      </c>
      <c r="D196" t="inlineStr">
        <is>
          <t>ÖREBRO LÄN</t>
        </is>
      </c>
      <c r="E196" t="inlineStr">
        <is>
          <t>HÄLLEFORS</t>
        </is>
      </c>
      <c r="G196" t="n">
        <v>11.3</v>
      </c>
      <c r="H196" t="n">
        <v>0</v>
      </c>
      <c r="I196" t="n">
        <v>0</v>
      </c>
      <c r="J196" t="n">
        <v>0</v>
      </c>
      <c r="K196" t="n">
        <v>0</v>
      </c>
      <c r="L196" t="n">
        <v>0</v>
      </c>
      <c r="M196" t="n">
        <v>0</v>
      </c>
      <c r="N196" t="n">
        <v>0</v>
      </c>
      <c r="O196" t="n">
        <v>0</v>
      </c>
      <c r="P196" t="n">
        <v>0</v>
      </c>
      <c r="Q196" t="n">
        <v>0</v>
      </c>
      <c r="R196" s="2" t="inlineStr"/>
    </row>
    <row r="197" ht="15" customHeight="1">
      <c r="A197" t="inlineStr">
        <is>
          <t>A 58133-2021</t>
        </is>
      </c>
      <c r="B197" s="1" t="n">
        <v>44487</v>
      </c>
      <c r="C197" s="1" t="n">
        <v>45829</v>
      </c>
      <c r="D197" t="inlineStr">
        <is>
          <t>ÖREBRO LÄN</t>
        </is>
      </c>
      <c r="E197" t="inlineStr">
        <is>
          <t>HÄLLEFORS</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59382-2021</t>
        </is>
      </c>
      <c r="B198" s="1" t="n">
        <v>44491</v>
      </c>
      <c r="C198" s="1" t="n">
        <v>45829</v>
      </c>
      <c r="D198" t="inlineStr">
        <is>
          <t>ÖREBRO LÄN</t>
        </is>
      </c>
      <c r="E198" t="inlineStr">
        <is>
          <t>HÄLLEFORS</t>
        </is>
      </c>
      <c r="G198" t="n">
        <v>3.1</v>
      </c>
      <c r="H198" t="n">
        <v>0</v>
      </c>
      <c r="I198" t="n">
        <v>0</v>
      </c>
      <c r="J198" t="n">
        <v>0</v>
      </c>
      <c r="K198" t="n">
        <v>0</v>
      </c>
      <c r="L198" t="n">
        <v>0</v>
      </c>
      <c r="M198" t="n">
        <v>0</v>
      </c>
      <c r="N198" t="n">
        <v>0</v>
      </c>
      <c r="O198" t="n">
        <v>0</v>
      </c>
      <c r="P198" t="n">
        <v>0</v>
      </c>
      <c r="Q198" t="n">
        <v>0</v>
      </c>
      <c r="R198" s="2" t="inlineStr"/>
    </row>
    <row r="199" ht="15" customHeight="1">
      <c r="A199" t="inlineStr">
        <is>
          <t>A 59374-2021</t>
        </is>
      </c>
      <c r="B199" s="1" t="n">
        <v>44491</v>
      </c>
      <c r="C199" s="1" t="n">
        <v>45829</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v>
      </c>
      <c r="C200" s="1" t="n">
        <v>45829</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62178-2021</t>
        </is>
      </c>
      <c r="B201" s="1" t="n">
        <v>44502</v>
      </c>
      <c r="C201" s="1" t="n">
        <v>45829</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65240-2021</t>
        </is>
      </c>
      <c r="B202" s="1" t="n">
        <v>44515</v>
      </c>
      <c r="C202" s="1" t="n">
        <v>45829</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v>
      </c>
      <c r="C203" s="1" t="n">
        <v>45829</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67027-2021</t>
        </is>
      </c>
      <c r="B204" s="1" t="n">
        <v>44522</v>
      </c>
      <c r="C204" s="1" t="n">
        <v>45829</v>
      </c>
      <c r="D204" t="inlineStr">
        <is>
          <t>ÖREBRO LÄN</t>
        </is>
      </c>
      <c r="E204" t="inlineStr">
        <is>
          <t>HÄLLEFORS</t>
        </is>
      </c>
      <c r="G204" t="n">
        <v>1.7</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45829</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67780-2021</t>
        </is>
      </c>
      <c r="B206" s="1" t="n">
        <v>44525</v>
      </c>
      <c r="C206" s="1" t="n">
        <v>45829</v>
      </c>
      <c r="D206" t="inlineStr">
        <is>
          <t>ÖREBRO LÄN</t>
        </is>
      </c>
      <c r="E206" t="inlineStr">
        <is>
          <t>HÄLLEFORS</t>
        </is>
      </c>
      <c r="G206" t="n">
        <v>7.9</v>
      </c>
      <c r="H206" t="n">
        <v>0</v>
      </c>
      <c r="I206" t="n">
        <v>0</v>
      </c>
      <c r="J206" t="n">
        <v>0</v>
      </c>
      <c r="K206" t="n">
        <v>0</v>
      </c>
      <c r="L206" t="n">
        <v>0</v>
      </c>
      <c r="M206" t="n">
        <v>0</v>
      </c>
      <c r="N206" t="n">
        <v>0</v>
      </c>
      <c r="O206" t="n">
        <v>0</v>
      </c>
      <c r="P206" t="n">
        <v>0</v>
      </c>
      <c r="Q206" t="n">
        <v>0</v>
      </c>
      <c r="R206" s="2" t="inlineStr"/>
    </row>
    <row r="207" ht="15" customHeight="1">
      <c r="A207" t="inlineStr">
        <is>
          <t>A 67843-2021</t>
        </is>
      </c>
      <c r="B207" s="1" t="n">
        <v>44525</v>
      </c>
      <c r="C207" s="1" t="n">
        <v>45829</v>
      </c>
      <c r="D207" t="inlineStr">
        <is>
          <t>ÖREBRO LÄN</t>
        </is>
      </c>
      <c r="E207" t="inlineStr">
        <is>
          <t>HÄLLEFORS</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67971-2021</t>
        </is>
      </c>
      <c r="B208" s="1" t="n">
        <v>44525</v>
      </c>
      <c r="C208" s="1" t="n">
        <v>45829</v>
      </c>
      <c r="D208" t="inlineStr">
        <is>
          <t>ÖREBRO LÄN</t>
        </is>
      </c>
      <c r="E208" t="inlineStr">
        <is>
          <t>HÄLLEFORS</t>
        </is>
      </c>
      <c r="G208" t="n">
        <v>0.8</v>
      </c>
      <c r="H208" t="n">
        <v>0</v>
      </c>
      <c r="I208" t="n">
        <v>0</v>
      </c>
      <c r="J208" t="n">
        <v>0</v>
      </c>
      <c r="K208" t="n">
        <v>0</v>
      </c>
      <c r="L208" t="n">
        <v>0</v>
      </c>
      <c r="M208" t="n">
        <v>0</v>
      </c>
      <c r="N208" t="n">
        <v>0</v>
      </c>
      <c r="O208" t="n">
        <v>0</v>
      </c>
      <c r="P208" t="n">
        <v>0</v>
      </c>
      <c r="Q208" t="n">
        <v>0</v>
      </c>
      <c r="R208" s="2" t="inlineStr"/>
    </row>
    <row r="209" ht="15" customHeight="1">
      <c r="A209" t="inlineStr">
        <is>
          <t>A 67967-2021</t>
        </is>
      </c>
      <c r="B209" s="1" t="n">
        <v>44525</v>
      </c>
      <c r="C209" s="1" t="n">
        <v>45829</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67953-2021</t>
        </is>
      </c>
      <c r="B210" s="1" t="n">
        <v>44525</v>
      </c>
      <c r="C210" s="1" t="n">
        <v>45829</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70356-2021</t>
        </is>
      </c>
      <c r="B211" s="1" t="n">
        <v>44536</v>
      </c>
      <c r="C211" s="1" t="n">
        <v>45829</v>
      </c>
      <c r="D211" t="inlineStr">
        <is>
          <t>ÖREBRO LÄN</t>
        </is>
      </c>
      <c r="E211" t="inlineStr">
        <is>
          <t>HÄLLEFORS</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71766-2021</t>
        </is>
      </c>
      <c r="B212" s="1" t="n">
        <v>44543</v>
      </c>
      <c r="C212" s="1" t="n">
        <v>45829</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73201-2021</t>
        </is>
      </c>
      <c r="B213" s="1" t="n">
        <v>44550</v>
      </c>
      <c r="C213" s="1" t="n">
        <v>45829</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74464-2021</t>
        </is>
      </c>
      <c r="B214" s="1" t="n">
        <v>44560</v>
      </c>
      <c r="C214" s="1" t="n">
        <v>45829</v>
      </c>
      <c r="D214" t="inlineStr">
        <is>
          <t>ÖREBRO LÄN</t>
        </is>
      </c>
      <c r="E214" t="inlineStr">
        <is>
          <t>HÄLLEFORS</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4548-2022</t>
        </is>
      </c>
      <c r="B215" s="1" t="n">
        <v>44590</v>
      </c>
      <c r="C215" s="1" t="n">
        <v>45829</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4716-2022</t>
        </is>
      </c>
      <c r="B216" s="1" t="n">
        <v>44592</v>
      </c>
      <c r="C216" s="1" t="n">
        <v>45829</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5025-2022</t>
        </is>
      </c>
      <c r="B217" s="1" t="n">
        <v>44593</v>
      </c>
      <c r="C217" s="1" t="n">
        <v>45829</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6107-2022</t>
        </is>
      </c>
      <c r="B218" s="1" t="n">
        <v>44599</v>
      </c>
      <c r="C218" s="1" t="n">
        <v>45829</v>
      </c>
      <c r="D218" t="inlineStr">
        <is>
          <t>ÖREBRO LÄN</t>
        </is>
      </c>
      <c r="E218" t="inlineStr">
        <is>
          <t>HÄLLEFORS</t>
        </is>
      </c>
      <c r="G218" t="n">
        <v>5.3</v>
      </c>
      <c r="H218" t="n">
        <v>0</v>
      </c>
      <c r="I218" t="n">
        <v>0</v>
      </c>
      <c r="J218" t="n">
        <v>0</v>
      </c>
      <c r="K218" t="n">
        <v>0</v>
      </c>
      <c r="L218" t="n">
        <v>0</v>
      </c>
      <c r="M218" t="n">
        <v>0</v>
      </c>
      <c r="N218" t="n">
        <v>0</v>
      </c>
      <c r="O218" t="n">
        <v>0</v>
      </c>
      <c r="P218" t="n">
        <v>0</v>
      </c>
      <c r="Q218" t="n">
        <v>0</v>
      </c>
      <c r="R218" s="2" t="inlineStr"/>
    </row>
    <row r="219" ht="15" customHeight="1">
      <c r="A219" t="inlineStr">
        <is>
          <t>A 6231-2022</t>
        </is>
      </c>
      <c r="B219" s="1" t="n">
        <v>44600</v>
      </c>
      <c r="C219" s="1" t="n">
        <v>45829</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7294-2022</t>
        </is>
      </c>
      <c r="B220" s="1" t="n">
        <v>44606</v>
      </c>
      <c r="C220" s="1" t="n">
        <v>45829</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7774-2022</t>
        </is>
      </c>
      <c r="B221" s="1" t="n">
        <v>44608</v>
      </c>
      <c r="C221" s="1" t="n">
        <v>45829</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8387-2022</t>
        </is>
      </c>
      <c r="B222" s="1" t="n">
        <v>44610</v>
      </c>
      <c r="C222" s="1" t="n">
        <v>45829</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8503-2022</t>
        </is>
      </c>
      <c r="B223" s="1" t="n">
        <v>44613</v>
      </c>
      <c r="C223" s="1" t="n">
        <v>45829</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45829</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9387-2022</t>
        </is>
      </c>
      <c r="B225" s="1" t="n">
        <v>44616</v>
      </c>
      <c r="C225" s="1" t="n">
        <v>45829</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9405-2022</t>
        </is>
      </c>
      <c r="B226" s="1" t="n">
        <v>44616</v>
      </c>
      <c r="C226" s="1" t="n">
        <v>45829</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9411-2022</t>
        </is>
      </c>
      <c r="B227" s="1" t="n">
        <v>44616</v>
      </c>
      <c r="C227" s="1" t="n">
        <v>45829</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9417-2022</t>
        </is>
      </c>
      <c r="B228" s="1" t="n">
        <v>44616</v>
      </c>
      <c r="C228" s="1" t="n">
        <v>45829</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9378-2022</t>
        </is>
      </c>
      <c r="B229" s="1" t="n">
        <v>44616</v>
      </c>
      <c r="C229" s="1" t="n">
        <v>45829</v>
      </c>
      <c r="D229" t="inlineStr">
        <is>
          <t>ÖREBRO LÄN</t>
        </is>
      </c>
      <c r="E229" t="inlineStr">
        <is>
          <t>HÄLLEFORS</t>
        </is>
      </c>
      <c r="G229" t="n">
        <v>3.2</v>
      </c>
      <c r="H229" t="n">
        <v>0</v>
      </c>
      <c r="I229" t="n">
        <v>0</v>
      </c>
      <c r="J229" t="n">
        <v>0</v>
      </c>
      <c r="K229" t="n">
        <v>0</v>
      </c>
      <c r="L229" t="n">
        <v>0</v>
      </c>
      <c r="M229" t="n">
        <v>0</v>
      </c>
      <c r="N229" t="n">
        <v>0</v>
      </c>
      <c r="O229" t="n">
        <v>0</v>
      </c>
      <c r="P229" t="n">
        <v>0</v>
      </c>
      <c r="Q229" t="n">
        <v>0</v>
      </c>
      <c r="R229" s="2" t="inlineStr"/>
    </row>
    <row r="230" ht="15" customHeight="1">
      <c r="A230" t="inlineStr">
        <is>
          <t>A 9424-2022</t>
        </is>
      </c>
      <c r="B230" s="1" t="n">
        <v>44616</v>
      </c>
      <c r="C230" s="1" t="n">
        <v>45829</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13382-2022</t>
        </is>
      </c>
      <c r="B231" s="1" t="n">
        <v>44645</v>
      </c>
      <c r="C231" s="1" t="n">
        <v>45829</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45829</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15475-2022</t>
        </is>
      </c>
      <c r="B233" s="1" t="n">
        <v>44662</v>
      </c>
      <c r="C233" s="1" t="n">
        <v>45829</v>
      </c>
      <c r="D233" t="inlineStr">
        <is>
          <t>ÖREBRO LÄN</t>
        </is>
      </c>
      <c r="E233" t="inlineStr">
        <is>
          <t>HÄLLEFORS</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v>
      </c>
      <c r="C234" s="1" t="n">
        <v>45829</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18424-2022</t>
        </is>
      </c>
      <c r="B235" s="1" t="n">
        <v>44686</v>
      </c>
      <c r="C235" s="1" t="n">
        <v>45829</v>
      </c>
      <c r="D235" t="inlineStr">
        <is>
          <t>ÖREBRO LÄN</t>
        </is>
      </c>
      <c r="E235" t="inlineStr">
        <is>
          <t>HÄLLEFORS</t>
        </is>
      </c>
      <c r="F235" t="inlineStr">
        <is>
          <t>Bergvik skog väst AB</t>
        </is>
      </c>
      <c r="G235" t="n">
        <v>5.9</v>
      </c>
      <c r="H235" t="n">
        <v>0</v>
      </c>
      <c r="I235" t="n">
        <v>0</v>
      </c>
      <c r="J235" t="n">
        <v>0</v>
      </c>
      <c r="K235" t="n">
        <v>0</v>
      </c>
      <c r="L235" t="n">
        <v>0</v>
      </c>
      <c r="M235" t="n">
        <v>0</v>
      </c>
      <c r="N235" t="n">
        <v>0</v>
      </c>
      <c r="O235" t="n">
        <v>0</v>
      </c>
      <c r="P235" t="n">
        <v>0</v>
      </c>
      <c r="Q235" t="n">
        <v>0</v>
      </c>
      <c r="R235" s="2" t="inlineStr"/>
    </row>
    <row r="236" ht="15" customHeight="1">
      <c r="A236" t="inlineStr">
        <is>
          <t>A 18803-2022</t>
        </is>
      </c>
      <c r="B236" s="1" t="n">
        <v>44690</v>
      </c>
      <c r="C236" s="1" t="n">
        <v>45829</v>
      </c>
      <c r="D236" t="inlineStr">
        <is>
          <t>ÖREBRO LÄN</t>
        </is>
      </c>
      <c r="E236" t="inlineStr">
        <is>
          <t>HÄLLEFORS</t>
        </is>
      </c>
      <c r="G236" t="n">
        <v>1.6</v>
      </c>
      <c r="H236" t="n">
        <v>0</v>
      </c>
      <c r="I236" t="n">
        <v>0</v>
      </c>
      <c r="J236" t="n">
        <v>0</v>
      </c>
      <c r="K236" t="n">
        <v>0</v>
      </c>
      <c r="L236" t="n">
        <v>0</v>
      </c>
      <c r="M236" t="n">
        <v>0</v>
      </c>
      <c r="N236" t="n">
        <v>0</v>
      </c>
      <c r="O236" t="n">
        <v>0</v>
      </c>
      <c r="P236" t="n">
        <v>0</v>
      </c>
      <c r="Q236" t="n">
        <v>0</v>
      </c>
      <c r="R236" s="2" t="inlineStr"/>
    </row>
    <row r="237" ht="15" customHeight="1">
      <c r="A237" t="inlineStr">
        <is>
          <t>A 18801-2022</t>
        </is>
      </c>
      <c r="B237" s="1" t="n">
        <v>44690</v>
      </c>
      <c r="C237" s="1" t="n">
        <v>45829</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18882-2022</t>
        </is>
      </c>
      <c r="B238" s="1" t="n">
        <v>44690</v>
      </c>
      <c r="C238" s="1" t="n">
        <v>45829</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19367-2022</t>
        </is>
      </c>
      <c r="B239" s="1" t="n">
        <v>44692</v>
      </c>
      <c r="C239" s="1" t="n">
        <v>45829</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19864-2022</t>
        </is>
      </c>
      <c r="B240" s="1" t="n">
        <v>44697</v>
      </c>
      <c r="C240" s="1" t="n">
        <v>45829</v>
      </c>
      <c r="D240" t="inlineStr">
        <is>
          <t>ÖREBRO LÄN</t>
        </is>
      </c>
      <c r="E240" t="inlineStr">
        <is>
          <t>HÄLLEFORS</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20354-2022</t>
        </is>
      </c>
      <c r="B241" s="1" t="n">
        <v>44699</v>
      </c>
      <c r="C241" s="1" t="n">
        <v>45829</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21801-2022</t>
        </is>
      </c>
      <c r="B242" s="1" t="n">
        <v>44708</v>
      </c>
      <c r="C242" s="1" t="n">
        <v>45829</v>
      </c>
      <c r="D242" t="inlineStr">
        <is>
          <t>ÖREBRO LÄN</t>
        </is>
      </c>
      <c r="E242" t="inlineStr">
        <is>
          <t>HÄLLEFORS</t>
        </is>
      </c>
      <c r="G242" t="n">
        <v>3.3</v>
      </c>
      <c r="H242" t="n">
        <v>0</v>
      </c>
      <c r="I242" t="n">
        <v>0</v>
      </c>
      <c r="J242" t="n">
        <v>0</v>
      </c>
      <c r="K242" t="n">
        <v>0</v>
      </c>
      <c r="L242" t="n">
        <v>0</v>
      </c>
      <c r="M242" t="n">
        <v>0</v>
      </c>
      <c r="N242" t="n">
        <v>0</v>
      </c>
      <c r="O242" t="n">
        <v>0</v>
      </c>
      <c r="P242" t="n">
        <v>0</v>
      </c>
      <c r="Q242" t="n">
        <v>0</v>
      </c>
      <c r="R242" s="2" t="inlineStr"/>
    </row>
    <row r="243" ht="15" customHeight="1">
      <c r="A243" t="inlineStr">
        <is>
          <t>A 22673-2022</t>
        </is>
      </c>
      <c r="B243" s="1" t="n">
        <v>44714</v>
      </c>
      <c r="C243" s="1" t="n">
        <v>45829</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23121-2022</t>
        </is>
      </c>
      <c r="B244" s="1" t="n">
        <v>44719</v>
      </c>
      <c r="C244" s="1" t="n">
        <v>45829</v>
      </c>
      <c r="D244" t="inlineStr">
        <is>
          <t>ÖREBRO LÄN</t>
        </is>
      </c>
      <c r="E244" t="inlineStr">
        <is>
          <t>HÄLLEFORS</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23022-2022</t>
        </is>
      </c>
      <c r="B245" s="1" t="n">
        <v>44719</v>
      </c>
      <c r="C245" s="1" t="n">
        <v>45829</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23665-2022</t>
        </is>
      </c>
      <c r="B246" s="1" t="n">
        <v>44721</v>
      </c>
      <c r="C246" s="1" t="n">
        <v>45829</v>
      </c>
      <c r="D246" t="inlineStr">
        <is>
          <t>ÖREBRO LÄN</t>
        </is>
      </c>
      <c r="E246" t="inlineStr">
        <is>
          <t>HÄLLEFORS</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23719-2022</t>
        </is>
      </c>
      <c r="B247" s="1" t="n">
        <v>44722</v>
      </c>
      <c r="C247" s="1" t="n">
        <v>45829</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23882-2022</t>
        </is>
      </c>
      <c r="B248" s="1" t="n">
        <v>44722</v>
      </c>
      <c r="C248" s="1" t="n">
        <v>45829</v>
      </c>
      <c r="D248" t="inlineStr">
        <is>
          <t>ÖREBRO LÄN</t>
        </is>
      </c>
      <c r="E248" t="inlineStr">
        <is>
          <t>HÄLLEFORS</t>
        </is>
      </c>
      <c r="F248" t="inlineStr">
        <is>
          <t>Bergvik skog väst AB</t>
        </is>
      </c>
      <c r="G248" t="n">
        <v>15.2</v>
      </c>
      <c r="H248" t="n">
        <v>0</v>
      </c>
      <c r="I248" t="n">
        <v>0</v>
      </c>
      <c r="J248" t="n">
        <v>0</v>
      </c>
      <c r="K248" t="n">
        <v>0</v>
      </c>
      <c r="L248" t="n">
        <v>0</v>
      </c>
      <c r="M248" t="n">
        <v>0</v>
      </c>
      <c r="N248" t="n">
        <v>0</v>
      </c>
      <c r="O248" t="n">
        <v>0</v>
      </c>
      <c r="P248" t="n">
        <v>0</v>
      </c>
      <c r="Q248" t="n">
        <v>0</v>
      </c>
      <c r="R248" s="2" t="inlineStr"/>
    </row>
    <row r="249" ht="15" customHeight="1">
      <c r="A249" t="inlineStr">
        <is>
          <t>A 28004-2022</t>
        </is>
      </c>
      <c r="B249" s="1" t="n">
        <v>44746</v>
      </c>
      <c r="C249" s="1" t="n">
        <v>45829</v>
      </c>
      <c r="D249" t="inlineStr">
        <is>
          <t>ÖREBRO LÄN</t>
        </is>
      </c>
      <c r="E249" t="inlineStr">
        <is>
          <t>HÄLLEFORS</t>
        </is>
      </c>
      <c r="G249" t="n">
        <v>2.9</v>
      </c>
      <c r="H249" t="n">
        <v>0</v>
      </c>
      <c r="I249" t="n">
        <v>0</v>
      </c>
      <c r="J249" t="n">
        <v>0</v>
      </c>
      <c r="K249" t="n">
        <v>0</v>
      </c>
      <c r="L249" t="n">
        <v>0</v>
      </c>
      <c r="M249" t="n">
        <v>0</v>
      </c>
      <c r="N249" t="n">
        <v>0</v>
      </c>
      <c r="O249" t="n">
        <v>0</v>
      </c>
      <c r="P249" t="n">
        <v>0</v>
      </c>
      <c r="Q249" t="n">
        <v>0</v>
      </c>
      <c r="R249" s="2" t="inlineStr"/>
    </row>
    <row r="250" ht="15" customHeight="1">
      <c r="A250" t="inlineStr">
        <is>
          <t>A 28558-2022</t>
        </is>
      </c>
      <c r="B250" s="1" t="n">
        <v>44748</v>
      </c>
      <c r="C250" s="1" t="n">
        <v>45829</v>
      </c>
      <c r="D250" t="inlineStr">
        <is>
          <t>ÖREBRO LÄN</t>
        </is>
      </c>
      <c r="E250" t="inlineStr">
        <is>
          <t>HÄLLEFORS</t>
        </is>
      </c>
      <c r="G250" t="n">
        <v>0.2</v>
      </c>
      <c r="H250" t="n">
        <v>0</v>
      </c>
      <c r="I250" t="n">
        <v>0</v>
      </c>
      <c r="J250" t="n">
        <v>0</v>
      </c>
      <c r="K250" t="n">
        <v>0</v>
      </c>
      <c r="L250" t="n">
        <v>0</v>
      </c>
      <c r="M250" t="n">
        <v>0</v>
      </c>
      <c r="N250" t="n">
        <v>0</v>
      </c>
      <c r="O250" t="n">
        <v>0</v>
      </c>
      <c r="P250" t="n">
        <v>0</v>
      </c>
      <c r="Q250" t="n">
        <v>0</v>
      </c>
      <c r="R250" s="2" t="inlineStr"/>
    </row>
    <row r="251" ht="15" customHeight="1">
      <c r="A251" t="inlineStr">
        <is>
          <t>A 28788-2022</t>
        </is>
      </c>
      <c r="B251" s="1" t="n">
        <v>44749</v>
      </c>
      <c r="C251" s="1" t="n">
        <v>45829</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28784-2022</t>
        </is>
      </c>
      <c r="B252" s="1" t="n">
        <v>44749</v>
      </c>
      <c r="C252" s="1" t="n">
        <v>45829</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29062-2022</t>
        </is>
      </c>
      <c r="B253" s="1" t="n">
        <v>44750</v>
      </c>
      <c r="C253" s="1" t="n">
        <v>45829</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29058-2022</t>
        </is>
      </c>
      <c r="B254" s="1" t="n">
        <v>44750</v>
      </c>
      <c r="C254" s="1" t="n">
        <v>45829</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29661-2022</t>
        </is>
      </c>
      <c r="B255" s="1" t="n">
        <v>44754</v>
      </c>
      <c r="C255" s="1" t="n">
        <v>45829</v>
      </c>
      <c r="D255" t="inlineStr">
        <is>
          <t>ÖREBRO LÄN</t>
        </is>
      </c>
      <c r="E255" t="inlineStr">
        <is>
          <t>HÄLLEFORS</t>
        </is>
      </c>
      <c r="F255" t="inlineStr">
        <is>
          <t>Bergvik skog väst AB</t>
        </is>
      </c>
      <c r="G255" t="n">
        <v>18.5</v>
      </c>
      <c r="H255" t="n">
        <v>0</v>
      </c>
      <c r="I255" t="n">
        <v>0</v>
      </c>
      <c r="J255" t="n">
        <v>0</v>
      </c>
      <c r="K255" t="n">
        <v>0</v>
      </c>
      <c r="L255" t="n">
        <v>0</v>
      </c>
      <c r="M255" t="n">
        <v>0</v>
      </c>
      <c r="N255" t="n">
        <v>0</v>
      </c>
      <c r="O255" t="n">
        <v>0</v>
      </c>
      <c r="P255" t="n">
        <v>0</v>
      </c>
      <c r="Q255" t="n">
        <v>0</v>
      </c>
      <c r="R255" s="2" t="inlineStr"/>
    </row>
    <row r="256" ht="15" customHeight="1">
      <c r="A256" t="inlineStr">
        <is>
          <t>A 29665-2022</t>
        </is>
      </c>
      <c r="B256" s="1" t="n">
        <v>44754</v>
      </c>
      <c r="C256" s="1" t="n">
        <v>45829</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29662-2022</t>
        </is>
      </c>
      <c r="B257" s="1" t="n">
        <v>44754</v>
      </c>
      <c r="C257" s="1" t="n">
        <v>45829</v>
      </c>
      <c r="D257" t="inlineStr">
        <is>
          <t>ÖREBRO LÄN</t>
        </is>
      </c>
      <c r="E257" t="inlineStr">
        <is>
          <t>HÄLLEFORS</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29664-2022</t>
        </is>
      </c>
      <c r="B258" s="1" t="n">
        <v>44754</v>
      </c>
      <c r="C258" s="1" t="n">
        <v>45829</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29668-2022</t>
        </is>
      </c>
      <c r="B259" s="1" t="n">
        <v>44754</v>
      </c>
      <c r="C259" s="1" t="n">
        <v>45829</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29669-2022</t>
        </is>
      </c>
      <c r="B260" s="1" t="n">
        <v>44754</v>
      </c>
      <c r="C260" s="1" t="n">
        <v>45829</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29663-2022</t>
        </is>
      </c>
      <c r="B261" s="1" t="n">
        <v>44754</v>
      </c>
      <c r="C261" s="1" t="n">
        <v>45829</v>
      </c>
      <c r="D261" t="inlineStr">
        <is>
          <t>ÖREBRO LÄN</t>
        </is>
      </c>
      <c r="E261" t="inlineStr">
        <is>
          <t>HÄLLEFORS</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29667-2022</t>
        </is>
      </c>
      <c r="B262" s="1" t="n">
        <v>44754</v>
      </c>
      <c r="C262" s="1" t="n">
        <v>45829</v>
      </c>
      <c r="D262" t="inlineStr">
        <is>
          <t>ÖREBRO LÄN</t>
        </is>
      </c>
      <c r="E262" t="inlineStr">
        <is>
          <t>HÄLLEFORS</t>
        </is>
      </c>
      <c r="F262" t="inlineStr">
        <is>
          <t>Bergvik skog väst AB</t>
        </is>
      </c>
      <c r="G262" t="n">
        <v>7</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45829</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30380-2022</t>
        </is>
      </c>
      <c r="B264" s="1" t="n">
        <v>44760</v>
      </c>
      <c r="C264" s="1" t="n">
        <v>45829</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30532-2022</t>
        </is>
      </c>
      <c r="B265" s="1" t="n">
        <v>44762</v>
      </c>
      <c r="C265" s="1" t="n">
        <v>45829</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33609-2022</t>
        </is>
      </c>
      <c r="B266" s="1" t="n">
        <v>44782</v>
      </c>
      <c r="C266" s="1" t="n">
        <v>45829</v>
      </c>
      <c r="D266" t="inlineStr">
        <is>
          <t>ÖREBRO LÄN</t>
        </is>
      </c>
      <c r="E266" t="inlineStr">
        <is>
          <t>HÄLLEFORS</t>
        </is>
      </c>
      <c r="G266" t="n">
        <v>5.7</v>
      </c>
      <c r="H266" t="n">
        <v>0</v>
      </c>
      <c r="I266" t="n">
        <v>0</v>
      </c>
      <c r="J266" t="n">
        <v>0</v>
      </c>
      <c r="K266" t="n">
        <v>0</v>
      </c>
      <c r="L266" t="n">
        <v>0</v>
      </c>
      <c r="M266" t="n">
        <v>0</v>
      </c>
      <c r="N266" t="n">
        <v>0</v>
      </c>
      <c r="O266" t="n">
        <v>0</v>
      </c>
      <c r="P266" t="n">
        <v>0</v>
      </c>
      <c r="Q266" t="n">
        <v>0</v>
      </c>
      <c r="R266" s="2" t="inlineStr"/>
    </row>
    <row r="267" ht="15" customHeight="1">
      <c r="A267" t="inlineStr">
        <is>
          <t>A 34103-2022</t>
        </is>
      </c>
      <c r="B267" s="1" t="n">
        <v>44782</v>
      </c>
      <c r="C267" s="1" t="n">
        <v>45829</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33617-2022</t>
        </is>
      </c>
      <c r="B268" s="1" t="n">
        <v>44782</v>
      </c>
      <c r="C268" s="1" t="n">
        <v>45829</v>
      </c>
      <c r="D268" t="inlineStr">
        <is>
          <t>ÖREBRO LÄN</t>
        </is>
      </c>
      <c r="E268" t="inlineStr">
        <is>
          <t>HÄLLEFORS</t>
        </is>
      </c>
      <c r="G268" t="n">
        <v>8.6</v>
      </c>
      <c r="H268" t="n">
        <v>0</v>
      </c>
      <c r="I268" t="n">
        <v>0</v>
      </c>
      <c r="J268" t="n">
        <v>0</v>
      </c>
      <c r="K268" t="n">
        <v>0</v>
      </c>
      <c r="L268" t="n">
        <v>0</v>
      </c>
      <c r="M268" t="n">
        <v>0</v>
      </c>
      <c r="N268" t="n">
        <v>0</v>
      </c>
      <c r="O268" t="n">
        <v>0</v>
      </c>
      <c r="P268" t="n">
        <v>0</v>
      </c>
      <c r="Q268" t="n">
        <v>0</v>
      </c>
      <c r="R268" s="2" t="inlineStr"/>
    </row>
    <row r="269" ht="15" customHeight="1">
      <c r="A269" t="inlineStr">
        <is>
          <t>A 33488-2022</t>
        </is>
      </c>
      <c r="B269" s="1" t="n">
        <v>44788</v>
      </c>
      <c r="C269" s="1" t="n">
        <v>45829</v>
      </c>
      <c r="D269" t="inlineStr">
        <is>
          <t>ÖREBRO LÄN</t>
        </is>
      </c>
      <c r="E269" t="inlineStr">
        <is>
          <t>HÄLLEFORS</t>
        </is>
      </c>
      <c r="G269" t="n">
        <v>5.8</v>
      </c>
      <c r="H269" t="n">
        <v>0</v>
      </c>
      <c r="I269" t="n">
        <v>0</v>
      </c>
      <c r="J269" t="n">
        <v>0</v>
      </c>
      <c r="K269" t="n">
        <v>0</v>
      </c>
      <c r="L269" t="n">
        <v>0</v>
      </c>
      <c r="M269" t="n">
        <v>0</v>
      </c>
      <c r="N269" t="n">
        <v>0</v>
      </c>
      <c r="O269" t="n">
        <v>0</v>
      </c>
      <c r="P269" t="n">
        <v>0</v>
      </c>
      <c r="Q269" t="n">
        <v>0</v>
      </c>
      <c r="R269" s="2" t="inlineStr"/>
    </row>
    <row r="270" ht="15" customHeight="1">
      <c r="A270" t="inlineStr">
        <is>
          <t>A 34015-2022</t>
        </is>
      </c>
      <c r="B270" s="1" t="n">
        <v>44791</v>
      </c>
      <c r="C270" s="1" t="n">
        <v>45829</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34311-2022</t>
        </is>
      </c>
      <c r="B271" s="1" t="n">
        <v>44792</v>
      </c>
      <c r="C271" s="1" t="n">
        <v>45829</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34384-2022</t>
        </is>
      </c>
      <c r="B272" s="1" t="n">
        <v>44792</v>
      </c>
      <c r="C272" s="1" t="n">
        <v>45829</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34313-2022</t>
        </is>
      </c>
      <c r="B273" s="1" t="n">
        <v>44792</v>
      </c>
      <c r="C273" s="1" t="n">
        <v>45829</v>
      </c>
      <c r="D273" t="inlineStr">
        <is>
          <t>ÖREBRO LÄN</t>
        </is>
      </c>
      <c r="E273" t="inlineStr">
        <is>
          <t>HÄLLEFORS</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34355-2022</t>
        </is>
      </c>
      <c r="B274" s="1" t="n">
        <v>44792</v>
      </c>
      <c r="C274" s="1" t="n">
        <v>45829</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34344-2022</t>
        </is>
      </c>
      <c r="B275" s="1" t="n">
        <v>44792</v>
      </c>
      <c r="C275" s="1" t="n">
        <v>45829</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v>
      </c>
      <c r="C276" s="1" t="n">
        <v>45829</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34479-2022</t>
        </is>
      </c>
      <c r="B277" s="1" t="n">
        <v>44792</v>
      </c>
      <c r="C277" s="1" t="n">
        <v>45829</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34480-2022</t>
        </is>
      </c>
      <c r="B278" s="1" t="n">
        <v>44792</v>
      </c>
      <c r="C278" s="1" t="n">
        <v>45829</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34653-2022</t>
        </is>
      </c>
      <c r="B279" s="1" t="n">
        <v>44795</v>
      </c>
      <c r="C279" s="1" t="n">
        <v>45829</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35243-2022</t>
        </is>
      </c>
      <c r="B280" s="1" t="n">
        <v>44798</v>
      </c>
      <c r="C280" s="1" t="n">
        <v>45829</v>
      </c>
      <c r="D280" t="inlineStr">
        <is>
          <t>ÖREBRO LÄN</t>
        </is>
      </c>
      <c r="E280" t="inlineStr">
        <is>
          <t>HÄLLEFORS</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35345-2022</t>
        </is>
      </c>
      <c r="B281" s="1" t="n">
        <v>44798</v>
      </c>
      <c r="C281" s="1" t="n">
        <v>45829</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v>
      </c>
      <c r="C282" s="1" t="n">
        <v>45829</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37027-2022</t>
        </is>
      </c>
      <c r="B283" s="1" t="n">
        <v>44806</v>
      </c>
      <c r="C283" s="1" t="n">
        <v>45829</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37783-2022</t>
        </is>
      </c>
      <c r="B284" s="1" t="n">
        <v>44810</v>
      </c>
      <c r="C284" s="1" t="n">
        <v>45829</v>
      </c>
      <c r="D284" t="inlineStr">
        <is>
          <t>ÖREBRO LÄN</t>
        </is>
      </c>
      <c r="E284" t="inlineStr">
        <is>
          <t>HÄLLEFORS</t>
        </is>
      </c>
      <c r="G284" t="n">
        <v>14.1</v>
      </c>
      <c r="H284" t="n">
        <v>0</v>
      </c>
      <c r="I284" t="n">
        <v>0</v>
      </c>
      <c r="J284" t="n">
        <v>0</v>
      </c>
      <c r="K284" t="n">
        <v>0</v>
      </c>
      <c r="L284" t="n">
        <v>0</v>
      </c>
      <c r="M284" t="n">
        <v>0</v>
      </c>
      <c r="N284" t="n">
        <v>0</v>
      </c>
      <c r="O284" t="n">
        <v>0</v>
      </c>
      <c r="P284" t="n">
        <v>0</v>
      </c>
      <c r="Q284" t="n">
        <v>0</v>
      </c>
      <c r="R284" s="2" t="inlineStr"/>
    </row>
    <row r="285" ht="15" customHeight="1">
      <c r="A285" t="inlineStr">
        <is>
          <t>A 38030-2022</t>
        </is>
      </c>
      <c r="B285" s="1" t="n">
        <v>44811</v>
      </c>
      <c r="C285" s="1" t="n">
        <v>45829</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37999-2022</t>
        </is>
      </c>
      <c r="B286" s="1" t="n">
        <v>44811</v>
      </c>
      <c r="C286" s="1" t="n">
        <v>45829</v>
      </c>
      <c r="D286" t="inlineStr">
        <is>
          <t>ÖREBRO LÄN</t>
        </is>
      </c>
      <c r="E286" t="inlineStr">
        <is>
          <t>HÄLLEFORS</t>
        </is>
      </c>
      <c r="G286" t="n">
        <v>4.8</v>
      </c>
      <c r="H286" t="n">
        <v>0</v>
      </c>
      <c r="I286" t="n">
        <v>0</v>
      </c>
      <c r="J286" t="n">
        <v>0</v>
      </c>
      <c r="K286" t="n">
        <v>0</v>
      </c>
      <c r="L286" t="n">
        <v>0</v>
      </c>
      <c r="M286" t="n">
        <v>0</v>
      </c>
      <c r="N286" t="n">
        <v>0</v>
      </c>
      <c r="O286" t="n">
        <v>0</v>
      </c>
      <c r="P286" t="n">
        <v>0</v>
      </c>
      <c r="Q286" t="n">
        <v>0</v>
      </c>
      <c r="R286" s="2" t="inlineStr"/>
    </row>
    <row r="287" ht="15" customHeight="1">
      <c r="A287" t="inlineStr">
        <is>
          <t>A 38018-2022</t>
        </is>
      </c>
      <c r="B287" s="1" t="n">
        <v>44811</v>
      </c>
      <c r="C287" s="1" t="n">
        <v>45829</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38024-2022</t>
        </is>
      </c>
      <c r="B288" s="1" t="n">
        <v>44811</v>
      </c>
      <c r="C288" s="1" t="n">
        <v>45829</v>
      </c>
      <c r="D288" t="inlineStr">
        <is>
          <t>ÖREBRO LÄN</t>
        </is>
      </c>
      <c r="E288" t="inlineStr">
        <is>
          <t>HÄLLEFORS</t>
        </is>
      </c>
      <c r="G288" t="n">
        <v>7.3</v>
      </c>
      <c r="H288" t="n">
        <v>0</v>
      </c>
      <c r="I288" t="n">
        <v>0</v>
      </c>
      <c r="J288" t="n">
        <v>0</v>
      </c>
      <c r="K288" t="n">
        <v>0</v>
      </c>
      <c r="L288" t="n">
        <v>0</v>
      </c>
      <c r="M288" t="n">
        <v>0</v>
      </c>
      <c r="N288" t="n">
        <v>0</v>
      </c>
      <c r="O288" t="n">
        <v>0</v>
      </c>
      <c r="P288" t="n">
        <v>0</v>
      </c>
      <c r="Q288" t="n">
        <v>0</v>
      </c>
      <c r="R288" s="2" t="inlineStr"/>
    </row>
    <row r="289" ht="15" customHeight="1">
      <c r="A289" t="inlineStr">
        <is>
          <t>A 38072-2022</t>
        </is>
      </c>
      <c r="B289" s="1" t="n">
        <v>44811</v>
      </c>
      <c r="C289" s="1" t="n">
        <v>45829</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38063-2022</t>
        </is>
      </c>
      <c r="B290" s="1" t="n">
        <v>44811</v>
      </c>
      <c r="C290" s="1" t="n">
        <v>45829</v>
      </c>
      <c r="D290" t="inlineStr">
        <is>
          <t>ÖREBRO LÄN</t>
        </is>
      </c>
      <c r="E290" t="inlineStr">
        <is>
          <t>HÄLLEFORS</t>
        </is>
      </c>
      <c r="G290" t="n">
        <v>4.6</v>
      </c>
      <c r="H290" t="n">
        <v>0</v>
      </c>
      <c r="I290" t="n">
        <v>0</v>
      </c>
      <c r="J290" t="n">
        <v>0</v>
      </c>
      <c r="K290" t="n">
        <v>0</v>
      </c>
      <c r="L290" t="n">
        <v>0</v>
      </c>
      <c r="M290" t="n">
        <v>0</v>
      </c>
      <c r="N290" t="n">
        <v>0</v>
      </c>
      <c r="O290" t="n">
        <v>0</v>
      </c>
      <c r="P290" t="n">
        <v>0</v>
      </c>
      <c r="Q290" t="n">
        <v>0</v>
      </c>
      <c r="R290" s="2" t="inlineStr"/>
    </row>
    <row r="291" ht="15" customHeight="1">
      <c r="A291" t="inlineStr">
        <is>
          <t>A 38068-2022</t>
        </is>
      </c>
      <c r="B291" s="1" t="n">
        <v>44811</v>
      </c>
      <c r="C291" s="1" t="n">
        <v>45829</v>
      </c>
      <c r="D291" t="inlineStr">
        <is>
          <t>ÖREBRO LÄN</t>
        </is>
      </c>
      <c r="E291" t="inlineStr">
        <is>
          <t>HÄLLEFORS</t>
        </is>
      </c>
      <c r="G291" t="n">
        <v>7.7</v>
      </c>
      <c r="H291" t="n">
        <v>0</v>
      </c>
      <c r="I291" t="n">
        <v>0</v>
      </c>
      <c r="J291" t="n">
        <v>0</v>
      </c>
      <c r="K291" t="n">
        <v>0</v>
      </c>
      <c r="L291" t="n">
        <v>0</v>
      </c>
      <c r="M291" t="n">
        <v>0</v>
      </c>
      <c r="N291" t="n">
        <v>0</v>
      </c>
      <c r="O291" t="n">
        <v>0</v>
      </c>
      <c r="P291" t="n">
        <v>0</v>
      </c>
      <c r="Q291" t="n">
        <v>0</v>
      </c>
      <c r="R291" s="2" t="inlineStr"/>
    </row>
    <row r="292" ht="15" customHeight="1">
      <c r="A292" t="inlineStr">
        <is>
          <t>A 38239-2022</t>
        </is>
      </c>
      <c r="B292" s="1" t="n">
        <v>44812</v>
      </c>
      <c r="C292" s="1" t="n">
        <v>45829</v>
      </c>
      <c r="D292" t="inlineStr">
        <is>
          <t>ÖREBRO LÄN</t>
        </is>
      </c>
      <c r="E292" t="inlineStr">
        <is>
          <t>HÄLLEFORS</t>
        </is>
      </c>
      <c r="G292" t="n">
        <v>8.1</v>
      </c>
      <c r="H292" t="n">
        <v>0</v>
      </c>
      <c r="I292" t="n">
        <v>0</v>
      </c>
      <c r="J292" t="n">
        <v>0</v>
      </c>
      <c r="K292" t="n">
        <v>0</v>
      </c>
      <c r="L292" t="n">
        <v>0</v>
      </c>
      <c r="M292" t="n">
        <v>0</v>
      </c>
      <c r="N292" t="n">
        <v>0</v>
      </c>
      <c r="O292" t="n">
        <v>0</v>
      </c>
      <c r="P292" t="n">
        <v>0</v>
      </c>
      <c r="Q292" t="n">
        <v>0</v>
      </c>
      <c r="R292" s="2" t="inlineStr"/>
    </row>
    <row r="293" ht="15" customHeight="1">
      <c r="A293" t="inlineStr">
        <is>
          <t>A 38245-2022</t>
        </is>
      </c>
      <c r="B293" s="1" t="n">
        <v>44812</v>
      </c>
      <c r="C293" s="1" t="n">
        <v>45829</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38655-2022</t>
        </is>
      </c>
      <c r="B294" s="1" t="n">
        <v>44813</v>
      </c>
      <c r="C294" s="1" t="n">
        <v>45829</v>
      </c>
      <c r="D294" t="inlineStr">
        <is>
          <t>ÖREBRO LÄN</t>
        </is>
      </c>
      <c r="E294" t="inlineStr">
        <is>
          <t>HÄLLEFORS</t>
        </is>
      </c>
      <c r="G294" t="n">
        <v>14.6</v>
      </c>
      <c r="H294" t="n">
        <v>0</v>
      </c>
      <c r="I294" t="n">
        <v>0</v>
      </c>
      <c r="J294" t="n">
        <v>0</v>
      </c>
      <c r="K294" t="n">
        <v>0</v>
      </c>
      <c r="L294" t="n">
        <v>0</v>
      </c>
      <c r="M294" t="n">
        <v>0</v>
      </c>
      <c r="N294" t="n">
        <v>0</v>
      </c>
      <c r="O294" t="n">
        <v>0</v>
      </c>
      <c r="P294" t="n">
        <v>0</v>
      </c>
      <c r="Q294" t="n">
        <v>0</v>
      </c>
      <c r="R294" s="2" t="inlineStr"/>
    </row>
    <row r="295" ht="15" customHeight="1">
      <c r="A295" t="inlineStr">
        <is>
          <t>A 38656-2022</t>
        </is>
      </c>
      <c r="B295" s="1" t="n">
        <v>44813</v>
      </c>
      <c r="C295" s="1" t="n">
        <v>45829</v>
      </c>
      <c r="D295" t="inlineStr">
        <is>
          <t>ÖREBRO LÄN</t>
        </is>
      </c>
      <c r="E295" t="inlineStr">
        <is>
          <t>HÄLLEFORS</t>
        </is>
      </c>
      <c r="G295" t="n">
        <v>3.6</v>
      </c>
      <c r="H295" t="n">
        <v>0</v>
      </c>
      <c r="I295" t="n">
        <v>0</v>
      </c>
      <c r="J295" t="n">
        <v>0</v>
      </c>
      <c r="K295" t="n">
        <v>0</v>
      </c>
      <c r="L295" t="n">
        <v>0</v>
      </c>
      <c r="M295" t="n">
        <v>0</v>
      </c>
      <c r="N295" t="n">
        <v>0</v>
      </c>
      <c r="O295" t="n">
        <v>0</v>
      </c>
      <c r="P295" t="n">
        <v>0</v>
      </c>
      <c r="Q295" t="n">
        <v>0</v>
      </c>
      <c r="R295" s="2" t="inlineStr"/>
    </row>
    <row r="296" ht="15" customHeight="1">
      <c r="A296" t="inlineStr">
        <is>
          <t>A 39179-2022</t>
        </is>
      </c>
      <c r="B296" s="1" t="n">
        <v>44817</v>
      </c>
      <c r="C296" s="1" t="n">
        <v>45829</v>
      </c>
      <c r="D296" t="inlineStr">
        <is>
          <t>ÖREBRO LÄN</t>
        </is>
      </c>
      <c r="E296" t="inlineStr">
        <is>
          <t>HÄLLEFORS</t>
        </is>
      </c>
      <c r="G296" t="n">
        <v>8.1</v>
      </c>
      <c r="H296" t="n">
        <v>0</v>
      </c>
      <c r="I296" t="n">
        <v>0</v>
      </c>
      <c r="J296" t="n">
        <v>0</v>
      </c>
      <c r="K296" t="n">
        <v>0</v>
      </c>
      <c r="L296" t="n">
        <v>0</v>
      </c>
      <c r="M296" t="n">
        <v>0</v>
      </c>
      <c r="N296" t="n">
        <v>0</v>
      </c>
      <c r="O296" t="n">
        <v>0</v>
      </c>
      <c r="P296" t="n">
        <v>0</v>
      </c>
      <c r="Q296" t="n">
        <v>0</v>
      </c>
      <c r="R296" s="2" t="inlineStr"/>
    </row>
    <row r="297" ht="15" customHeight="1">
      <c r="A297" t="inlineStr">
        <is>
          <t>A 39031-2022</t>
        </is>
      </c>
      <c r="B297" s="1" t="n">
        <v>44817</v>
      </c>
      <c r="C297" s="1" t="n">
        <v>45829</v>
      </c>
      <c r="D297" t="inlineStr">
        <is>
          <t>ÖREBRO LÄN</t>
        </is>
      </c>
      <c r="E297" t="inlineStr">
        <is>
          <t>HÄLLEFORS</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39178-2022</t>
        </is>
      </c>
      <c r="B298" s="1" t="n">
        <v>44817</v>
      </c>
      <c r="C298" s="1" t="n">
        <v>45829</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39169-2022</t>
        </is>
      </c>
      <c r="B299" s="1" t="n">
        <v>44817</v>
      </c>
      <c r="C299" s="1" t="n">
        <v>45829</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39183-2022</t>
        </is>
      </c>
      <c r="B300" s="1" t="n">
        <v>44817</v>
      </c>
      <c r="C300" s="1" t="n">
        <v>45829</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45829</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39876-2022</t>
        </is>
      </c>
      <c r="B302" s="1" t="n">
        <v>44819</v>
      </c>
      <c r="C302" s="1" t="n">
        <v>45829</v>
      </c>
      <c r="D302" t="inlineStr">
        <is>
          <t>ÖREBRO LÄN</t>
        </is>
      </c>
      <c r="E302" t="inlineStr">
        <is>
          <t>HÄLLEFORS</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40530-2022</t>
        </is>
      </c>
      <c r="B303" s="1" t="n">
        <v>44823</v>
      </c>
      <c r="C303" s="1" t="n">
        <v>45829</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40553-2022</t>
        </is>
      </c>
      <c r="B304" s="1" t="n">
        <v>44823</v>
      </c>
      <c r="C304" s="1" t="n">
        <v>45829</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40917-2022</t>
        </is>
      </c>
      <c r="B305" s="1" t="n">
        <v>44825</v>
      </c>
      <c r="C305" s="1" t="n">
        <v>45829</v>
      </c>
      <c r="D305" t="inlineStr">
        <is>
          <t>ÖREBRO LÄN</t>
        </is>
      </c>
      <c r="E305" t="inlineStr">
        <is>
          <t>HÄLLEFORS</t>
        </is>
      </c>
      <c r="F305" t="inlineStr">
        <is>
          <t>Bergvik skog väst AB</t>
        </is>
      </c>
      <c r="G305" t="n">
        <v>5.7</v>
      </c>
      <c r="H305" t="n">
        <v>0</v>
      </c>
      <c r="I305" t="n">
        <v>0</v>
      </c>
      <c r="J305" t="n">
        <v>0</v>
      </c>
      <c r="K305" t="n">
        <v>0</v>
      </c>
      <c r="L305" t="n">
        <v>0</v>
      </c>
      <c r="M305" t="n">
        <v>0</v>
      </c>
      <c r="N305" t="n">
        <v>0</v>
      </c>
      <c r="O305" t="n">
        <v>0</v>
      </c>
      <c r="P305" t="n">
        <v>0</v>
      </c>
      <c r="Q305" t="n">
        <v>0</v>
      </c>
      <c r="R305" s="2" t="inlineStr"/>
    </row>
    <row r="306" ht="15" customHeight="1">
      <c r="A306" t="inlineStr">
        <is>
          <t>A 41112-2022</t>
        </is>
      </c>
      <c r="B306" s="1" t="n">
        <v>44825</v>
      </c>
      <c r="C306" s="1" t="n">
        <v>45829</v>
      </c>
      <c r="D306" t="inlineStr">
        <is>
          <t>ÖREBRO LÄN</t>
        </is>
      </c>
      <c r="E306" t="inlineStr">
        <is>
          <t>HÄLLEFORS</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41096-2022</t>
        </is>
      </c>
      <c r="B307" s="1" t="n">
        <v>44825</v>
      </c>
      <c r="C307" s="1" t="n">
        <v>45829</v>
      </c>
      <c r="D307" t="inlineStr">
        <is>
          <t>ÖREBRO LÄN</t>
        </is>
      </c>
      <c r="E307" t="inlineStr">
        <is>
          <t>HÄLLEFORS</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41089-2022</t>
        </is>
      </c>
      <c r="B308" s="1" t="n">
        <v>44825</v>
      </c>
      <c r="C308" s="1" t="n">
        <v>45829</v>
      </c>
      <c r="D308" t="inlineStr">
        <is>
          <t>ÖREBRO LÄN</t>
        </is>
      </c>
      <c r="E308" t="inlineStr">
        <is>
          <t>HÄLLEFORS</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42028-2022</t>
        </is>
      </c>
      <c r="B309" s="1" t="n">
        <v>44830</v>
      </c>
      <c r="C309" s="1" t="n">
        <v>45829</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42862-2022</t>
        </is>
      </c>
      <c r="B310" s="1" t="n">
        <v>44832</v>
      </c>
      <c r="C310" s="1" t="n">
        <v>45829</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42863-2022</t>
        </is>
      </c>
      <c r="B311" s="1" t="n">
        <v>44832</v>
      </c>
      <c r="C311" s="1" t="n">
        <v>45829</v>
      </c>
      <c r="D311" t="inlineStr">
        <is>
          <t>ÖREBRO LÄN</t>
        </is>
      </c>
      <c r="E311" t="inlineStr">
        <is>
          <t>HÄLLEFORS</t>
        </is>
      </c>
      <c r="G311" t="n">
        <v>7.2</v>
      </c>
      <c r="H311" t="n">
        <v>0</v>
      </c>
      <c r="I311" t="n">
        <v>0</v>
      </c>
      <c r="J311" t="n">
        <v>0</v>
      </c>
      <c r="K311" t="n">
        <v>0</v>
      </c>
      <c r="L311" t="n">
        <v>0</v>
      </c>
      <c r="M311" t="n">
        <v>0</v>
      </c>
      <c r="N311" t="n">
        <v>0</v>
      </c>
      <c r="O311" t="n">
        <v>0</v>
      </c>
      <c r="P311" t="n">
        <v>0</v>
      </c>
      <c r="Q311" t="n">
        <v>0</v>
      </c>
      <c r="R311" s="2" t="inlineStr"/>
    </row>
    <row r="312" ht="15" customHeight="1">
      <c r="A312" t="inlineStr">
        <is>
          <t>A 44209-2022</t>
        </is>
      </c>
      <c r="B312" s="1" t="n">
        <v>44839</v>
      </c>
      <c r="C312" s="1" t="n">
        <v>45829</v>
      </c>
      <c r="D312" t="inlineStr">
        <is>
          <t>ÖREBRO LÄN</t>
        </is>
      </c>
      <c r="E312" t="inlineStr">
        <is>
          <t>HÄLLEFORS</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44171-2022</t>
        </is>
      </c>
      <c r="B313" s="1" t="n">
        <v>44839</v>
      </c>
      <c r="C313" s="1" t="n">
        <v>45829</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44939-2022</t>
        </is>
      </c>
      <c r="B314" s="1" t="n">
        <v>44841</v>
      </c>
      <c r="C314" s="1" t="n">
        <v>45829</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44810-2022</t>
        </is>
      </c>
      <c r="B315" s="1" t="n">
        <v>44841</v>
      </c>
      <c r="C315" s="1" t="n">
        <v>45829</v>
      </c>
      <c r="D315" t="inlineStr">
        <is>
          <t>ÖREBRO LÄN</t>
        </is>
      </c>
      <c r="E315" t="inlineStr">
        <is>
          <t>HÄLLEFORS</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45829</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47604-2022</t>
        </is>
      </c>
      <c r="B317" s="1" t="n">
        <v>44854</v>
      </c>
      <c r="C317" s="1" t="n">
        <v>45829</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47601-2022</t>
        </is>
      </c>
      <c r="B318" s="1" t="n">
        <v>44854</v>
      </c>
      <c r="C318" s="1" t="n">
        <v>45829</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48184-2022</t>
        </is>
      </c>
      <c r="B319" s="1" t="n">
        <v>44858</v>
      </c>
      <c r="C319" s="1" t="n">
        <v>45829</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49215-2022</t>
        </is>
      </c>
      <c r="B320" s="1" t="n">
        <v>44861</v>
      </c>
      <c r="C320" s="1" t="n">
        <v>45829</v>
      </c>
      <c r="D320" t="inlineStr">
        <is>
          <t>ÖREBRO LÄN</t>
        </is>
      </c>
      <c r="E320" t="inlineStr">
        <is>
          <t>HÄLLEFORS</t>
        </is>
      </c>
      <c r="F320" t="inlineStr">
        <is>
          <t>Bergvik skog väst AB</t>
        </is>
      </c>
      <c r="G320" t="n">
        <v>9</v>
      </c>
      <c r="H320" t="n">
        <v>0</v>
      </c>
      <c r="I320" t="n">
        <v>0</v>
      </c>
      <c r="J320" t="n">
        <v>0</v>
      </c>
      <c r="K320" t="n">
        <v>0</v>
      </c>
      <c r="L320" t="n">
        <v>0</v>
      </c>
      <c r="M320" t="n">
        <v>0</v>
      </c>
      <c r="N320" t="n">
        <v>0</v>
      </c>
      <c r="O320" t="n">
        <v>0</v>
      </c>
      <c r="P320" t="n">
        <v>0</v>
      </c>
      <c r="Q320" t="n">
        <v>0</v>
      </c>
      <c r="R320" s="2" t="inlineStr"/>
    </row>
    <row r="321" ht="15" customHeight="1">
      <c r="A321" t="inlineStr">
        <is>
          <t>A 49375-2022</t>
        </is>
      </c>
      <c r="B321" s="1" t="n">
        <v>44861</v>
      </c>
      <c r="C321" s="1" t="n">
        <v>45829</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49787-2022</t>
        </is>
      </c>
      <c r="B322" s="1" t="n">
        <v>44862</v>
      </c>
      <c r="C322" s="1" t="n">
        <v>45829</v>
      </c>
      <c r="D322" t="inlineStr">
        <is>
          <t>ÖREBRO LÄN</t>
        </is>
      </c>
      <c r="E322" t="inlineStr">
        <is>
          <t>HÄLLEFORS</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50703-2022</t>
        </is>
      </c>
      <c r="B323" s="1" t="n">
        <v>44867</v>
      </c>
      <c r="C323" s="1" t="n">
        <v>45829</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50714-2022</t>
        </is>
      </c>
      <c r="B324" s="1" t="n">
        <v>44867</v>
      </c>
      <c r="C324" s="1" t="n">
        <v>45829</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v>
      </c>
      <c r="C325" s="1" t="n">
        <v>45829</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51373-2022</t>
        </is>
      </c>
      <c r="B326" s="1" t="n">
        <v>44869</v>
      </c>
      <c r="C326" s="1" t="n">
        <v>45829</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51603-2022</t>
        </is>
      </c>
      <c r="B327" s="1" t="n">
        <v>44871</v>
      </c>
      <c r="C327" s="1" t="n">
        <v>45829</v>
      </c>
      <c r="D327" t="inlineStr">
        <is>
          <t>ÖREBRO LÄN</t>
        </is>
      </c>
      <c r="E327" t="inlineStr">
        <is>
          <t>HÄLLEFORS</t>
        </is>
      </c>
      <c r="G327" t="n">
        <v>8.5</v>
      </c>
      <c r="H327" t="n">
        <v>0</v>
      </c>
      <c r="I327" t="n">
        <v>0</v>
      </c>
      <c r="J327" t="n">
        <v>0</v>
      </c>
      <c r="K327" t="n">
        <v>0</v>
      </c>
      <c r="L327" t="n">
        <v>0</v>
      </c>
      <c r="M327" t="n">
        <v>0</v>
      </c>
      <c r="N327" t="n">
        <v>0</v>
      </c>
      <c r="O327" t="n">
        <v>0</v>
      </c>
      <c r="P327" t="n">
        <v>0</v>
      </c>
      <c r="Q327" t="n">
        <v>0</v>
      </c>
      <c r="R327" s="2" t="inlineStr"/>
    </row>
    <row r="328" ht="15" customHeight="1">
      <c r="A328" t="inlineStr">
        <is>
          <t>A 51605-2022</t>
        </is>
      </c>
      <c r="B328" s="1" t="n">
        <v>44871</v>
      </c>
      <c r="C328" s="1" t="n">
        <v>45829</v>
      </c>
      <c r="D328" t="inlineStr">
        <is>
          <t>ÖREBRO LÄN</t>
        </is>
      </c>
      <c r="E328" t="inlineStr">
        <is>
          <t>HÄLLEFORS</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52128-2022</t>
        </is>
      </c>
      <c r="B329" s="1" t="n">
        <v>44873</v>
      </c>
      <c r="C329" s="1" t="n">
        <v>45829</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52138-2022</t>
        </is>
      </c>
      <c r="B330" s="1" t="n">
        <v>44873</v>
      </c>
      <c r="C330" s="1" t="n">
        <v>45829</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52377-2022</t>
        </is>
      </c>
      <c r="B331" s="1" t="n">
        <v>44874</v>
      </c>
      <c r="C331" s="1" t="n">
        <v>45829</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52481-2022</t>
        </is>
      </c>
      <c r="B332" s="1" t="n">
        <v>44874</v>
      </c>
      <c r="C332" s="1" t="n">
        <v>45829</v>
      </c>
      <c r="D332" t="inlineStr">
        <is>
          <t>ÖREBRO LÄN</t>
        </is>
      </c>
      <c r="E332" t="inlineStr">
        <is>
          <t>HÄLLEFORS</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45829</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53035-2022</t>
        </is>
      </c>
      <c r="B334" s="1" t="n">
        <v>44876</v>
      </c>
      <c r="C334" s="1" t="n">
        <v>45829</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53152-2022</t>
        </is>
      </c>
      <c r="B335" s="1" t="n">
        <v>44876</v>
      </c>
      <c r="C335" s="1" t="n">
        <v>45829</v>
      </c>
      <c r="D335" t="inlineStr">
        <is>
          <t>ÖREBRO LÄN</t>
        </is>
      </c>
      <c r="E335" t="inlineStr">
        <is>
          <t>HÄLLEFORS</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53157-2022</t>
        </is>
      </c>
      <c r="B336" s="1" t="n">
        <v>44876</v>
      </c>
      <c r="C336" s="1" t="n">
        <v>45829</v>
      </c>
      <c r="D336" t="inlineStr">
        <is>
          <t>ÖREBRO LÄN</t>
        </is>
      </c>
      <c r="E336" t="inlineStr">
        <is>
          <t>HÄLLEFORS</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53154-2022</t>
        </is>
      </c>
      <c r="B337" s="1" t="n">
        <v>44876</v>
      </c>
      <c r="C337" s="1" t="n">
        <v>45829</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53699-2022</t>
        </is>
      </c>
      <c r="B338" s="1" t="n">
        <v>44880</v>
      </c>
      <c r="C338" s="1" t="n">
        <v>45829</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54530-2022</t>
        </is>
      </c>
      <c r="B339" s="1" t="n">
        <v>44882</v>
      </c>
      <c r="C339" s="1" t="n">
        <v>45829</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55167-2022</t>
        </is>
      </c>
      <c r="B340" s="1" t="n">
        <v>44886</v>
      </c>
      <c r="C340" s="1" t="n">
        <v>45829</v>
      </c>
      <c r="D340" t="inlineStr">
        <is>
          <t>ÖREBRO LÄN</t>
        </is>
      </c>
      <c r="E340" t="inlineStr">
        <is>
          <t>HÄLLEFORS</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55299-2022</t>
        </is>
      </c>
      <c r="B341" s="1" t="n">
        <v>44887</v>
      </c>
      <c r="C341" s="1" t="n">
        <v>45829</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56750-2022</t>
        </is>
      </c>
      <c r="B342" s="1" t="n">
        <v>44894</v>
      </c>
      <c r="C342" s="1" t="n">
        <v>45829</v>
      </c>
      <c r="D342" t="inlineStr">
        <is>
          <t>ÖREBRO LÄN</t>
        </is>
      </c>
      <c r="E342" t="inlineStr">
        <is>
          <t>HÄLLEFORS</t>
        </is>
      </c>
      <c r="F342" t="inlineStr">
        <is>
          <t>Bergvik skog väst AB</t>
        </is>
      </c>
      <c r="G342" t="n">
        <v>10.7</v>
      </c>
      <c r="H342" t="n">
        <v>0</v>
      </c>
      <c r="I342" t="n">
        <v>0</v>
      </c>
      <c r="J342" t="n">
        <v>0</v>
      </c>
      <c r="K342" t="n">
        <v>0</v>
      </c>
      <c r="L342" t="n">
        <v>0</v>
      </c>
      <c r="M342" t="n">
        <v>0</v>
      </c>
      <c r="N342" t="n">
        <v>0</v>
      </c>
      <c r="O342" t="n">
        <v>0</v>
      </c>
      <c r="P342" t="n">
        <v>0</v>
      </c>
      <c r="Q342" t="n">
        <v>0</v>
      </c>
      <c r="R342" s="2" t="inlineStr"/>
    </row>
    <row r="343" ht="15" customHeight="1">
      <c r="A343" t="inlineStr">
        <is>
          <t>A 57455-2022</t>
        </is>
      </c>
      <c r="B343" s="1" t="n">
        <v>44896</v>
      </c>
      <c r="C343" s="1" t="n">
        <v>45829</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57697-2022</t>
        </is>
      </c>
      <c r="B344" s="1" t="n">
        <v>44897</v>
      </c>
      <c r="C344" s="1" t="n">
        <v>45829</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v>
      </c>
      <c r="C345" s="1" t="n">
        <v>45829</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59184-2022</t>
        </is>
      </c>
      <c r="B346" s="1" t="n">
        <v>44904</v>
      </c>
      <c r="C346" s="1" t="n">
        <v>45829</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59485-2022</t>
        </is>
      </c>
      <c r="B347" s="1" t="n">
        <v>44907</v>
      </c>
      <c r="C347" s="1" t="n">
        <v>45829</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45829</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60167-2022</t>
        </is>
      </c>
      <c r="B349" s="1" t="n">
        <v>44909</v>
      </c>
      <c r="C349" s="1" t="n">
        <v>45829</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60932-2022</t>
        </is>
      </c>
      <c r="B350" s="1" t="n">
        <v>44914</v>
      </c>
      <c r="C350" s="1" t="n">
        <v>45829</v>
      </c>
      <c r="D350" t="inlineStr">
        <is>
          <t>ÖREBRO LÄN</t>
        </is>
      </c>
      <c r="E350" t="inlineStr">
        <is>
          <t>HÄLLEFORS</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62131-2022</t>
        </is>
      </c>
      <c r="B351" s="1" t="n">
        <v>44922</v>
      </c>
      <c r="C351" s="1" t="n">
        <v>45829</v>
      </c>
      <c r="D351" t="inlineStr">
        <is>
          <t>ÖREBRO LÄN</t>
        </is>
      </c>
      <c r="E351" t="inlineStr">
        <is>
          <t>HÄLLEFORS</t>
        </is>
      </c>
      <c r="G351" t="n">
        <v>2.6</v>
      </c>
      <c r="H351" t="n">
        <v>0</v>
      </c>
      <c r="I351" t="n">
        <v>0</v>
      </c>
      <c r="J351" t="n">
        <v>0</v>
      </c>
      <c r="K351" t="n">
        <v>0</v>
      </c>
      <c r="L351" t="n">
        <v>0</v>
      </c>
      <c r="M351" t="n">
        <v>0</v>
      </c>
      <c r="N351" t="n">
        <v>0</v>
      </c>
      <c r="O351" t="n">
        <v>0</v>
      </c>
      <c r="P351" t="n">
        <v>0</v>
      </c>
      <c r="Q351" t="n">
        <v>0</v>
      </c>
      <c r="R351" s="2" t="inlineStr"/>
    </row>
    <row r="352" ht="15" customHeight="1">
      <c r="A352" t="inlineStr">
        <is>
          <t>A 62265-2022</t>
        </is>
      </c>
      <c r="B352" s="1" t="n">
        <v>44923</v>
      </c>
      <c r="C352" s="1" t="n">
        <v>45829</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62501-2022</t>
        </is>
      </c>
      <c r="B353" s="1" t="n">
        <v>44924</v>
      </c>
      <c r="C353" s="1" t="n">
        <v>45829</v>
      </c>
      <c r="D353" t="inlineStr">
        <is>
          <t>ÖREBRO LÄN</t>
        </is>
      </c>
      <c r="E353" t="inlineStr">
        <is>
          <t>HÄLLEFORS</t>
        </is>
      </c>
      <c r="G353" t="n">
        <v>3</v>
      </c>
      <c r="H353" t="n">
        <v>0</v>
      </c>
      <c r="I353" t="n">
        <v>0</v>
      </c>
      <c r="J353" t="n">
        <v>0</v>
      </c>
      <c r="K353" t="n">
        <v>0</v>
      </c>
      <c r="L353" t="n">
        <v>0</v>
      </c>
      <c r="M353" t="n">
        <v>0</v>
      </c>
      <c r="N353" t="n">
        <v>0</v>
      </c>
      <c r="O353" t="n">
        <v>0</v>
      </c>
      <c r="P353" t="n">
        <v>0</v>
      </c>
      <c r="Q353" t="n">
        <v>0</v>
      </c>
      <c r="R353" s="2" t="inlineStr"/>
    </row>
    <row r="354" ht="15" customHeight="1">
      <c r="A354" t="inlineStr">
        <is>
          <t>A 272-2023</t>
        </is>
      </c>
      <c r="B354" s="1" t="n">
        <v>44928</v>
      </c>
      <c r="C354" s="1" t="n">
        <v>45829</v>
      </c>
      <c r="D354" t="inlineStr">
        <is>
          <t>ÖREBRO LÄN</t>
        </is>
      </c>
      <c r="E354" t="inlineStr">
        <is>
          <t>HÄLLEFORS</t>
        </is>
      </c>
      <c r="G354" t="n">
        <v>4</v>
      </c>
      <c r="H354" t="n">
        <v>0</v>
      </c>
      <c r="I354" t="n">
        <v>0</v>
      </c>
      <c r="J354" t="n">
        <v>0</v>
      </c>
      <c r="K354" t="n">
        <v>0</v>
      </c>
      <c r="L354" t="n">
        <v>0</v>
      </c>
      <c r="M354" t="n">
        <v>0</v>
      </c>
      <c r="N354" t="n">
        <v>0</v>
      </c>
      <c r="O354" t="n">
        <v>0</v>
      </c>
      <c r="P354" t="n">
        <v>0</v>
      </c>
      <c r="Q354" t="n">
        <v>0</v>
      </c>
      <c r="R354" s="2" t="inlineStr"/>
    </row>
    <row r="355" ht="15" customHeight="1">
      <c r="A355" t="inlineStr">
        <is>
          <t>A 623-2023</t>
        </is>
      </c>
      <c r="B355" s="1" t="n">
        <v>44930</v>
      </c>
      <c r="C355" s="1" t="n">
        <v>45829</v>
      </c>
      <c r="D355" t="inlineStr">
        <is>
          <t>ÖREBRO LÄN</t>
        </is>
      </c>
      <c r="E355" t="inlineStr">
        <is>
          <t>HÄLLEFORS</t>
        </is>
      </c>
      <c r="G355" t="n">
        <v>1.4</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45829</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4352-2023</t>
        </is>
      </c>
      <c r="B357" s="1" t="n">
        <v>44954</v>
      </c>
      <c r="C357" s="1" t="n">
        <v>45829</v>
      </c>
      <c r="D357" t="inlineStr">
        <is>
          <t>ÖREBRO LÄN</t>
        </is>
      </c>
      <c r="E357" t="inlineStr">
        <is>
          <t>HÄLLEFORS</t>
        </is>
      </c>
      <c r="G357" t="n">
        <v>4</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v>
      </c>
      <c r="C358" s="1" t="n">
        <v>45829</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4994-2023</t>
        </is>
      </c>
      <c r="B359" s="1" t="n">
        <v>44958</v>
      </c>
      <c r="C359" s="1" t="n">
        <v>45829</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5195-2023</t>
        </is>
      </c>
      <c r="B360" s="1" t="n">
        <v>44959</v>
      </c>
      <c r="C360" s="1" t="n">
        <v>45829</v>
      </c>
      <c r="D360" t="inlineStr">
        <is>
          <t>ÖREBRO LÄN</t>
        </is>
      </c>
      <c r="E360" t="inlineStr">
        <is>
          <t>HÄLLEFORS</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v>
      </c>
      <c r="C361" s="1" t="n">
        <v>45829</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6292-2023</t>
        </is>
      </c>
      <c r="B362" s="1" t="n">
        <v>44965</v>
      </c>
      <c r="C362" s="1" t="n">
        <v>45829</v>
      </c>
      <c r="D362" t="inlineStr">
        <is>
          <t>ÖREBRO LÄN</t>
        </is>
      </c>
      <c r="E362" t="inlineStr">
        <is>
          <t>HÄLLEFORS</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6289-2023</t>
        </is>
      </c>
      <c r="B363" s="1" t="n">
        <v>44965</v>
      </c>
      <c r="C363" s="1" t="n">
        <v>45829</v>
      </c>
      <c r="D363" t="inlineStr">
        <is>
          <t>ÖREBRO LÄN</t>
        </is>
      </c>
      <c r="E363" t="inlineStr">
        <is>
          <t>HÄLLEFORS</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6296-2023</t>
        </is>
      </c>
      <c r="B364" s="1" t="n">
        <v>44965</v>
      </c>
      <c r="C364" s="1" t="n">
        <v>45829</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8911-2023</t>
        </is>
      </c>
      <c r="B365" s="1" t="n">
        <v>44979</v>
      </c>
      <c r="C365" s="1" t="n">
        <v>45829</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45829</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9516-2023</t>
        </is>
      </c>
      <c r="B367" s="1" t="n">
        <v>44981</v>
      </c>
      <c r="C367" s="1" t="n">
        <v>45829</v>
      </c>
      <c r="D367" t="inlineStr">
        <is>
          <t>ÖREBRO LÄN</t>
        </is>
      </c>
      <c r="E367" t="inlineStr">
        <is>
          <t>HÄLLEFORS</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45829</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9515-2023</t>
        </is>
      </c>
      <c r="B369" s="1" t="n">
        <v>44981</v>
      </c>
      <c r="C369" s="1" t="n">
        <v>45829</v>
      </c>
      <c r="D369" t="inlineStr">
        <is>
          <t>ÖREBRO LÄN</t>
        </is>
      </c>
      <c r="E369" t="inlineStr">
        <is>
          <t>HÄLLEFORS</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9513-2023</t>
        </is>
      </c>
      <c r="B370" s="1" t="n">
        <v>44981</v>
      </c>
      <c r="C370" s="1" t="n">
        <v>45829</v>
      </c>
      <c r="D370" t="inlineStr">
        <is>
          <t>ÖREBRO LÄN</t>
        </is>
      </c>
      <c r="E370" t="inlineStr">
        <is>
          <t>HÄLLEFORS</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9524-2023</t>
        </is>
      </c>
      <c r="B371" s="1" t="n">
        <v>44981</v>
      </c>
      <c r="C371" s="1" t="n">
        <v>45829</v>
      </c>
      <c r="D371" t="inlineStr">
        <is>
          <t>ÖREBRO LÄN</t>
        </is>
      </c>
      <c r="E371" t="inlineStr">
        <is>
          <t>HÄLLEFORS</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10164-2023</t>
        </is>
      </c>
      <c r="B372" s="1" t="n">
        <v>44986</v>
      </c>
      <c r="C372" s="1" t="n">
        <v>45829</v>
      </c>
      <c r="D372" t="inlineStr">
        <is>
          <t>ÖREBRO LÄN</t>
        </is>
      </c>
      <c r="E372" t="inlineStr">
        <is>
          <t>HÄLLEFORS</t>
        </is>
      </c>
      <c r="F372" t="inlineStr">
        <is>
          <t>Bergvik skog väst AB</t>
        </is>
      </c>
      <c r="G372" t="n">
        <v>13.2</v>
      </c>
      <c r="H372" t="n">
        <v>0</v>
      </c>
      <c r="I372" t="n">
        <v>0</v>
      </c>
      <c r="J372" t="n">
        <v>0</v>
      </c>
      <c r="K372" t="n">
        <v>0</v>
      </c>
      <c r="L372" t="n">
        <v>0</v>
      </c>
      <c r="M372" t="n">
        <v>0</v>
      </c>
      <c r="N372" t="n">
        <v>0</v>
      </c>
      <c r="O372" t="n">
        <v>0</v>
      </c>
      <c r="P372" t="n">
        <v>0</v>
      </c>
      <c r="Q372" t="n">
        <v>0</v>
      </c>
      <c r="R372" s="2" t="inlineStr"/>
    </row>
    <row r="373" ht="15" customHeight="1">
      <c r="A373" t="inlineStr">
        <is>
          <t>A 10522-2023</t>
        </is>
      </c>
      <c r="B373" s="1" t="n">
        <v>44987</v>
      </c>
      <c r="C373" s="1" t="n">
        <v>45829</v>
      </c>
      <c r="D373" t="inlineStr">
        <is>
          <t>ÖREBRO LÄN</t>
        </is>
      </c>
      <c r="E373" t="inlineStr">
        <is>
          <t>HÄLLEFORS</t>
        </is>
      </c>
      <c r="G373" t="n">
        <v>2.7</v>
      </c>
      <c r="H373" t="n">
        <v>0</v>
      </c>
      <c r="I373" t="n">
        <v>0</v>
      </c>
      <c r="J373" t="n">
        <v>0</v>
      </c>
      <c r="K373" t="n">
        <v>0</v>
      </c>
      <c r="L373" t="n">
        <v>0</v>
      </c>
      <c r="M373" t="n">
        <v>0</v>
      </c>
      <c r="N373" t="n">
        <v>0</v>
      </c>
      <c r="O373" t="n">
        <v>0</v>
      </c>
      <c r="P373" t="n">
        <v>0</v>
      </c>
      <c r="Q373" t="n">
        <v>0</v>
      </c>
      <c r="R373" s="2" t="inlineStr"/>
    </row>
    <row r="374" ht="15" customHeight="1">
      <c r="A374" t="inlineStr">
        <is>
          <t>A 12696-2023</t>
        </is>
      </c>
      <c r="B374" s="1" t="n">
        <v>45000</v>
      </c>
      <c r="C374" s="1" t="n">
        <v>45829</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12693-2023</t>
        </is>
      </c>
      <c r="B375" s="1" t="n">
        <v>45000</v>
      </c>
      <c r="C375" s="1" t="n">
        <v>45829</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12546-2023</t>
        </is>
      </c>
      <c r="B376" s="1" t="n">
        <v>45000</v>
      </c>
      <c r="C376" s="1" t="n">
        <v>45829</v>
      </c>
      <c r="D376" t="inlineStr">
        <is>
          <t>ÖREBRO LÄN</t>
        </is>
      </c>
      <c r="E376" t="inlineStr">
        <is>
          <t>HÄLLEFORS</t>
        </is>
      </c>
      <c r="F376" t="inlineStr">
        <is>
          <t>Bergvik skog väst AB</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12545-2023</t>
        </is>
      </c>
      <c r="B377" s="1" t="n">
        <v>45000</v>
      </c>
      <c r="C377" s="1" t="n">
        <v>45829</v>
      </c>
      <c r="D377" t="inlineStr">
        <is>
          <t>ÖREBRO LÄN</t>
        </is>
      </c>
      <c r="E377" t="inlineStr">
        <is>
          <t>HÄLLEFORS</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12697-2023</t>
        </is>
      </c>
      <c r="B378" s="1" t="n">
        <v>45000</v>
      </c>
      <c r="C378" s="1" t="n">
        <v>45829</v>
      </c>
      <c r="D378" t="inlineStr">
        <is>
          <t>ÖREBRO LÄN</t>
        </is>
      </c>
      <c r="E378" t="inlineStr">
        <is>
          <t>HÄLLEFORS</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13299-2023</t>
        </is>
      </c>
      <c r="B379" s="1" t="n">
        <v>45005</v>
      </c>
      <c r="C379" s="1" t="n">
        <v>45829</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13758-2023</t>
        </is>
      </c>
      <c r="B380" s="1" t="n">
        <v>45007</v>
      </c>
      <c r="C380" s="1" t="n">
        <v>45829</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13739-2023</t>
        </is>
      </c>
      <c r="B381" s="1" t="n">
        <v>45007</v>
      </c>
      <c r="C381" s="1" t="n">
        <v>45829</v>
      </c>
      <c r="D381" t="inlineStr">
        <is>
          <t>ÖREBRO LÄN</t>
        </is>
      </c>
      <c r="E381" t="inlineStr">
        <is>
          <t>HÄLLEFORS</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13757-2023</t>
        </is>
      </c>
      <c r="B382" s="1" t="n">
        <v>45007</v>
      </c>
      <c r="C382" s="1" t="n">
        <v>45829</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14120-2023</t>
        </is>
      </c>
      <c r="B383" s="1" t="n">
        <v>45009</v>
      </c>
      <c r="C383" s="1" t="n">
        <v>45829</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14127-2023</t>
        </is>
      </c>
      <c r="B384" s="1" t="n">
        <v>45009</v>
      </c>
      <c r="C384" s="1" t="n">
        <v>45829</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14894-2023</t>
        </is>
      </c>
      <c r="B385" s="1" t="n">
        <v>45015</v>
      </c>
      <c r="C385" s="1" t="n">
        <v>45829</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15247-2023</t>
        </is>
      </c>
      <c r="B386" s="1" t="n">
        <v>45019</v>
      </c>
      <c r="C386" s="1" t="n">
        <v>45829</v>
      </c>
      <c r="D386" t="inlineStr">
        <is>
          <t>ÖREBRO LÄN</t>
        </is>
      </c>
      <c r="E386" t="inlineStr">
        <is>
          <t>HÄLLEFORS</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15249-2023</t>
        </is>
      </c>
      <c r="B387" s="1" t="n">
        <v>45019</v>
      </c>
      <c r="C387" s="1" t="n">
        <v>45829</v>
      </c>
      <c r="D387" t="inlineStr">
        <is>
          <t>ÖREBRO LÄN</t>
        </is>
      </c>
      <c r="E387" t="inlineStr">
        <is>
          <t>HÄLLEFORS</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15248-2023</t>
        </is>
      </c>
      <c r="B388" s="1" t="n">
        <v>45019</v>
      </c>
      <c r="C388" s="1" t="n">
        <v>45829</v>
      </c>
      <c r="D388" t="inlineStr">
        <is>
          <t>ÖREBRO LÄN</t>
        </is>
      </c>
      <c r="E388" t="inlineStr">
        <is>
          <t>HÄLLEFORS</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15941-2023</t>
        </is>
      </c>
      <c r="B389" s="1" t="n">
        <v>45022</v>
      </c>
      <c r="C389" s="1" t="n">
        <v>45829</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ht="15" customHeight="1">
      <c r="A390" t="inlineStr">
        <is>
          <t>A 16026-2023</t>
        </is>
      </c>
      <c r="B390" s="1" t="n">
        <v>45027</v>
      </c>
      <c r="C390" s="1" t="n">
        <v>45829</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16053-2023</t>
        </is>
      </c>
      <c r="B391" s="1" t="n">
        <v>45027</v>
      </c>
      <c r="C391" s="1" t="n">
        <v>45829</v>
      </c>
      <c r="D391" t="inlineStr">
        <is>
          <t>ÖREBRO LÄN</t>
        </is>
      </c>
      <c r="E391" t="inlineStr">
        <is>
          <t>HÄLLEFORS</t>
        </is>
      </c>
      <c r="F391" t="inlineStr">
        <is>
          <t>Bergvik skog väst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17765-2023</t>
        </is>
      </c>
      <c r="B392" s="1" t="n">
        <v>45037</v>
      </c>
      <c r="C392" s="1" t="n">
        <v>45829</v>
      </c>
      <c r="D392" t="inlineStr">
        <is>
          <t>ÖREBRO LÄN</t>
        </is>
      </c>
      <c r="E392" t="inlineStr">
        <is>
          <t>HÄLLEFORS</t>
        </is>
      </c>
      <c r="F392" t="inlineStr">
        <is>
          <t>Bergvik skog väst AB</t>
        </is>
      </c>
      <c r="G392" t="n">
        <v>7</v>
      </c>
      <c r="H392" t="n">
        <v>0</v>
      </c>
      <c r="I392" t="n">
        <v>0</v>
      </c>
      <c r="J392" t="n">
        <v>0</v>
      </c>
      <c r="K392" t="n">
        <v>0</v>
      </c>
      <c r="L392" t="n">
        <v>0</v>
      </c>
      <c r="M392" t="n">
        <v>0</v>
      </c>
      <c r="N392" t="n">
        <v>0</v>
      </c>
      <c r="O392" t="n">
        <v>0</v>
      </c>
      <c r="P392" t="n">
        <v>0</v>
      </c>
      <c r="Q392" t="n">
        <v>0</v>
      </c>
      <c r="R392" s="2" t="inlineStr"/>
    </row>
    <row r="393" ht="15" customHeight="1">
      <c r="A393" t="inlineStr">
        <is>
          <t>A 17769-2023</t>
        </is>
      </c>
      <c r="B393" s="1" t="n">
        <v>45037</v>
      </c>
      <c r="C393" s="1" t="n">
        <v>45829</v>
      </c>
      <c r="D393" t="inlineStr">
        <is>
          <t>ÖREBRO LÄN</t>
        </is>
      </c>
      <c r="E393" t="inlineStr">
        <is>
          <t>HÄLLEFORS</t>
        </is>
      </c>
      <c r="F393" t="inlineStr">
        <is>
          <t>Bergvik skog väst AB</t>
        </is>
      </c>
      <c r="G393" t="n">
        <v>5.7</v>
      </c>
      <c r="H393" t="n">
        <v>0</v>
      </c>
      <c r="I393" t="n">
        <v>0</v>
      </c>
      <c r="J393" t="n">
        <v>0</v>
      </c>
      <c r="K393" t="n">
        <v>0</v>
      </c>
      <c r="L393" t="n">
        <v>0</v>
      </c>
      <c r="M393" t="n">
        <v>0</v>
      </c>
      <c r="N393" t="n">
        <v>0</v>
      </c>
      <c r="O393" t="n">
        <v>0</v>
      </c>
      <c r="P393" t="n">
        <v>0</v>
      </c>
      <c r="Q393" t="n">
        <v>0</v>
      </c>
      <c r="R393" s="2" t="inlineStr"/>
    </row>
    <row r="394" ht="15" customHeight="1">
      <c r="A394" t="inlineStr">
        <is>
          <t>A 17762-2023</t>
        </is>
      </c>
      <c r="B394" s="1" t="n">
        <v>45037</v>
      </c>
      <c r="C394" s="1" t="n">
        <v>45829</v>
      </c>
      <c r="D394" t="inlineStr">
        <is>
          <t>ÖREBRO LÄN</t>
        </is>
      </c>
      <c r="E394" t="inlineStr">
        <is>
          <t>HÄLLEFORS</t>
        </is>
      </c>
      <c r="F394" t="inlineStr">
        <is>
          <t>Bergvik skog väst AB</t>
        </is>
      </c>
      <c r="G394" t="n">
        <v>10.1</v>
      </c>
      <c r="H394" t="n">
        <v>0</v>
      </c>
      <c r="I394" t="n">
        <v>0</v>
      </c>
      <c r="J394" t="n">
        <v>0</v>
      </c>
      <c r="K394" t="n">
        <v>0</v>
      </c>
      <c r="L394" t="n">
        <v>0</v>
      </c>
      <c r="M394" t="n">
        <v>0</v>
      </c>
      <c r="N394" t="n">
        <v>0</v>
      </c>
      <c r="O394" t="n">
        <v>0</v>
      </c>
      <c r="P394" t="n">
        <v>0</v>
      </c>
      <c r="Q394" t="n">
        <v>0</v>
      </c>
      <c r="R394" s="2" t="inlineStr"/>
    </row>
    <row r="395" ht="15" customHeight="1">
      <c r="A395" t="inlineStr">
        <is>
          <t>A 17767-2023</t>
        </is>
      </c>
      <c r="B395" s="1" t="n">
        <v>45037</v>
      </c>
      <c r="C395" s="1" t="n">
        <v>45829</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17764-2023</t>
        </is>
      </c>
      <c r="B396" s="1" t="n">
        <v>45037</v>
      </c>
      <c r="C396" s="1" t="n">
        <v>45829</v>
      </c>
      <c r="D396" t="inlineStr">
        <is>
          <t>ÖREBRO LÄN</t>
        </is>
      </c>
      <c r="E396" t="inlineStr">
        <is>
          <t>HÄLLEFORS</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18848-2023</t>
        </is>
      </c>
      <c r="B397" s="1" t="n">
        <v>45044</v>
      </c>
      <c r="C397" s="1" t="n">
        <v>45829</v>
      </c>
      <c r="D397" t="inlineStr">
        <is>
          <t>ÖREBRO LÄN</t>
        </is>
      </c>
      <c r="E397" t="inlineStr">
        <is>
          <t>HÄLLEFORS</t>
        </is>
      </c>
      <c r="G397" t="n">
        <v>0.7</v>
      </c>
      <c r="H397" t="n">
        <v>0</v>
      </c>
      <c r="I397" t="n">
        <v>0</v>
      </c>
      <c r="J397" t="n">
        <v>0</v>
      </c>
      <c r="K397" t="n">
        <v>0</v>
      </c>
      <c r="L397" t="n">
        <v>0</v>
      </c>
      <c r="M397" t="n">
        <v>0</v>
      </c>
      <c r="N397" t="n">
        <v>0</v>
      </c>
      <c r="O397" t="n">
        <v>0</v>
      </c>
      <c r="P397" t="n">
        <v>0</v>
      </c>
      <c r="Q397" t="n">
        <v>0</v>
      </c>
      <c r="R397" s="2" t="inlineStr"/>
    </row>
    <row r="398" ht="15" customHeight="1">
      <c r="A398" t="inlineStr">
        <is>
          <t>A 19083-2023</t>
        </is>
      </c>
      <c r="B398" s="1" t="n">
        <v>45048</v>
      </c>
      <c r="C398" s="1" t="n">
        <v>45829</v>
      </c>
      <c r="D398" t="inlineStr">
        <is>
          <t>ÖREBRO LÄN</t>
        </is>
      </c>
      <c r="E398" t="inlineStr">
        <is>
          <t>HÄLLEFORS</t>
        </is>
      </c>
      <c r="F398" t="inlineStr">
        <is>
          <t>Bergvik skog väst AB</t>
        </is>
      </c>
      <c r="G398" t="n">
        <v>11.9</v>
      </c>
      <c r="H398" t="n">
        <v>0</v>
      </c>
      <c r="I398" t="n">
        <v>0</v>
      </c>
      <c r="J398" t="n">
        <v>0</v>
      </c>
      <c r="K398" t="n">
        <v>0</v>
      </c>
      <c r="L398" t="n">
        <v>0</v>
      </c>
      <c r="M398" t="n">
        <v>0</v>
      </c>
      <c r="N398" t="n">
        <v>0</v>
      </c>
      <c r="O398" t="n">
        <v>0</v>
      </c>
      <c r="P398" t="n">
        <v>0</v>
      </c>
      <c r="Q398" t="n">
        <v>0</v>
      </c>
      <c r="R398" s="2" t="inlineStr"/>
    </row>
    <row r="399" ht="15" customHeight="1">
      <c r="A399" t="inlineStr">
        <is>
          <t>A 19753-2023</t>
        </is>
      </c>
      <c r="B399" s="1" t="n">
        <v>45051</v>
      </c>
      <c r="C399" s="1" t="n">
        <v>45829</v>
      </c>
      <c r="D399" t="inlineStr">
        <is>
          <t>ÖREBRO LÄN</t>
        </is>
      </c>
      <c r="E399" t="inlineStr">
        <is>
          <t>HÄLLEFORS</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20177-2023</t>
        </is>
      </c>
      <c r="B400" s="1" t="n">
        <v>45055</v>
      </c>
      <c r="C400" s="1" t="n">
        <v>45829</v>
      </c>
      <c r="D400" t="inlineStr">
        <is>
          <t>ÖREBRO LÄN</t>
        </is>
      </c>
      <c r="E400" t="inlineStr">
        <is>
          <t>HÄLLEFORS</t>
        </is>
      </c>
      <c r="F400" t="inlineStr">
        <is>
          <t>Bergvik skog väst AB</t>
        </is>
      </c>
      <c r="G400" t="n">
        <v>3.9</v>
      </c>
      <c r="H400" t="n">
        <v>0</v>
      </c>
      <c r="I400" t="n">
        <v>0</v>
      </c>
      <c r="J400" t="n">
        <v>0</v>
      </c>
      <c r="K400" t="n">
        <v>0</v>
      </c>
      <c r="L400" t="n">
        <v>0</v>
      </c>
      <c r="M400" t="n">
        <v>0</v>
      </c>
      <c r="N400" t="n">
        <v>0</v>
      </c>
      <c r="O400" t="n">
        <v>0</v>
      </c>
      <c r="P400" t="n">
        <v>0</v>
      </c>
      <c r="Q400" t="n">
        <v>0</v>
      </c>
      <c r="R400" s="2" t="inlineStr"/>
    </row>
    <row r="401" ht="15" customHeight="1">
      <c r="A401" t="inlineStr">
        <is>
          <t>A 20494-2023</t>
        </is>
      </c>
      <c r="B401" s="1" t="n">
        <v>45057</v>
      </c>
      <c r="C401" s="1" t="n">
        <v>45829</v>
      </c>
      <c r="D401" t="inlineStr">
        <is>
          <t>ÖREBRO LÄN</t>
        </is>
      </c>
      <c r="E401" t="inlineStr">
        <is>
          <t>HÄLLEFORS</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20511-2023</t>
        </is>
      </c>
      <c r="B402" s="1" t="n">
        <v>45057</v>
      </c>
      <c r="C402" s="1" t="n">
        <v>45829</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20524-2023</t>
        </is>
      </c>
      <c r="B403" s="1" t="n">
        <v>45057</v>
      </c>
      <c r="C403" s="1" t="n">
        <v>45829</v>
      </c>
      <c r="D403" t="inlineStr">
        <is>
          <t>ÖREBRO LÄN</t>
        </is>
      </c>
      <c r="E403" t="inlineStr">
        <is>
          <t>HÄLLEFORS</t>
        </is>
      </c>
      <c r="F403" t="inlineStr">
        <is>
          <t>Bergvik skog väst AB</t>
        </is>
      </c>
      <c r="G403" t="n">
        <v>5.5</v>
      </c>
      <c r="H403" t="n">
        <v>0</v>
      </c>
      <c r="I403" t="n">
        <v>0</v>
      </c>
      <c r="J403" t="n">
        <v>0</v>
      </c>
      <c r="K403" t="n">
        <v>0</v>
      </c>
      <c r="L403" t="n">
        <v>0</v>
      </c>
      <c r="M403" t="n">
        <v>0</v>
      </c>
      <c r="N403" t="n">
        <v>0</v>
      </c>
      <c r="O403" t="n">
        <v>0</v>
      </c>
      <c r="P403" t="n">
        <v>0</v>
      </c>
      <c r="Q403" t="n">
        <v>0</v>
      </c>
      <c r="R403" s="2" t="inlineStr"/>
    </row>
    <row r="404" ht="15" customHeight="1">
      <c r="A404" t="inlineStr">
        <is>
          <t>A 20827-2023</t>
        </is>
      </c>
      <c r="B404" s="1" t="n">
        <v>45058</v>
      </c>
      <c r="C404" s="1" t="n">
        <v>45829</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20676-2023</t>
        </is>
      </c>
      <c r="B405" s="1" t="n">
        <v>45058</v>
      </c>
      <c r="C405" s="1" t="n">
        <v>45829</v>
      </c>
      <c r="D405" t="inlineStr">
        <is>
          <t>ÖREBRO LÄN</t>
        </is>
      </c>
      <c r="E405" t="inlineStr">
        <is>
          <t>HÄLLEFORS</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21642-2023</t>
        </is>
      </c>
      <c r="B406" s="1" t="n">
        <v>45063</v>
      </c>
      <c r="C406" s="1" t="n">
        <v>45829</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21901-2023</t>
        </is>
      </c>
      <c r="B407" s="1" t="n">
        <v>45068</v>
      </c>
      <c r="C407" s="1" t="n">
        <v>45829</v>
      </c>
      <c r="D407" t="inlineStr">
        <is>
          <t>ÖREBRO LÄN</t>
        </is>
      </c>
      <c r="E407" t="inlineStr">
        <is>
          <t>HÄLLEFORS</t>
        </is>
      </c>
      <c r="G407" t="n">
        <v>1.3</v>
      </c>
      <c r="H407" t="n">
        <v>0</v>
      </c>
      <c r="I407" t="n">
        <v>0</v>
      </c>
      <c r="J407" t="n">
        <v>0</v>
      </c>
      <c r="K407" t="n">
        <v>0</v>
      </c>
      <c r="L407" t="n">
        <v>0</v>
      </c>
      <c r="M407" t="n">
        <v>0</v>
      </c>
      <c r="N407" t="n">
        <v>0</v>
      </c>
      <c r="O407" t="n">
        <v>0</v>
      </c>
      <c r="P407" t="n">
        <v>0</v>
      </c>
      <c r="Q407" t="n">
        <v>0</v>
      </c>
      <c r="R407" s="2" t="inlineStr"/>
    </row>
    <row r="408" ht="15" customHeight="1">
      <c r="A408" t="inlineStr">
        <is>
          <t>A 21845-2023</t>
        </is>
      </c>
      <c r="B408" s="1" t="n">
        <v>45068</v>
      </c>
      <c r="C408" s="1" t="n">
        <v>45829</v>
      </c>
      <c r="D408" t="inlineStr">
        <is>
          <t>ÖREBRO LÄN</t>
        </is>
      </c>
      <c r="E408" t="inlineStr">
        <is>
          <t>HÄLLEFORS</t>
        </is>
      </c>
      <c r="F408" t="inlineStr">
        <is>
          <t>Kyrkan</t>
        </is>
      </c>
      <c r="G408" t="n">
        <v>5.1</v>
      </c>
      <c r="H408" t="n">
        <v>0</v>
      </c>
      <c r="I408" t="n">
        <v>0</v>
      </c>
      <c r="J408" t="n">
        <v>0</v>
      </c>
      <c r="K408" t="n">
        <v>0</v>
      </c>
      <c r="L408" t="n">
        <v>0</v>
      </c>
      <c r="M408" t="n">
        <v>0</v>
      </c>
      <c r="N408" t="n">
        <v>0</v>
      </c>
      <c r="O408" t="n">
        <v>0</v>
      </c>
      <c r="P408" t="n">
        <v>0</v>
      </c>
      <c r="Q408" t="n">
        <v>0</v>
      </c>
      <c r="R408" s="2" t="inlineStr"/>
    </row>
    <row r="409" ht="15" customHeight="1">
      <c r="A409" t="inlineStr">
        <is>
          <t>A 22514-2023</t>
        </is>
      </c>
      <c r="B409" s="1" t="n">
        <v>45071</v>
      </c>
      <c r="C409" s="1" t="n">
        <v>45829</v>
      </c>
      <c r="D409" t="inlineStr">
        <is>
          <t>ÖREBRO LÄN</t>
        </is>
      </c>
      <c r="E409" t="inlineStr">
        <is>
          <t>HÄLLEFORS</t>
        </is>
      </c>
      <c r="G409" t="n">
        <v>5.5</v>
      </c>
      <c r="H409" t="n">
        <v>0</v>
      </c>
      <c r="I409" t="n">
        <v>0</v>
      </c>
      <c r="J409" t="n">
        <v>0</v>
      </c>
      <c r="K409" t="n">
        <v>0</v>
      </c>
      <c r="L409" t="n">
        <v>0</v>
      </c>
      <c r="M409" t="n">
        <v>0</v>
      </c>
      <c r="N409" t="n">
        <v>0</v>
      </c>
      <c r="O409" t="n">
        <v>0</v>
      </c>
      <c r="P409" t="n">
        <v>0</v>
      </c>
      <c r="Q409" t="n">
        <v>0</v>
      </c>
      <c r="R409" s="2" t="inlineStr"/>
    </row>
    <row r="410" ht="15" customHeight="1">
      <c r="A410" t="inlineStr">
        <is>
          <t>A 23077-2023</t>
        </is>
      </c>
      <c r="B410" s="1" t="n">
        <v>45075</v>
      </c>
      <c r="C410" s="1" t="n">
        <v>45829</v>
      </c>
      <c r="D410" t="inlineStr">
        <is>
          <t>ÖREBRO LÄN</t>
        </is>
      </c>
      <c r="E410" t="inlineStr">
        <is>
          <t>HÄLLEFORS</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23168-2023</t>
        </is>
      </c>
      <c r="B411" s="1" t="n">
        <v>45075</v>
      </c>
      <c r="C411" s="1" t="n">
        <v>45829</v>
      </c>
      <c r="D411" t="inlineStr">
        <is>
          <t>ÖREBRO LÄN</t>
        </is>
      </c>
      <c r="E411" t="inlineStr">
        <is>
          <t>HÄLLEFORS</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23170-2023</t>
        </is>
      </c>
      <c r="B412" s="1" t="n">
        <v>45075</v>
      </c>
      <c r="C412" s="1" t="n">
        <v>45829</v>
      </c>
      <c r="D412" t="inlineStr">
        <is>
          <t>ÖREBRO LÄN</t>
        </is>
      </c>
      <c r="E412" t="inlineStr">
        <is>
          <t>HÄLLEFORS</t>
        </is>
      </c>
      <c r="F412" t="inlineStr">
        <is>
          <t>Bergvik skog väst AB</t>
        </is>
      </c>
      <c r="G412" t="n">
        <v>4.9</v>
      </c>
      <c r="H412" t="n">
        <v>0</v>
      </c>
      <c r="I412" t="n">
        <v>0</v>
      </c>
      <c r="J412" t="n">
        <v>0</v>
      </c>
      <c r="K412" t="n">
        <v>0</v>
      </c>
      <c r="L412" t="n">
        <v>0</v>
      </c>
      <c r="M412" t="n">
        <v>0</v>
      </c>
      <c r="N412" t="n">
        <v>0</v>
      </c>
      <c r="O412" t="n">
        <v>0</v>
      </c>
      <c r="P412" t="n">
        <v>0</v>
      </c>
      <c r="Q412" t="n">
        <v>0</v>
      </c>
      <c r="R412" s="2" t="inlineStr"/>
    </row>
    <row r="413" ht="15" customHeight="1">
      <c r="A413" t="inlineStr">
        <is>
          <t>A 23549-2023</t>
        </is>
      </c>
      <c r="B413" s="1" t="n">
        <v>45077</v>
      </c>
      <c r="C413" s="1" t="n">
        <v>45829</v>
      </c>
      <c r="D413" t="inlineStr">
        <is>
          <t>ÖREBRO LÄN</t>
        </is>
      </c>
      <c r="E413" t="inlineStr">
        <is>
          <t>HÄLLEFORS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23561-2023</t>
        </is>
      </c>
      <c r="B414" s="1" t="n">
        <v>45077</v>
      </c>
      <c r="C414" s="1" t="n">
        <v>45829</v>
      </c>
      <c r="D414" t="inlineStr">
        <is>
          <t>ÖREBRO LÄN</t>
        </is>
      </c>
      <c r="E414" t="inlineStr">
        <is>
          <t>HÄLLEFORS</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24014-2023</t>
        </is>
      </c>
      <c r="B415" s="1" t="n">
        <v>45078</v>
      </c>
      <c r="C415" s="1" t="n">
        <v>45829</v>
      </c>
      <c r="D415" t="inlineStr">
        <is>
          <t>ÖREBRO LÄN</t>
        </is>
      </c>
      <c r="E415" t="inlineStr">
        <is>
          <t>HÄLLEFORS</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24018-2023</t>
        </is>
      </c>
      <c r="B416" s="1" t="n">
        <v>45078</v>
      </c>
      <c r="C416" s="1" t="n">
        <v>45829</v>
      </c>
      <c r="D416" t="inlineStr">
        <is>
          <t>ÖREBRO LÄN</t>
        </is>
      </c>
      <c r="E416" t="inlineStr">
        <is>
          <t>HÄLLEFORS</t>
        </is>
      </c>
      <c r="F416" t="inlineStr">
        <is>
          <t>Kommuner</t>
        </is>
      </c>
      <c r="G416" t="n">
        <v>3.6</v>
      </c>
      <c r="H416" t="n">
        <v>0</v>
      </c>
      <c r="I416" t="n">
        <v>0</v>
      </c>
      <c r="J416" t="n">
        <v>0</v>
      </c>
      <c r="K416" t="n">
        <v>0</v>
      </c>
      <c r="L416" t="n">
        <v>0</v>
      </c>
      <c r="M416" t="n">
        <v>0</v>
      </c>
      <c r="N416" t="n">
        <v>0</v>
      </c>
      <c r="O416" t="n">
        <v>0</v>
      </c>
      <c r="P416" t="n">
        <v>0</v>
      </c>
      <c r="Q416" t="n">
        <v>0</v>
      </c>
      <c r="R416" s="2" t="inlineStr"/>
    </row>
    <row r="417" ht="15" customHeight="1">
      <c r="A417" t="inlineStr">
        <is>
          <t>A 24335-2023</t>
        </is>
      </c>
      <c r="B417" s="1" t="n">
        <v>45081</v>
      </c>
      <c r="C417" s="1" t="n">
        <v>45829</v>
      </c>
      <c r="D417" t="inlineStr">
        <is>
          <t>ÖREBRO LÄN</t>
        </is>
      </c>
      <c r="E417" t="inlineStr">
        <is>
          <t>HÄLLEFORS</t>
        </is>
      </c>
      <c r="G417" t="n">
        <v>3.3</v>
      </c>
      <c r="H417" t="n">
        <v>0</v>
      </c>
      <c r="I417" t="n">
        <v>0</v>
      </c>
      <c r="J417" t="n">
        <v>0</v>
      </c>
      <c r="K417" t="n">
        <v>0</v>
      </c>
      <c r="L417" t="n">
        <v>0</v>
      </c>
      <c r="M417" t="n">
        <v>0</v>
      </c>
      <c r="N417" t="n">
        <v>0</v>
      </c>
      <c r="O417" t="n">
        <v>0</v>
      </c>
      <c r="P417" t="n">
        <v>0</v>
      </c>
      <c r="Q417" t="n">
        <v>0</v>
      </c>
      <c r="R417" s="2" t="inlineStr"/>
    </row>
    <row r="418" ht="15" customHeight="1">
      <c r="A418" t="inlineStr">
        <is>
          <t>A 24361-2023</t>
        </is>
      </c>
      <c r="B418" s="1" t="n">
        <v>45082</v>
      </c>
      <c r="C418" s="1" t="n">
        <v>45829</v>
      </c>
      <c r="D418" t="inlineStr">
        <is>
          <t>ÖREBRO LÄN</t>
        </is>
      </c>
      <c r="E418" t="inlineStr">
        <is>
          <t>HÄLLEFORS</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24359-2023</t>
        </is>
      </c>
      <c r="B419" s="1" t="n">
        <v>45082</v>
      </c>
      <c r="C419" s="1" t="n">
        <v>45829</v>
      </c>
      <c r="D419" t="inlineStr">
        <is>
          <t>ÖREBRO LÄN</t>
        </is>
      </c>
      <c r="E419" t="inlineStr">
        <is>
          <t>HÄLLEFORS</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24564-2023</t>
        </is>
      </c>
      <c r="B420" s="1" t="n">
        <v>45083</v>
      </c>
      <c r="C420" s="1" t="n">
        <v>45829</v>
      </c>
      <c r="D420" t="inlineStr">
        <is>
          <t>ÖREBRO LÄN</t>
        </is>
      </c>
      <c r="E420" t="inlineStr">
        <is>
          <t>HÄLLEFORS</t>
        </is>
      </c>
      <c r="G420" t="n">
        <v>3.1</v>
      </c>
      <c r="H420" t="n">
        <v>0</v>
      </c>
      <c r="I420" t="n">
        <v>0</v>
      </c>
      <c r="J420" t="n">
        <v>0</v>
      </c>
      <c r="K420" t="n">
        <v>0</v>
      </c>
      <c r="L420" t="n">
        <v>0</v>
      </c>
      <c r="M420" t="n">
        <v>0</v>
      </c>
      <c r="N420" t="n">
        <v>0</v>
      </c>
      <c r="O420" t="n">
        <v>0</v>
      </c>
      <c r="P420" t="n">
        <v>0</v>
      </c>
      <c r="Q420" t="n">
        <v>0</v>
      </c>
      <c r="R420" s="2" t="inlineStr"/>
    </row>
    <row r="421" ht="15" customHeight="1">
      <c r="A421" t="inlineStr">
        <is>
          <t>A 25695-2023</t>
        </is>
      </c>
      <c r="B421" s="1" t="n">
        <v>45089</v>
      </c>
      <c r="C421" s="1" t="n">
        <v>45829</v>
      </c>
      <c r="D421" t="inlineStr">
        <is>
          <t>ÖREBRO LÄN</t>
        </is>
      </c>
      <c r="E421" t="inlineStr">
        <is>
          <t>HÄLLEFORS</t>
        </is>
      </c>
      <c r="G421" t="n">
        <v>12.8</v>
      </c>
      <c r="H421" t="n">
        <v>0</v>
      </c>
      <c r="I421" t="n">
        <v>0</v>
      </c>
      <c r="J421" t="n">
        <v>0</v>
      </c>
      <c r="K421" t="n">
        <v>0</v>
      </c>
      <c r="L421" t="n">
        <v>0</v>
      </c>
      <c r="M421" t="n">
        <v>0</v>
      </c>
      <c r="N421" t="n">
        <v>0</v>
      </c>
      <c r="O421" t="n">
        <v>0</v>
      </c>
      <c r="P421" t="n">
        <v>0</v>
      </c>
      <c r="Q421" t="n">
        <v>0</v>
      </c>
      <c r="R421" s="2" t="inlineStr"/>
    </row>
    <row r="422" ht="15" customHeight="1">
      <c r="A422" t="inlineStr">
        <is>
          <t>A 26070-2023</t>
        </is>
      </c>
      <c r="B422" s="1" t="n">
        <v>45091</v>
      </c>
      <c r="C422" s="1" t="n">
        <v>45829</v>
      </c>
      <c r="D422" t="inlineStr">
        <is>
          <t>ÖREBRO LÄN</t>
        </is>
      </c>
      <c r="E422" t="inlineStr">
        <is>
          <t>HÄLLEFORS</t>
        </is>
      </c>
      <c r="F422" t="inlineStr">
        <is>
          <t>Bergvik skog väst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27935-2023</t>
        </is>
      </c>
      <c r="B423" s="1" t="n">
        <v>45098</v>
      </c>
      <c r="C423" s="1" t="n">
        <v>45829</v>
      </c>
      <c r="D423" t="inlineStr">
        <is>
          <t>ÖREBRO LÄN</t>
        </is>
      </c>
      <c r="E423" t="inlineStr">
        <is>
          <t>HÄLLEFORS</t>
        </is>
      </c>
      <c r="G423" t="n">
        <v>1.1</v>
      </c>
      <c r="H423" t="n">
        <v>0</v>
      </c>
      <c r="I423" t="n">
        <v>0</v>
      </c>
      <c r="J423" t="n">
        <v>0</v>
      </c>
      <c r="K423" t="n">
        <v>0</v>
      </c>
      <c r="L423" t="n">
        <v>0</v>
      </c>
      <c r="M423" t="n">
        <v>0</v>
      </c>
      <c r="N423" t="n">
        <v>0</v>
      </c>
      <c r="O423" t="n">
        <v>0</v>
      </c>
      <c r="P423" t="n">
        <v>0</v>
      </c>
      <c r="Q423" t="n">
        <v>0</v>
      </c>
      <c r="R423" s="2" t="inlineStr"/>
    </row>
    <row r="424" ht="15" customHeight="1">
      <c r="A424" t="inlineStr">
        <is>
          <t>A 27949-2023</t>
        </is>
      </c>
      <c r="B424" s="1" t="n">
        <v>45098</v>
      </c>
      <c r="C424" s="1" t="n">
        <v>45829</v>
      </c>
      <c r="D424" t="inlineStr">
        <is>
          <t>ÖREBRO LÄN</t>
        </is>
      </c>
      <c r="E424" t="inlineStr">
        <is>
          <t>HÄLLEFORS</t>
        </is>
      </c>
      <c r="G424" t="n">
        <v>2.8</v>
      </c>
      <c r="H424" t="n">
        <v>0</v>
      </c>
      <c r="I424" t="n">
        <v>0</v>
      </c>
      <c r="J424" t="n">
        <v>0</v>
      </c>
      <c r="K424" t="n">
        <v>0</v>
      </c>
      <c r="L424" t="n">
        <v>0</v>
      </c>
      <c r="M424" t="n">
        <v>0</v>
      </c>
      <c r="N424" t="n">
        <v>0</v>
      </c>
      <c r="O424" t="n">
        <v>0</v>
      </c>
      <c r="P424" t="n">
        <v>0</v>
      </c>
      <c r="Q424" t="n">
        <v>0</v>
      </c>
      <c r="R424" s="2" t="inlineStr"/>
    </row>
    <row r="425" ht="15" customHeight="1">
      <c r="A425" t="inlineStr">
        <is>
          <t>A 30282-2023</t>
        </is>
      </c>
      <c r="B425" s="1" t="n">
        <v>45110</v>
      </c>
      <c r="C425" s="1" t="n">
        <v>45829</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30865-2023</t>
        </is>
      </c>
      <c r="B426" s="1" t="n">
        <v>45113</v>
      </c>
      <c r="C426" s="1" t="n">
        <v>45829</v>
      </c>
      <c r="D426" t="inlineStr">
        <is>
          <t>ÖREBRO LÄN</t>
        </is>
      </c>
      <c r="E426" t="inlineStr">
        <is>
          <t>HÄLLEFORS</t>
        </is>
      </c>
      <c r="G426" t="n">
        <v>4.5</v>
      </c>
      <c r="H426" t="n">
        <v>0</v>
      </c>
      <c r="I426" t="n">
        <v>0</v>
      </c>
      <c r="J426" t="n">
        <v>0</v>
      </c>
      <c r="K426" t="n">
        <v>0</v>
      </c>
      <c r="L426" t="n">
        <v>0</v>
      </c>
      <c r="M426" t="n">
        <v>0</v>
      </c>
      <c r="N426" t="n">
        <v>0</v>
      </c>
      <c r="O426" t="n">
        <v>0</v>
      </c>
      <c r="P426" t="n">
        <v>0</v>
      </c>
      <c r="Q426" t="n">
        <v>0</v>
      </c>
      <c r="R426" s="2" t="inlineStr"/>
    </row>
    <row r="427" ht="15" customHeight="1">
      <c r="A427" t="inlineStr">
        <is>
          <t>A 33098-2023</t>
        </is>
      </c>
      <c r="B427" s="1" t="n">
        <v>45126</v>
      </c>
      <c r="C427" s="1" t="n">
        <v>45829</v>
      </c>
      <c r="D427" t="inlineStr">
        <is>
          <t>ÖREBRO LÄN</t>
        </is>
      </c>
      <c r="E427" t="inlineStr">
        <is>
          <t>HÄLLEFORS</t>
        </is>
      </c>
      <c r="G427" t="n">
        <v>1.2</v>
      </c>
      <c r="H427" t="n">
        <v>0</v>
      </c>
      <c r="I427" t="n">
        <v>0</v>
      </c>
      <c r="J427" t="n">
        <v>0</v>
      </c>
      <c r="K427" t="n">
        <v>0</v>
      </c>
      <c r="L427" t="n">
        <v>0</v>
      </c>
      <c r="M427" t="n">
        <v>0</v>
      </c>
      <c r="N427" t="n">
        <v>0</v>
      </c>
      <c r="O427" t="n">
        <v>0</v>
      </c>
      <c r="P427" t="n">
        <v>0</v>
      </c>
      <c r="Q427" t="n">
        <v>0</v>
      </c>
      <c r="R427" s="2" t="inlineStr"/>
    </row>
    <row r="428" ht="15" customHeight="1">
      <c r="A428" t="inlineStr">
        <is>
          <t>A 33608-2023</t>
        </is>
      </c>
      <c r="B428" s="1" t="n">
        <v>45132</v>
      </c>
      <c r="C428" s="1" t="n">
        <v>45829</v>
      </c>
      <c r="D428" t="inlineStr">
        <is>
          <t>ÖREBRO LÄN</t>
        </is>
      </c>
      <c r="E428" t="inlineStr">
        <is>
          <t>HÄLLEFORS</t>
        </is>
      </c>
      <c r="G428" t="n">
        <v>3.2</v>
      </c>
      <c r="H428" t="n">
        <v>0</v>
      </c>
      <c r="I428" t="n">
        <v>0</v>
      </c>
      <c r="J428" t="n">
        <v>0</v>
      </c>
      <c r="K428" t="n">
        <v>0</v>
      </c>
      <c r="L428" t="n">
        <v>0</v>
      </c>
      <c r="M428" t="n">
        <v>0</v>
      </c>
      <c r="N428" t="n">
        <v>0</v>
      </c>
      <c r="O428" t="n">
        <v>0</v>
      </c>
      <c r="P428" t="n">
        <v>0</v>
      </c>
      <c r="Q428" t="n">
        <v>0</v>
      </c>
      <c r="R428" s="2" t="inlineStr"/>
    </row>
    <row r="429" ht="15" customHeight="1">
      <c r="A429" t="inlineStr">
        <is>
          <t>A 34271-2023</t>
        </is>
      </c>
      <c r="B429" s="1" t="n">
        <v>45138</v>
      </c>
      <c r="C429" s="1" t="n">
        <v>45829</v>
      </c>
      <c r="D429" t="inlineStr">
        <is>
          <t>ÖREBRO LÄN</t>
        </is>
      </c>
      <c r="E429" t="inlineStr">
        <is>
          <t>HÄLLEFORS</t>
        </is>
      </c>
      <c r="G429" t="n">
        <v>1.6</v>
      </c>
      <c r="H429" t="n">
        <v>0</v>
      </c>
      <c r="I429" t="n">
        <v>0</v>
      </c>
      <c r="J429" t="n">
        <v>0</v>
      </c>
      <c r="K429" t="n">
        <v>0</v>
      </c>
      <c r="L429" t="n">
        <v>0</v>
      </c>
      <c r="M429" t="n">
        <v>0</v>
      </c>
      <c r="N429" t="n">
        <v>0</v>
      </c>
      <c r="O429" t="n">
        <v>0</v>
      </c>
      <c r="P429" t="n">
        <v>0</v>
      </c>
      <c r="Q429" t="n">
        <v>0</v>
      </c>
      <c r="R429" s="2" t="inlineStr"/>
    </row>
    <row r="430" ht="15" customHeight="1">
      <c r="A430" t="inlineStr">
        <is>
          <t>A 35083-2023</t>
        </is>
      </c>
      <c r="B430" s="1" t="n">
        <v>45145</v>
      </c>
      <c r="C430" s="1" t="n">
        <v>45829</v>
      </c>
      <c r="D430" t="inlineStr">
        <is>
          <t>ÖREBRO LÄN</t>
        </is>
      </c>
      <c r="E430" t="inlineStr">
        <is>
          <t>HÄLLEFORS</t>
        </is>
      </c>
      <c r="F430" t="inlineStr">
        <is>
          <t>Bergvik skog väst AB</t>
        </is>
      </c>
      <c r="G430" t="n">
        <v>7.6</v>
      </c>
      <c r="H430" t="n">
        <v>0</v>
      </c>
      <c r="I430" t="n">
        <v>0</v>
      </c>
      <c r="J430" t="n">
        <v>0</v>
      </c>
      <c r="K430" t="n">
        <v>0</v>
      </c>
      <c r="L430" t="n">
        <v>0</v>
      </c>
      <c r="M430" t="n">
        <v>0</v>
      </c>
      <c r="N430" t="n">
        <v>0</v>
      </c>
      <c r="O430" t="n">
        <v>0</v>
      </c>
      <c r="P430" t="n">
        <v>0</v>
      </c>
      <c r="Q430" t="n">
        <v>0</v>
      </c>
      <c r="R430" s="2" t="inlineStr"/>
    </row>
    <row r="431" ht="15" customHeight="1">
      <c r="A431" t="inlineStr">
        <is>
          <t>A 35106-2023</t>
        </is>
      </c>
      <c r="B431" s="1" t="n">
        <v>45145</v>
      </c>
      <c r="C431" s="1" t="n">
        <v>45829</v>
      </c>
      <c r="D431" t="inlineStr">
        <is>
          <t>ÖREBRO LÄN</t>
        </is>
      </c>
      <c r="E431" t="inlineStr">
        <is>
          <t>HÄLLEFORS</t>
        </is>
      </c>
      <c r="F431" t="inlineStr">
        <is>
          <t>Bergvik skog väst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35183-2023</t>
        </is>
      </c>
      <c r="B432" s="1" t="n">
        <v>45145</v>
      </c>
      <c r="C432" s="1" t="n">
        <v>45829</v>
      </c>
      <c r="D432" t="inlineStr">
        <is>
          <t>ÖREBRO LÄN</t>
        </is>
      </c>
      <c r="E432" t="inlineStr">
        <is>
          <t>HÄLLEFORS</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35191-2023</t>
        </is>
      </c>
      <c r="B433" s="1" t="n">
        <v>45145</v>
      </c>
      <c r="C433" s="1" t="n">
        <v>45829</v>
      </c>
      <c r="D433" t="inlineStr">
        <is>
          <t>ÖREBRO LÄN</t>
        </is>
      </c>
      <c r="E433" t="inlineStr">
        <is>
          <t>HÄLLEFORS</t>
        </is>
      </c>
      <c r="F433" t="inlineStr">
        <is>
          <t>Bergvik skog väst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35188-2023</t>
        </is>
      </c>
      <c r="B434" s="1" t="n">
        <v>45145</v>
      </c>
      <c r="C434" s="1" t="n">
        <v>45829</v>
      </c>
      <c r="D434" t="inlineStr">
        <is>
          <t>ÖREBRO LÄN</t>
        </is>
      </c>
      <c r="E434" t="inlineStr">
        <is>
          <t>HÄLLEFORS</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35064-2023</t>
        </is>
      </c>
      <c r="B435" s="1" t="n">
        <v>45145</v>
      </c>
      <c r="C435" s="1" t="n">
        <v>45829</v>
      </c>
      <c r="D435" t="inlineStr">
        <is>
          <t>ÖREBRO LÄN</t>
        </is>
      </c>
      <c r="E435" t="inlineStr">
        <is>
          <t>HÄLLEFORS</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35723-2023</t>
        </is>
      </c>
      <c r="B436" s="1" t="n">
        <v>45147</v>
      </c>
      <c r="C436" s="1" t="n">
        <v>45829</v>
      </c>
      <c r="D436" t="inlineStr">
        <is>
          <t>ÖREBRO LÄN</t>
        </is>
      </c>
      <c r="E436" t="inlineStr">
        <is>
          <t>HÄLLEFORS</t>
        </is>
      </c>
      <c r="G436" t="n">
        <v>5</v>
      </c>
      <c r="H436" t="n">
        <v>0</v>
      </c>
      <c r="I436" t="n">
        <v>0</v>
      </c>
      <c r="J436" t="n">
        <v>0</v>
      </c>
      <c r="K436" t="n">
        <v>0</v>
      </c>
      <c r="L436" t="n">
        <v>0</v>
      </c>
      <c r="M436" t="n">
        <v>0</v>
      </c>
      <c r="N436" t="n">
        <v>0</v>
      </c>
      <c r="O436" t="n">
        <v>0</v>
      </c>
      <c r="P436" t="n">
        <v>0</v>
      </c>
      <c r="Q436" t="n">
        <v>0</v>
      </c>
      <c r="R436" s="2" t="inlineStr"/>
    </row>
    <row r="437" ht="15" customHeight="1">
      <c r="A437" t="inlineStr">
        <is>
          <t>A 36453-2023</t>
        </is>
      </c>
      <c r="B437" s="1" t="n">
        <v>45152</v>
      </c>
      <c r="C437" s="1" t="n">
        <v>45829</v>
      </c>
      <c r="D437" t="inlineStr">
        <is>
          <t>ÖREBRO LÄN</t>
        </is>
      </c>
      <c r="E437" t="inlineStr">
        <is>
          <t>HÄLLEFORS</t>
        </is>
      </c>
      <c r="G437" t="n">
        <v>7.4</v>
      </c>
      <c r="H437" t="n">
        <v>0</v>
      </c>
      <c r="I437" t="n">
        <v>0</v>
      </c>
      <c r="J437" t="n">
        <v>0</v>
      </c>
      <c r="K437" t="n">
        <v>0</v>
      </c>
      <c r="L437" t="n">
        <v>0</v>
      </c>
      <c r="M437" t="n">
        <v>0</v>
      </c>
      <c r="N437" t="n">
        <v>0</v>
      </c>
      <c r="O437" t="n">
        <v>0</v>
      </c>
      <c r="P437" t="n">
        <v>0</v>
      </c>
      <c r="Q437" t="n">
        <v>0</v>
      </c>
      <c r="R437" s="2" t="inlineStr"/>
    </row>
    <row r="438" ht="15" customHeight="1">
      <c r="A438" t="inlineStr">
        <is>
          <t>A 37321-2023</t>
        </is>
      </c>
      <c r="B438" s="1" t="n">
        <v>45156</v>
      </c>
      <c r="C438" s="1" t="n">
        <v>45829</v>
      </c>
      <c r="D438" t="inlineStr">
        <is>
          <t>ÖREBRO LÄN</t>
        </is>
      </c>
      <c r="E438" t="inlineStr">
        <is>
          <t>HÄLLEFORS</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38403-2023</t>
        </is>
      </c>
      <c r="B439" s="1" t="n">
        <v>45162</v>
      </c>
      <c r="C439" s="1" t="n">
        <v>45829</v>
      </c>
      <c r="D439" t="inlineStr">
        <is>
          <t>ÖREBRO LÄN</t>
        </is>
      </c>
      <c r="E439" t="inlineStr">
        <is>
          <t>HÄLLEFORS</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38429-2023</t>
        </is>
      </c>
      <c r="B440" s="1" t="n">
        <v>45162</v>
      </c>
      <c r="C440" s="1" t="n">
        <v>45829</v>
      </c>
      <c r="D440" t="inlineStr">
        <is>
          <t>ÖREBRO LÄN</t>
        </is>
      </c>
      <c r="E440" t="inlineStr">
        <is>
          <t>HÄLLEFORS</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38402-2023</t>
        </is>
      </c>
      <c r="B441" s="1" t="n">
        <v>45162</v>
      </c>
      <c r="C441" s="1" t="n">
        <v>45829</v>
      </c>
      <c r="D441" t="inlineStr">
        <is>
          <t>ÖREBRO LÄN</t>
        </is>
      </c>
      <c r="E441" t="inlineStr">
        <is>
          <t>HÄLLEFORS</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39183-2023</t>
        </is>
      </c>
      <c r="B442" s="1" t="n">
        <v>45166</v>
      </c>
      <c r="C442" s="1" t="n">
        <v>45829</v>
      </c>
      <c r="D442" t="inlineStr">
        <is>
          <t>ÖREBRO LÄN</t>
        </is>
      </c>
      <c r="E442" t="inlineStr">
        <is>
          <t>HÄLLEFORS</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39167-2023</t>
        </is>
      </c>
      <c r="B443" s="1" t="n">
        <v>45166</v>
      </c>
      <c r="C443" s="1" t="n">
        <v>45829</v>
      </c>
      <c r="D443" t="inlineStr">
        <is>
          <t>ÖREBRO LÄN</t>
        </is>
      </c>
      <c r="E443" t="inlineStr">
        <is>
          <t>HÄLLEFORS</t>
        </is>
      </c>
      <c r="F443" t="inlineStr">
        <is>
          <t>Bergvik skog väst AB</t>
        </is>
      </c>
      <c r="G443" t="n">
        <v>4.2</v>
      </c>
      <c r="H443" t="n">
        <v>0</v>
      </c>
      <c r="I443" t="n">
        <v>0</v>
      </c>
      <c r="J443" t="n">
        <v>0</v>
      </c>
      <c r="K443" t="n">
        <v>0</v>
      </c>
      <c r="L443" t="n">
        <v>0</v>
      </c>
      <c r="M443" t="n">
        <v>0</v>
      </c>
      <c r="N443" t="n">
        <v>0</v>
      </c>
      <c r="O443" t="n">
        <v>0</v>
      </c>
      <c r="P443" t="n">
        <v>0</v>
      </c>
      <c r="Q443" t="n">
        <v>0</v>
      </c>
      <c r="R443" s="2" t="inlineStr"/>
    </row>
    <row r="444" ht="15" customHeight="1">
      <c r="A444" t="inlineStr">
        <is>
          <t>A 39195-2023</t>
        </is>
      </c>
      <c r="B444" s="1" t="n">
        <v>45166</v>
      </c>
      <c r="C444" s="1" t="n">
        <v>45829</v>
      </c>
      <c r="D444" t="inlineStr">
        <is>
          <t>ÖREBRO LÄN</t>
        </is>
      </c>
      <c r="E444" t="inlineStr">
        <is>
          <t>HÄLLEFORS</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39205-2023</t>
        </is>
      </c>
      <c r="B445" s="1" t="n">
        <v>45166</v>
      </c>
      <c r="C445" s="1" t="n">
        <v>45829</v>
      </c>
      <c r="D445" t="inlineStr">
        <is>
          <t>ÖREBRO LÄN</t>
        </is>
      </c>
      <c r="E445" t="inlineStr">
        <is>
          <t>HÄLLEFORS</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39451-2023</t>
        </is>
      </c>
      <c r="B446" s="1" t="n">
        <v>45166</v>
      </c>
      <c r="C446" s="1" t="n">
        <v>45829</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39864-2023</t>
        </is>
      </c>
      <c r="B447" s="1" t="n">
        <v>45168</v>
      </c>
      <c r="C447" s="1" t="n">
        <v>45829</v>
      </c>
      <c r="D447" t="inlineStr">
        <is>
          <t>ÖREBRO LÄN</t>
        </is>
      </c>
      <c r="E447" t="inlineStr">
        <is>
          <t>HÄLLEFORS</t>
        </is>
      </c>
      <c r="F447" t="inlineStr">
        <is>
          <t>Bergvik skog väst AB</t>
        </is>
      </c>
      <c r="G447" t="n">
        <v>18.1</v>
      </c>
      <c r="H447" t="n">
        <v>0</v>
      </c>
      <c r="I447" t="n">
        <v>0</v>
      </c>
      <c r="J447" t="n">
        <v>0</v>
      </c>
      <c r="K447" t="n">
        <v>0</v>
      </c>
      <c r="L447" t="n">
        <v>0</v>
      </c>
      <c r="M447" t="n">
        <v>0</v>
      </c>
      <c r="N447" t="n">
        <v>0</v>
      </c>
      <c r="O447" t="n">
        <v>0</v>
      </c>
      <c r="P447" t="n">
        <v>0</v>
      </c>
      <c r="Q447" t="n">
        <v>0</v>
      </c>
      <c r="R447" s="2" t="inlineStr"/>
    </row>
    <row r="448" ht="15" customHeight="1">
      <c r="A448" t="inlineStr">
        <is>
          <t>A 39869-2023</t>
        </is>
      </c>
      <c r="B448" s="1" t="n">
        <v>45168</v>
      </c>
      <c r="C448" s="1" t="n">
        <v>45829</v>
      </c>
      <c r="D448" t="inlineStr">
        <is>
          <t>ÖREBRO LÄN</t>
        </is>
      </c>
      <c r="E448" t="inlineStr">
        <is>
          <t>HÄLLEFORS</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40167-2023</t>
        </is>
      </c>
      <c r="B449" s="1" t="n">
        <v>45169</v>
      </c>
      <c r="C449" s="1" t="n">
        <v>45829</v>
      </c>
      <c r="D449" t="inlineStr">
        <is>
          <t>ÖREBRO LÄN</t>
        </is>
      </c>
      <c r="E449" t="inlineStr">
        <is>
          <t>HÄLLEFORS</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40820-2023</t>
        </is>
      </c>
      <c r="B450" s="1" t="n">
        <v>45171</v>
      </c>
      <c r="C450" s="1" t="n">
        <v>45829</v>
      </c>
      <c r="D450" t="inlineStr">
        <is>
          <t>ÖREBRO LÄN</t>
        </is>
      </c>
      <c r="E450" t="inlineStr">
        <is>
          <t>HÄLLEFORS</t>
        </is>
      </c>
      <c r="G450" t="n">
        <v>1.7</v>
      </c>
      <c r="H450" t="n">
        <v>0</v>
      </c>
      <c r="I450" t="n">
        <v>0</v>
      </c>
      <c r="J450" t="n">
        <v>0</v>
      </c>
      <c r="K450" t="n">
        <v>0</v>
      </c>
      <c r="L450" t="n">
        <v>0</v>
      </c>
      <c r="M450" t="n">
        <v>0</v>
      </c>
      <c r="N450" t="n">
        <v>0</v>
      </c>
      <c r="O450" t="n">
        <v>0</v>
      </c>
      <c r="P450" t="n">
        <v>0</v>
      </c>
      <c r="Q450" t="n">
        <v>0</v>
      </c>
      <c r="R450" s="2" t="inlineStr"/>
    </row>
    <row r="451" ht="15" customHeight="1">
      <c r="A451" t="inlineStr">
        <is>
          <t>A 40917-2023</t>
        </is>
      </c>
      <c r="B451" s="1" t="n">
        <v>45173</v>
      </c>
      <c r="C451" s="1" t="n">
        <v>45829</v>
      </c>
      <c r="D451" t="inlineStr">
        <is>
          <t>ÖREBRO LÄN</t>
        </is>
      </c>
      <c r="E451" t="inlineStr">
        <is>
          <t>HÄLLEFORS</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41193-2023</t>
        </is>
      </c>
      <c r="B452" s="1" t="n">
        <v>45174</v>
      </c>
      <c r="C452" s="1" t="n">
        <v>45829</v>
      </c>
      <c r="D452" t="inlineStr">
        <is>
          <t>ÖREBRO LÄN</t>
        </is>
      </c>
      <c r="E452" t="inlineStr">
        <is>
          <t>HÄLLEFORS</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41205-2023</t>
        </is>
      </c>
      <c r="B453" s="1" t="n">
        <v>45174</v>
      </c>
      <c r="C453" s="1" t="n">
        <v>45829</v>
      </c>
      <c r="D453" t="inlineStr">
        <is>
          <t>ÖREBRO LÄN</t>
        </is>
      </c>
      <c r="E453" t="inlineStr">
        <is>
          <t>HÄLLEFORS</t>
        </is>
      </c>
      <c r="G453" t="n">
        <v>4</v>
      </c>
      <c r="H453" t="n">
        <v>0</v>
      </c>
      <c r="I453" t="n">
        <v>0</v>
      </c>
      <c r="J453" t="n">
        <v>0</v>
      </c>
      <c r="K453" t="n">
        <v>0</v>
      </c>
      <c r="L453" t="n">
        <v>0</v>
      </c>
      <c r="M453" t="n">
        <v>0</v>
      </c>
      <c r="N453" t="n">
        <v>0</v>
      </c>
      <c r="O453" t="n">
        <v>0</v>
      </c>
      <c r="P453" t="n">
        <v>0</v>
      </c>
      <c r="Q453" t="n">
        <v>0</v>
      </c>
      <c r="R453" s="2" t="inlineStr"/>
    </row>
    <row r="454" ht="15" customHeight="1">
      <c r="A454" t="inlineStr">
        <is>
          <t>A 41621-2023</t>
        </is>
      </c>
      <c r="B454" s="1" t="n">
        <v>45175</v>
      </c>
      <c r="C454" s="1" t="n">
        <v>45829</v>
      </c>
      <c r="D454" t="inlineStr">
        <is>
          <t>ÖREBRO LÄN</t>
        </is>
      </c>
      <c r="E454" t="inlineStr">
        <is>
          <t>HÄLLEFORS</t>
        </is>
      </c>
      <c r="F454" t="inlineStr">
        <is>
          <t>Kyrkan</t>
        </is>
      </c>
      <c r="G454" t="n">
        <v>6.4</v>
      </c>
      <c r="H454" t="n">
        <v>0</v>
      </c>
      <c r="I454" t="n">
        <v>0</v>
      </c>
      <c r="J454" t="n">
        <v>0</v>
      </c>
      <c r="K454" t="n">
        <v>0</v>
      </c>
      <c r="L454" t="n">
        <v>0</v>
      </c>
      <c r="M454" t="n">
        <v>0</v>
      </c>
      <c r="N454" t="n">
        <v>0</v>
      </c>
      <c r="O454" t="n">
        <v>0</v>
      </c>
      <c r="P454" t="n">
        <v>0</v>
      </c>
      <c r="Q454" t="n">
        <v>0</v>
      </c>
      <c r="R454" s="2" t="inlineStr"/>
    </row>
    <row r="455" ht="15" customHeight="1">
      <c r="A455" t="inlineStr">
        <is>
          <t>A 41809-2023</t>
        </is>
      </c>
      <c r="B455" s="1" t="n">
        <v>45176</v>
      </c>
      <c r="C455" s="1" t="n">
        <v>45829</v>
      </c>
      <c r="D455" t="inlineStr">
        <is>
          <t>ÖREBRO LÄN</t>
        </is>
      </c>
      <c r="E455" t="inlineStr">
        <is>
          <t>HÄLLEFORS</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41898-2023</t>
        </is>
      </c>
      <c r="B456" s="1" t="n">
        <v>45176</v>
      </c>
      <c r="C456" s="1" t="n">
        <v>45829</v>
      </c>
      <c r="D456" t="inlineStr">
        <is>
          <t>ÖREBRO LÄN</t>
        </is>
      </c>
      <c r="E456" t="inlineStr">
        <is>
          <t>HÄLLEFORS</t>
        </is>
      </c>
      <c r="G456" t="n">
        <v>4</v>
      </c>
      <c r="H456" t="n">
        <v>0</v>
      </c>
      <c r="I456" t="n">
        <v>0</v>
      </c>
      <c r="J456" t="n">
        <v>0</v>
      </c>
      <c r="K456" t="n">
        <v>0</v>
      </c>
      <c r="L456" t="n">
        <v>0</v>
      </c>
      <c r="M456" t="n">
        <v>0</v>
      </c>
      <c r="N456" t="n">
        <v>0</v>
      </c>
      <c r="O456" t="n">
        <v>0</v>
      </c>
      <c r="P456" t="n">
        <v>0</v>
      </c>
      <c r="Q456" t="n">
        <v>0</v>
      </c>
      <c r="R456" s="2" t="inlineStr"/>
    </row>
    <row r="457" ht="15" customHeight="1">
      <c r="A457" t="inlineStr">
        <is>
          <t>A 41810-2023</t>
        </is>
      </c>
      <c r="B457" s="1" t="n">
        <v>45176</v>
      </c>
      <c r="C457" s="1" t="n">
        <v>45829</v>
      </c>
      <c r="D457" t="inlineStr">
        <is>
          <t>ÖREBRO LÄN</t>
        </is>
      </c>
      <c r="E457" t="inlineStr">
        <is>
          <t>HÄLLEFORS</t>
        </is>
      </c>
      <c r="F457" t="inlineStr">
        <is>
          <t>Bergvik skog väst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41755-2023</t>
        </is>
      </c>
      <c r="B458" s="1" t="n">
        <v>45176</v>
      </c>
      <c r="C458" s="1" t="n">
        <v>45829</v>
      </c>
      <c r="D458" t="inlineStr">
        <is>
          <t>ÖREBRO LÄN</t>
        </is>
      </c>
      <c r="E458" t="inlineStr">
        <is>
          <t>HÄLLEFORS</t>
        </is>
      </c>
      <c r="F458" t="inlineStr">
        <is>
          <t>Bergvik skog väst AB</t>
        </is>
      </c>
      <c r="G458" t="n">
        <v>11.4</v>
      </c>
      <c r="H458" t="n">
        <v>0</v>
      </c>
      <c r="I458" t="n">
        <v>0</v>
      </c>
      <c r="J458" t="n">
        <v>0</v>
      </c>
      <c r="K458" t="n">
        <v>0</v>
      </c>
      <c r="L458" t="n">
        <v>0</v>
      </c>
      <c r="M458" t="n">
        <v>0</v>
      </c>
      <c r="N458" t="n">
        <v>0</v>
      </c>
      <c r="O458" t="n">
        <v>0</v>
      </c>
      <c r="P458" t="n">
        <v>0</v>
      </c>
      <c r="Q458" t="n">
        <v>0</v>
      </c>
      <c r="R458" s="2" t="inlineStr"/>
    </row>
    <row r="459" ht="15" customHeight="1">
      <c r="A459" t="inlineStr">
        <is>
          <t>A 41811-2023</t>
        </is>
      </c>
      <c r="B459" s="1" t="n">
        <v>45176</v>
      </c>
      <c r="C459" s="1" t="n">
        <v>45829</v>
      </c>
      <c r="D459" t="inlineStr">
        <is>
          <t>ÖREBRO LÄN</t>
        </is>
      </c>
      <c r="E459" t="inlineStr">
        <is>
          <t>HÄLLEFORS</t>
        </is>
      </c>
      <c r="F459" t="inlineStr">
        <is>
          <t>Bergvik skog väst AB</t>
        </is>
      </c>
      <c r="G459" t="n">
        <v>4.9</v>
      </c>
      <c r="H459" t="n">
        <v>0</v>
      </c>
      <c r="I459" t="n">
        <v>0</v>
      </c>
      <c r="J459" t="n">
        <v>0</v>
      </c>
      <c r="K459" t="n">
        <v>0</v>
      </c>
      <c r="L459" t="n">
        <v>0</v>
      </c>
      <c r="M459" t="n">
        <v>0</v>
      </c>
      <c r="N459" t="n">
        <v>0</v>
      </c>
      <c r="O459" t="n">
        <v>0</v>
      </c>
      <c r="P459" t="n">
        <v>0</v>
      </c>
      <c r="Q459" t="n">
        <v>0</v>
      </c>
      <c r="R459" s="2" t="inlineStr"/>
    </row>
    <row r="460" ht="15" customHeight="1">
      <c r="A460" t="inlineStr">
        <is>
          <t>A 41822-2023</t>
        </is>
      </c>
      <c r="B460" s="1" t="n">
        <v>45176</v>
      </c>
      <c r="C460" s="1" t="n">
        <v>45829</v>
      </c>
      <c r="D460" t="inlineStr">
        <is>
          <t>ÖREBRO LÄN</t>
        </is>
      </c>
      <c r="E460" t="inlineStr">
        <is>
          <t>HÄLLEFORS</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42266-2023</t>
        </is>
      </c>
      <c r="B461" s="1" t="n">
        <v>45180</v>
      </c>
      <c r="C461" s="1" t="n">
        <v>45829</v>
      </c>
      <c r="D461" t="inlineStr">
        <is>
          <t>ÖREBRO LÄN</t>
        </is>
      </c>
      <c r="E461" t="inlineStr">
        <is>
          <t>HÄLLEFORS</t>
        </is>
      </c>
      <c r="G461" t="n">
        <v>0.7</v>
      </c>
      <c r="H461" t="n">
        <v>0</v>
      </c>
      <c r="I461" t="n">
        <v>0</v>
      </c>
      <c r="J461" t="n">
        <v>0</v>
      </c>
      <c r="K461" t="n">
        <v>0</v>
      </c>
      <c r="L461" t="n">
        <v>0</v>
      </c>
      <c r="M461" t="n">
        <v>0</v>
      </c>
      <c r="N461" t="n">
        <v>0</v>
      </c>
      <c r="O461" t="n">
        <v>0</v>
      </c>
      <c r="P461" t="n">
        <v>0</v>
      </c>
      <c r="Q461" t="n">
        <v>0</v>
      </c>
      <c r="R461" s="2" t="inlineStr"/>
    </row>
    <row r="462" ht="15" customHeight="1">
      <c r="A462" t="inlineStr">
        <is>
          <t>A 43482-2023</t>
        </is>
      </c>
      <c r="B462" s="1" t="n">
        <v>45184</v>
      </c>
      <c r="C462" s="1" t="n">
        <v>45829</v>
      </c>
      <c r="D462" t="inlineStr">
        <is>
          <t>ÖREBRO LÄN</t>
        </is>
      </c>
      <c r="E462" t="inlineStr">
        <is>
          <t>HÄLLEFORS</t>
        </is>
      </c>
      <c r="G462" t="n">
        <v>6.7</v>
      </c>
      <c r="H462" t="n">
        <v>0</v>
      </c>
      <c r="I462" t="n">
        <v>0</v>
      </c>
      <c r="J462" t="n">
        <v>0</v>
      </c>
      <c r="K462" t="n">
        <v>0</v>
      </c>
      <c r="L462" t="n">
        <v>0</v>
      </c>
      <c r="M462" t="n">
        <v>0</v>
      </c>
      <c r="N462" t="n">
        <v>0</v>
      </c>
      <c r="O462" t="n">
        <v>0</v>
      </c>
      <c r="P462" t="n">
        <v>0</v>
      </c>
      <c r="Q462" t="n">
        <v>0</v>
      </c>
      <c r="R462" s="2" t="inlineStr"/>
    </row>
    <row r="463" ht="15" customHeight="1">
      <c r="A463" t="inlineStr">
        <is>
          <t>A 43941-2023</t>
        </is>
      </c>
      <c r="B463" s="1" t="n">
        <v>45187</v>
      </c>
      <c r="C463" s="1" t="n">
        <v>45829</v>
      </c>
      <c r="D463" t="inlineStr">
        <is>
          <t>ÖREBRO LÄN</t>
        </is>
      </c>
      <c r="E463" t="inlineStr">
        <is>
          <t>HÄLLEFORS</t>
        </is>
      </c>
      <c r="G463" t="n">
        <v>1.5</v>
      </c>
      <c r="H463" t="n">
        <v>0</v>
      </c>
      <c r="I463" t="n">
        <v>0</v>
      </c>
      <c r="J463" t="n">
        <v>0</v>
      </c>
      <c r="K463" t="n">
        <v>0</v>
      </c>
      <c r="L463" t="n">
        <v>0</v>
      </c>
      <c r="M463" t="n">
        <v>0</v>
      </c>
      <c r="N463" t="n">
        <v>0</v>
      </c>
      <c r="O463" t="n">
        <v>0</v>
      </c>
      <c r="P463" t="n">
        <v>0</v>
      </c>
      <c r="Q463" t="n">
        <v>0</v>
      </c>
      <c r="R463" s="2" t="inlineStr"/>
    </row>
    <row r="464" ht="15" customHeight="1">
      <c r="A464" t="inlineStr">
        <is>
          <t>A 44796-2023</t>
        </is>
      </c>
      <c r="B464" s="1" t="n">
        <v>45190</v>
      </c>
      <c r="C464" s="1" t="n">
        <v>45829</v>
      </c>
      <c r="D464" t="inlineStr">
        <is>
          <t>ÖREBRO LÄN</t>
        </is>
      </c>
      <c r="E464" t="inlineStr">
        <is>
          <t>HÄLLEFORS</t>
        </is>
      </c>
      <c r="G464" t="n">
        <v>4.6</v>
      </c>
      <c r="H464" t="n">
        <v>0</v>
      </c>
      <c r="I464" t="n">
        <v>0</v>
      </c>
      <c r="J464" t="n">
        <v>0</v>
      </c>
      <c r="K464" t="n">
        <v>0</v>
      </c>
      <c r="L464" t="n">
        <v>0</v>
      </c>
      <c r="M464" t="n">
        <v>0</v>
      </c>
      <c r="N464" t="n">
        <v>0</v>
      </c>
      <c r="O464" t="n">
        <v>0</v>
      </c>
      <c r="P464" t="n">
        <v>0</v>
      </c>
      <c r="Q464" t="n">
        <v>0</v>
      </c>
      <c r="R464" s="2" t="inlineStr"/>
    </row>
    <row r="465" ht="15" customHeight="1">
      <c r="A465" t="inlineStr">
        <is>
          <t>A 45710-2023</t>
        </is>
      </c>
      <c r="B465" s="1" t="n">
        <v>45195</v>
      </c>
      <c r="C465" s="1" t="n">
        <v>45829</v>
      </c>
      <c r="D465" t="inlineStr">
        <is>
          <t>ÖREBRO LÄN</t>
        </is>
      </c>
      <c r="E465" t="inlineStr">
        <is>
          <t>HÄLLEFORS</t>
        </is>
      </c>
      <c r="G465" t="n">
        <v>5.4</v>
      </c>
      <c r="H465" t="n">
        <v>0</v>
      </c>
      <c r="I465" t="n">
        <v>0</v>
      </c>
      <c r="J465" t="n">
        <v>0</v>
      </c>
      <c r="K465" t="n">
        <v>0</v>
      </c>
      <c r="L465" t="n">
        <v>0</v>
      </c>
      <c r="M465" t="n">
        <v>0</v>
      </c>
      <c r="N465" t="n">
        <v>0</v>
      </c>
      <c r="O465" t="n">
        <v>0</v>
      </c>
      <c r="P465" t="n">
        <v>0</v>
      </c>
      <c r="Q465" t="n">
        <v>0</v>
      </c>
      <c r="R465" s="2" t="inlineStr"/>
    </row>
    <row r="466" ht="15" customHeight="1">
      <c r="A466" t="inlineStr">
        <is>
          <t>A 45694-2023</t>
        </is>
      </c>
      <c r="B466" s="1" t="n">
        <v>45195</v>
      </c>
      <c r="C466" s="1" t="n">
        <v>45829</v>
      </c>
      <c r="D466" t="inlineStr">
        <is>
          <t>ÖREBRO LÄN</t>
        </is>
      </c>
      <c r="E466" t="inlineStr">
        <is>
          <t>HÄLLEFORS</t>
        </is>
      </c>
      <c r="G466" t="n">
        <v>10.8</v>
      </c>
      <c r="H466" t="n">
        <v>0</v>
      </c>
      <c r="I466" t="n">
        <v>0</v>
      </c>
      <c r="J466" t="n">
        <v>0</v>
      </c>
      <c r="K466" t="n">
        <v>0</v>
      </c>
      <c r="L466" t="n">
        <v>0</v>
      </c>
      <c r="M466" t="n">
        <v>0</v>
      </c>
      <c r="N466" t="n">
        <v>0</v>
      </c>
      <c r="O466" t="n">
        <v>0</v>
      </c>
      <c r="P466" t="n">
        <v>0</v>
      </c>
      <c r="Q466" t="n">
        <v>0</v>
      </c>
      <c r="R466" s="2" t="inlineStr"/>
    </row>
    <row r="467" ht="15" customHeight="1">
      <c r="A467" t="inlineStr">
        <is>
          <t>A 46980-2023</t>
        </is>
      </c>
      <c r="B467" s="1" t="n">
        <v>45201</v>
      </c>
      <c r="C467" s="1" t="n">
        <v>45829</v>
      </c>
      <c r="D467" t="inlineStr">
        <is>
          <t>ÖREBRO LÄN</t>
        </is>
      </c>
      <c r="E467" t="inlineStr">
        <is>
          <t>HÄLLEFORS</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46997-2023</t>
        </is>
      </c>
      <c r="B468" s="1" t="n">
        <v>45201</v>
      </c>
      <c r="C468" s="1" t="n">
        <v>45829</v>
      </c>
      <c r="D468" t="inlineStr">
        <is>
          <t>ÖREBRO LÄN</t>
        </is>
      </c>
      <c r="E468" t="inlineStr">
        <is>
          <t>HÄLLEFORS</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46987-2023</t>
        </is>
      </c>
      <c r="B469" s="1" t="n">
        <v>45201</v>
      </c>
      <c r="C469" s="1" t="n">
        <v>45829</v>
      </c>
      <c r="D469" t="inlineStr">
        <is>
          <t>ÖREBRO LÄN</t>
        </is>
      </c>
      <c r="E469" t="inlineStr">
        <is>
          <t>HÄLLEFORS</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47007-2023</t>
        </is>
      </c>
      <c r="B470" s="1" t="n">
        <v>45201</v>
      </c>
      <c r="C470" s="1" t="n">
        <v>45829</v>
      </c>
      <c r="D470" t="inlineStr">
        <is>
          <t>ÖREBRO LÄN</t>
        </is>
      </c>
      <c r="E470" t="inlineStr">
        <is>
          <t>HÄLLEFORS</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48645-2023</t>
        </is>
      </c>
      <c r="B471" s="1" t="n">
        <v>45208</v>
      </c>
      <c r="C471" s="1" t="n">
        <v>45829</v>
      </c>
      <c r="D471" t="inlineStr">
        <is>
          <t>ÖREBRO LÄN</t>
        </is>
      </c>
      <c r="E471" t="inlineStr">
        <is>
          <t>HÄLLEFORS</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49709-2023</t>
        </is>
      </c>
      <c r="B472" s="1" t="n">
        <v>45212</v>
      </c>
      <c r="C472" s="1" t="n">
        <v>45829</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50443-2023</t>
        </is>
      </c>
      <c r="B473" s="1" t="n">
        <v>45216</v>
      </c>
      <c r="C473" s="1" t="n">
        <v>45829</v>
      </c>
      <c r="D473" t="inlineStr">
        <is>
          <t>ÖREBRO LÄN</t>
        </is>
      </c>
      <c r="E473" t="inlineStr">
        <is>
          <t>HÄLLEFORS</t>
        </is>
      </c>
      <c r="G473" t="n">
        <v>0.7</v>
      </c>
      <c r="H473" t="n">
        <v>0</v>
      </c>
      <c r="I473" t="n">
        <v>0</v>
      </c>
      <c r="J473" t="n">
        <v>0</v>
      </c>
      <c r="K473" t="n">
        <v>0</v>
      </c>
      <c r="L473" t="n">
        <v>0</v>
      </c>
      <c r="M473" t="n">
        <v>0</v>
      </c>
      <c r="N473" t="n">
        <v>0</v>
      </c>
      <c r="O473" t="n">
        <v>0</v>
      </c>
      <c r="P473" t="n">
        <v>0</v>
      </c>
      <c r="Q473" t="n">
        <v>0</v>
      </c>
      <c r="R473" s="2" t="inlineStr"/>
    </row>
    <row r="474" ht="15" customHeight="1">
      <c r="A474" t="inlineStr">
        <is>
          <t>A 50754-2023</t>
        </is>
      </c>
      <c r="B474" s="1" t="n">
        <v>45217</v>
      </c>
      <c r="C474" s="1" t="n">
        <v>45829</v>
      </c>
      <c r="D474" t="inlineStr">
        <is>
          <t>ÖREBRO LÄN</t>
        </is>
      </c>
      <c r="E474" t="inlineStr">
        <is>
          <t>HÄLLEFORS</t>
        </is>
      </c>
      <c r="F474" t="inlineStr">
        <is>
          <t>Bergvik skog väst AB</t>
        </is>
      </c>
      <c r="G474" t="n">
        <v>5.8</v>
      </c>
      <c r="H474" t="n">
        <v>0</v>
      </c>
      <c r="I474" t="n">
        <v>0</v>
      </c>
      <c r="J474" t="n">
        <v>0</v>
      </c>
      <c r="K474" t="n">
        <v>0</v>
      </c>
      <c r="L474" t="n">
        <v>0</v>
      </c>
      <c r="M474" t="n">
        <v>0</v>
      </c>
      <c r="N474" t="n">
        <v>0</v>
      </c>
      <c r="O474" t="n">
        <v>0</v>
      </c>
      <c r="P474" t="n">
        <v>0</v>
      </c>
      <c r="Q474" t="n">
        <v>0</v>
      </c>
      <c r="R474" s="2" t="inlineStr"/>
    </row>
    <row r="475" ht="15" customHeight="1">
      <c r="A475" t="inlineStr">
        <is>
          <t>A 50864-2023</t>
        </is>
      </c>
      <c r="B475" s="1" t="n">
        <v>45218</v>
      </c>
      <c r="C475" s="1" t="n">
        <v>45829</v>
      </c>
      <c r="D475" t="inlineStr">
        <is>
          <t>ÖREBRO LÄN</t>
        </is>
      </c>
      <c r="E475" t="inlineStr">
        <is>
          <t>HÄLLEFORS</t>
        </is>
      </c>
      <c r="G475" t="n">
        <v>3.7</v>
      </c>
      <c r="H475" t="n">
        <v>0</v>
      </c>
      <c r="I475" t="n">
        <v>0</v>
      </c>
      <c r="J475" t="n">
        <v>0</v>
      </c>
      <c r="K475" t="n">
        <v>0</v>
      </c>
      <c r="L475" t="n">
        <v>0</v>
      </c>
      <c r="M475" t="n">
        <v>0</v>
      </c>
      <c r="N475" t="n">
        <v>0</v>
      </c>
      <c r="O475" t="n">
        <v>0</v>
      </c>
      <c r="P475" t="n">
        <v>0</v>
      </c>
      <c r="Q475" t="n">
        <v>0</v>
      </c>
      <c r="R475" s="2" t="inlineStr"/>
    </row>
    <row r="476" ht="15" customHeight="1">
      <c r="A476" t="inlineStr">
        <is>
          <t>A 51159-2023</t>
        </is>
      </c>
      <c r="B476" s="1" t="n">
        <v>45219</v>
      </c>
      <c r="C476" s="1" t="n">
        <v>45829</v>
      </c>
      <c r="D476" t="inlineStr">
        <is>
          <t>ÖREBRO LÄN</t>
        </is>
      </c>
      <c r="E476" t="inlineStr">
        <is>
          <t>HÄLLEFORS</t>
        </is>
      </c>
      <c r="G476" t="n">
        <v>0.4</v>
      </c>
      <c r="H476" t="n">
        <v>0</v>
      </c>
      <c r="I476" t="n">
        <v>0</v>
      </c>
      <c r="J476" t="n">
        <v>0</v>
      </c>
      <c r="K476" t="n">
        <v>0</v>
      </c>
      <c r="L476" t="n">
        <v>0</v>
      </c>
      <c r="M476" t="n">
        <v>0</v>
      </c>
      <c r="N476" t="n">
        <v>0</v>
      </c>
      <c r="O476" t="n">
        <v>0</v>
      </c>
      <c r="P476" t="n">
        <v>0</v>
      </c>
      <c r="Q476" t="n">
        <v>0</v>
      </c>
      <c r="R476" s="2" t="inlineStr"/>
    </row>
    <row r="477" ht="15" customHeight="1">
      <c r="A477" t="inlineStr">
        <is>
          <t>A 51212-2023</t>
        </is>
      </c>
      <c r="B477" s="1" t="n">
        <v>45219</v>
      </c>
      <c r="C477" s="1" t="n">
        <v>45829</v>
      </c>
      <c r="D477" t="inlineStr">
        <is>
          <t>ÖREBRO LÄN</t>
        </is>
      </c>
      <c r="E477" t="inlineStr">
        <is>
          <t>HÄLLEFORS</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51216-2023</t>
        </is>
      </c>
      <c r="B478" s="1" t="n">
        <v>45219</v>
      </c>
      <c r="C478" s="1" t="n">
        <v>45829</v>
      </c>
      <c r="D478" t="inlineStr">
        <is>
          <t>ÖREBRO LÄN</t>
        </is>
      </c>
      <c r="E478" t="inlineStr">
        <is>
          <t>HÄLLEFORS</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51280-2023</t>
        </is>
      </c>
      <c r="B479" s="1" t="n">
        <v>45219</v>
      </c>
      <c r="C479" s="1" t="n">
        <v>45829</v>
      </c>
      <c r="D479" t="inlineStr">
        <is>
          <t>ÖREBRO LÄN</t>
        </is>
      </c>
      <c r="E479" t="inlineStr">
        <is>
          <t>HÄLLEFORS</t>
        </is>
      </c>
      <c r="F479" t="inlineStr">
        <is>
          <t>Bergvik skog väst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51213-2023</t>
        </is>
      </c>
      <c r="B480" s="1" t="n">
        <v>45219</v>
      </c>
      <c r="C480" s="1" t="n">
        <v>45829</v>
      </c>
      <c r="D480" t="inlineStr">
        <is>
          <t>ÖREBRO LÄN</t>
        </is>
      </c>
      <c r="E480" t="inlineStr">
        <is>
          <t>HÄLLEFORS</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52198-2023</t>
        </is>
      </c>
      <c r="B481" s="1" t="n">
        <v>45224</v>
      </c>
      <c r="C481" s="1" t="n">
        <v>45829</v>
      </c>
      <c r="D481" t="inlineStr">
        <is>
          <t>ÖREBRO LÄN</t>
        </is>
      </c>
      <c r="E481" t="inlineStr">
        <is>
          <t>HÄLLEFORS</t>
        </is>
      </c>
      <c r="G481" t="n">
        <v>3.5</v>
      </c>
      <c r="H481" t="n">
        <v>0</v>
      </c>
      <c r="I481" t="n">
        <v>0</v>
      </c>
      <c r="J481" t="n">
        <v>0</v>
      </c>
      <c r="K481" t="n">
        <v>0</v>
      </c>
      <c r="L481" t="n">
        <v>0</v>
      </c>
      <c r="M481" t="n">
        <v>0</v>
      </c>
      <c r="N481" t="n">
        <v>0</v>
      </c>
      <c r="O481" t="n">
        <v>0</v>
      </c>
      <c r="P481" t="n">
        <v>0</v>
      </c>
      <c r="Q481" t="n">
        <v>0</v>
      </c>
      <c r="R481" s="2" t="inlineStr"/>
    </row>
    <row r="482" ht="15" customHeight="1">
      <c r="A482" t="inlineStr">
        <is>
          <t>A 52372-2023</t>
        </is>
      </c>
      <c r="B482" s="1" t="n">
        <v>45224</v>
      </c>
      <c r="C482" s="1" t="n">
        <v>45829</v>
      </c>
      <c r="D482" t="inlineStr">
        <is>
          <t>ÖREBRO LÄN</t>
        </is>
      </c>
      <c r="E482" t="inlineStr">
        <is>
          <t>HÄLLEFORS</t>
        </is>
      </c>
      <c r="G482" t="n">
        <v>1.2</v>
      </c>
      <c r="H482" t="n">
        <v>0</v>
      </c>
      <c r="I482" t="n">
        <v>0</v>
      </c>
      <c r="J482" t="n">
        <v>0</v>
      </c>
      <c r="K482" t="n">
        <v>0</v>
      </c>
      <c r="L482" t="n">
        <v>0</v>
      </c>
      <c r="M482" t="n">
        <v>0</v>
      </c>
      <c r="N482" t="n">
        <v>0</v>
      </c>
      <c r="O482" t="n">
        <v>0</v>
      </c>
      <c r="P482" t="n">
        <v>0</v>
      </c>
      <c r="Q482" t="n">
        <v>0</v>
      </c>
      <c r="R482" s="2" t="inlineStr"/>
    </row>
    <row r="483" ht="15" customHeight="1">
      <c r="A483" t="inlineStr">
        <is>
          <t>A 53923-2023</t>
        </is>
      </c>
      <c r="B483" s="1" t="n">
        <v>45231</v>
      </c>
      <c r="C483" s="1" t="n">
        <v>45829</v>
      </c>
      <c r="D483" t="inlineStr">
        <is>
          <t>ÖREBRO LÄN</t>
        </is>
      </c>
      <c r="E483" t="inlineStr">
        <is>
          <t>HÄLLEFORS</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53892-2023</t>
        </is>
      </c>
      <c r="B484" s="1" t="n">
        <v>45231</v>
      </c>
      <c r="C484" s="1" t="n">
        <v>45829</v>
      </c>
      <c r="D484" t="inlineStr">
        <is>
          <t>ÖREBRO LÄN</t>
        </is>
      </c>
      <c r="E484" t="inlineStr">
        <is>
          <t>HÄLLEFORS</t>
        </is>
      </c>
      <c r="G484" t="n">
        <v>2.3</v>
      </c>
      <c r="H484" t="n">
        <v>0</v>
      </c>
      <c r="I484" t="n">
        <v>0</v>
      </c>
      <c r="J484" t="n">
        <v>0</v>
      </c>
      <c r="K484" t="n">
        <v>0</v>
      </c>
      <c r="L484" t="n">
        <v>0</v>
      </c>
      <c r="M484" t="n">
        <v>0</v>
      </c>
      <c r="N484" t="n">
        <v>0</v>
      </c>
      <c r="O484" t="n">
        <v>0</v>
      </c>
      <c r="P484" t="n">
        <v>0</v>
      </c>
      <c r="Q484" t="n">
        <v>0</v>
      </c>
      <c r="R484" s="2" t="inlineStr"/>
    </row>
    <row r="485" ht="15" customHeight="1">
      <c r="A485" t="inlineStr">
        <is>
          <t>A 54105-2023</t>
        </is>
      </c>
      <c r="B485" s="1" t="n">
        <v>45232</v>
      </c>
      <c r="C485" s="1" t="n">
        <v>45829</v>
      </c>
      <c r="D485" t="inlineStr">
        <is>
          <t>ÖREBRO LÄN</t>
        </is>
      </c>
      <c r="E485" t="inlineStr">
        <is>
          <t>HÄLLEFORS</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54843-2023</t>
        </is>
      </c>
      <c r="B486" s="1" t="n">
        <v>45236</v>
      </c>
      <c r="C486" s="1" t="n">
        <v>45829</v>
      </c>
      <c r="D486" t="inlineStr">
        <is>
          <t>ÖREBRO LÄN</t>
        </is>
      </c>
      <c r="E486" t="inlineStr">
        <is>
          <t>HÄLLEFORS</t>
        </is>
      </c>
      <c r="G486" t="n">
        <v>1.6</v>
      </c>
      <c r="H486" t="n">
        <v>0</v>
      </c>
      <c r="I486" t="n">
        <v>0</v>
      </c>
      <c r="J486" t="n">
        <v>0</v>
      </c>
      <c r="K486" t="n">
        <v>0</v>
      </c>
      <c r="L486" t="n">
        <v>0</v>
      </c>
      <c r="M486" t="n">
        <v>0</v>
      </c>
      <c r="N486" t="n">
        <v>0</v>
      </c>
      <c r="O486" t="n">
        <v>0</v>
      </c>
      <c r="P486" t="n">
        <v>0</v>
      </c>
      <c r="Q486" t="n">
        <v>0</v>
      </c>
      <c r="R486" s="2" t="inlineStr"/>
    </row>
    <row r="487" ht="15" customHeight="1">
      <c r="A487" t="inlineStr">
        <is>
          <t>A 55300-2023</t>
        </is>
      </c>
      <c r="B487" s="1" t="n">
        <v>45237</v>
      </c>
      <c r="C487" s="1" t="n">
        <v>45829</v>
      </c>
      <c r="D487" t="inlineStr">
        <is>
          <t>ÖREBRO LÄN</t>
        </is>
      </c>
      <c r="E487" t="inlineStr">
        <is>
          <t>HÄLLEFORS</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55392-2023</t>
        </is>
      </c>
      <c r="B488" s="1" t="n">
        <v>45238</v>
      </c>
      <c r="C488" s="1" t="n">
        <v>45829</v>
      </c>
      <c r="D488" t="inlineStr">
        <is>
          <t>ÖREBRO LÄN</t>
        </is>
      </c>
      <c r="E488" t="inlineStr">
        <is>
          <t>HÄLLEFORS</t>
        </is>
      </c>
      <c r="G488" t="n">
        <v>0.7</v>
      </c>
      <c r="H488" t="n">
        <v>0</v>
      </c>
      <c r="I488" t="n">
        <v>0</v>
      </c>
      <c r="J488" t="n">
        <v>0</v>
      </c>
      <c r="K488" t="n">
        <v>0</v>
      </c>
      <c r="L488" t="n">
        <v>0</v>
      </c>
      <c r="M488" t="n">
        <v>0</v>
      </c>
      <c r="N488" t="n">
        <v>0</v>
      </c>
      <c r="O488" t="n">
        <v>0</v>
      </c>
      <c r="P488" t="n">
        <v>0</v>
      </c>
      <c r="Q488" t="n">
        <v>0</v>
      </c>
      <c r="R488" s="2" t="inlineStr"/>
    </row>
    <row r="489" ht="15" customHeight="1">
      <c r="A489" t="inlineStr">
        <is>
          <t>A 55459-2023</t>
        </is>
      </c>
      <c r="B489" s="1" t="n">
        <v>45238</v>
      </c>
      <c r="C489" s="1" t="n">
        <v>45829</v>
      </c>
      <c r="D489" t="inlineStr">
        <is>
          <t>ÖREBRO LÄN</t>
        </is>
      </c>
      <c r="E489" t="inlineStr">
        <is>
          <t>HÄLLEFORS</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55467-2023</t>
        </is>
      </c>
      <c r="B490" s="1" t="n">
        <v>45238</v>
      </c>
      <c r="C490" s="1" t="n">
        <v>45829</v>
      </c>
      <c r="D490" t="inlineStr">
        <is>
          <t>ÖREBRO LÄN</t>
        </is>
      </c>
      <c r="E490" t="inlineStr">
        <is>
          <t>HÄLLEFORS</t>
        </is>
      </c>
      <c r="F490" t="inlineStr">
        <is>
          <t>Bergvik skog väst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55497-2023</t>
        </is>
      </c>
      <c r="B491" s="1" t="n">
        <v>45238</v>
      </c>
      <c r="C491" s="1" t="n">
        <v>45829</v>
      </c>
      <c r="D491" t="inlineStr">
        <is>
          <t>ÖREBRO LÄN</t>
        </is>
      </c>
      <c r="E491" t="inlineStr">
        <is>
          <t>HÄLLEFORS</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55397-2023</t>
        </is>
      </c>
      <c r="B492" s="1" t="n">
        <v>45238</v>
      </c>
      <c r="C492" s="1" t="n">
        <v>45829</v>
      </c>
      <c r="D492" t="inlineStr">
        <is>
          <t>ÖREBRO LÄN</t>
        </is>
      </c>
      <c r="E492" t="inlineStr">
        <is>
          <t>HÄLLEFORS</t>
        </is>
      </c>
      <c r="G492" t="n">
        <v>1.3</v>
      </c>
      <c r="H492" t="n">
        <v>0</v>
      </c>
      <c r="I492" t="n">
        <v>0</v>
      </c>
      <c r="J492" t="n">
        <v>0</v>
      </c>
      <c r="K492" t="n">
        <v>0</v>
      </c>
      <c r="L492" t="n">
        <v>0</v>
      </c>
      <c r="M492" t="n">
        <v>0</v>
      </c>
      <c r="N492" t="n">
        <v>0</v>
      </c>
      <c r="O492" t="n">
        <v>0</v>
      </c>
      <c r="P492" t="n">
        <v>0</v>
      </c>
      <c r="Q492" t="n">
        <v>0</v>
      </c>
      <c r="R492" s="2" t="inlineStr"/>
    </row>
    <row r="493" ht="15" customHeight="1">
      <c r="A493" t="inlineStr">
        <is>
          <t>A 55453-2023</t>
        </is>
      </c>
      <c r="B493" s="1" t="n">
        <v>45238</v>
      </c>
      <c r="C493" s="1" t="n">
        <v>45829</v>
      </c>
      <c r="D493" t="inlineStr">
        <is>
          <t>ÖREBRO LÄN</t>
        </is>
      </c>
      <c r="E493" t="inlineStr">
        <is>
          <t>HÄLLEFORS</t>
        </is>
      </c>
      <c r="G493" t="n">
        <v>0.8</v>
      </c>
      <c r="H493" t="n">
        <v>0</v>
      </c>
      <c r="I493" t="n">
        <v>0</v>
      </c>
      <c r="J493" t="n">
        <v>0</v>
      </c>
      <c r="K493" t="n">
        <v>0</v>
      </c>
      <c r="L493" t="n">
        <v>0</v>
      </c>
      <c r="M493" t="n">
        <v>0</v>
      </c>
      <c r="N493" t="n">
        <v>0</v>
      </c>
      <c r="O493" t="n">
        <v>0</v>
      </c>
      <c r="P493" t="n">
        <v>0</v>
      </c>
      <c r="Q493" t="n">
        <v>0</v>
      </c>
      <c r="R493" s="2" t="inlineStr"/>
    </row>
    <row r="494" ht="15" customHeight="1">
      <c r="A494" t="inlineStr">
        <is>
          <t>A 55471-2023</t>
        </is>
      </c>
      <c r="B494" s="1" t="n">
        <v>45238</v>
      </c>
      <c r="C494" s="1" t="n">
        <v>45829</v>
      </c>
      <c r="D494" t="inlineStr">
        <is>
          <t>ÖREBRO LÄN</t>
        </is>
      </c>
      <c r="E494" t="inlineStr">
        <is>
          <t>HÄLLEFORS</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55477-2023</t>
        </is>
      </c>
      <c r="B495" s="1" t="n">
        <v>45238</v>
      </c>
      <c r="C495" s="1" t="n">
        <v>45829</v>
      </c>
      <c r="D495" t="inlineStr">
        <is>
          <t>ÖREBRO LÄN</t>
        </is>
      </c>
      <c r="E495" t="inlineStr">
        <is>
          <t>HÄLLEFORS</t>
        </is>
      </c>
      <c r="F495" t="inlineStr">
        <is>
          <t>Bergvik skog väst AB</t>
        </is>
      </c>
      <c r="G495" t="n">
        <v>6.6</v>
      </c>
      <c r="H495" t="n">
        <v>0</v>
      </c>
      <c r="I495" t="n">
        <v>0</v>
      </c>
      <c r="J495" t="n">
        <v>0</v>
      </c>
      <c r="K495" t="n">
        <v>0</v>
      </c>
      <c r="L495" t="n">
        <v>0</v>
      </c>
      <c r="M495" t="n">
        <v>0</v>
      </c>
      <c r="N495" t="n">
        <v>0</v>
      </c>
      <c r="O495" t="n">
        <v>0</v>
      </c>
      <c r="P495" t="n">
        <v>0</v>
      </c>
      <c r="Q495" t="n">
        <v>0</v>
      </c>
      <c r="R495" s="2" t="inlineStr"/>
    </row>
    <row r="496" ht="15" customHeight="1">
      <c r="A496" t="inlineStr">
        <is>
          <t>A 55756-2023</t>
        </is>
      </c>
      <c r="B496" s="1" t="n">
        <v>45239</v>
      </c>
      <c r="C496" s="1" t="n">
        <v>45829</v>
      </c>
      <c r="D496" t="inlineStr">
        <is>
          <t>ÖREBRO LÄN</t>
        </is>
      </c>
      <c r="E496" t="inlineStr">
        <is>
          <t>HÄLLEFORS</t>
        </is>
      </c>
      <c r="G496" t="n">
        <v>1.6</v>
      </c>
      <c r="H496" t="n">
        <v>0</v>
      </c>
      <c r="I496" t="n">
        <v>0</v>
      </c>
      <c r="J496" t="n">
        <v>0</v>
      </c>
      <c r="K496" t="n">
        <v>0</v>
      </c>
      <c r="L496" t="n">
        <v>0</v>
      </c>
      <c r="M496" t="n">
        <v>0</v>
      </c>
      <c r="N496" t="n">
        <v>0</v>
      </c>
      <c r="O496" t="n">
        <v>0</v>
      </c>
      <c r="P496" t="n">
        <v>0</v>
      </c>
      <c r="Q496" t="n">
        <v>0</v>
      </c>
      <c r="R496" s="2" t="inlineStr"/>
    </row>
    <row r="497" ht="15" customHeight="1">
      <c r="A497" t="inlineStr">
        <is>
          <t>A 55754-2023</t>
        </is>
      </c>
      <c r="B497" s="1" t="n">
        <v>45239</v>
      </c>
      <c r="C497" s="1" t="n">
        <v>45829</v>
      </c>
      <c r="D497" t="inlineStr">
        <is>
          <t>ÖREBRO LÄN</t>
        </is>
      </c>
      <c r="E497" t="inlineStr">
        <is>
          <t>HÄLLEFORS</t>
        </is>
      </c>
      <c r="G497" t="n">
        <v>2.7</v>
      </c>
      <c r="H497" t="n">
        <v>0</v>
      </c>
      <c r="I497" t="n">
        <v>0</v>
      </c>
      <c r="J497" t="n">
        <v>0</v>
      </c>
      <c r="K497" t="n">
        <v>0</v>
      </c>
      <c r="L497" t="n">
        <v>0</v>
      </c>
      <c r="M497" t="n">
        <v>0</v>
      </c>
      <c r="N497" t="n">
        <v>0</v>
      </c>
      <c r="O497" t="n">
        <v>0</v>
      </c>
      <c r="P497" t="n">
        <v>0</v>
      </c>
      <c r="Q497" t="n">
        <v>0</v>
      </c>
      <c r="R497" s="2" t="inlineStr"/>
    </row>
    <row r="498" ht="15" customHeight="1">
      <c r="A498" t="inlineStr">
        <is>
          <t>A 58210-2023</t>
        </is>
      </c>
      <c r="B498" s="1" t="n">
        <v>45250</v>
      </c>
      <c r="C498" s="1" t="n">
        <v>45829</v>
      </c>
      <c r="D498" t="inlineStr">
        <is>
          <t>ÖREBRO LÄN</t>
        </is>
      </c>
      <c r="E498" t="inlineStr">
        <is>
          <t>HÄLLEFORS</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58425-2023</t>
        </is>
      </c>
      <c r="B499" s="1" t="n">
        <v>45250</v>
      </c>
      <c r="C499" s="1" t="n">
        <v>45829</v>
      </c>
      <c r="D499" t="inlineStr">
        <is>
          <t>ÖREBRO LÄN</t>
        </is>
      </c>
      <c r="E499" t="inlineStr">
        <is>
          <t>HÄLLEFORS</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58424-2023</t>
        </is>
      </c>
      <c r="B500" s="1" t="n">
        <v>45250</v>
      </c>
      <c r="C500" s="1" t="n">
        <v>45829</v>
      </c>
      <c r="D500" t="inlineStr">
        <is>
          <t>ÖREBRO LÄN</t>
        </is>
      </c>
      <c r="E500" t="inlineStr">
        <is>
          <t>HÄLLEFORS</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58990-2023</t>
        </is>
      </c>
      <c r="B501" s="1" t="n">
        <v>45252</v>
      </c>
      <c r="C501" s="1" t="n">
        <v>45829</v>
      </c>
      <c r="D501" t="inlineStr">
        <is>
          <t>ÖREBRO LÄN</t>
        </is>
      </c>
      <c r="E501" t="inlineStr">
        <is>
          <t>HÄLLEFORS</t>
        </is>
      </c>
      <c r="G501" t="n">
        <v>3.4</v>
      </c>
      <c r="H501" t="n">
        <v>0</v>
      </c>
      <c r="I501" t="n">
        <v>0</v>
      </c>
      <c r="J501" t="n">
        <v>0</v>
      </c>
      <c r="K501" t="n">
        <v>0</v>
      </c>
      <c r="L501" t="n">
        <v>0</v>
      </c>
      <c r="M501" t="n">
        <v>0</v>
      </c>
      <c r="N501" t="n">
        <v>0</v>
      </c>
      <c r="O501" t="n">
        <v>0</v>
      </c>
      <c r="P501" t="n">
        <v>0</v>
      </c>
      <c r="Q501" t="n">
        <v>0</v>
      </c>
      <c r="R501" s="2" t="inlineStr"/>
    </row>
    <row r="502" ht="15" customHeight="1">
      <c r="A502" t="inlineStr">
        <is>
          <t>A 60302-2023</t>
        </is>
      </c>
      <c r="B502" s="1" t="n">
        <v>45258</v>
      </c>
      <c r="C502" s="1" t="n">
        <v>45829</v>
      </c>
      <c r="D502" t="inlineStr">
        <is>
          <t>ÖREBRO LÄN</t>
        </is>
      </c>
      <c r="E502" t="inlineStr">
        <is>
          <t>HÄLLEFORS</t>
        </is>
      </c>
      <c r="G502" t="n">
        <v>5.7</v>
      </c>
      <c r="H502" t="n">
        <v>0</v>
      </c>
      <c r="I502" t="n">
        <v>0</v>
      </c>
      <c r="J502" t="n">
        <v>0</v>
      </c>
      <c r="K502" t="n">
        <v>0</v>
      </c>
      <c r="L502" t="n">
        <v>0</v>
      </c>
      <c r="M502" t="n">
        <v>0</v>
      </c>
      <c r="N502" t="n">
        <v>0</v>
      </c>
      <c r="O502" t="n">
        <v>0</v>
      </c>
      <c r="P502" t="n">
        <v>0</v>
      </c>
      <c r="Q502" t="n">
        <v>0</v>
      </c>
      <c r="R502" s="2" t="inlineStr"/>
    </row>
    <row r="503" ht="15" customHeight="1">
      <c r="A503" t="inlineStr">
        <is>
          <t>A 60669-2023</t>
        </is>
      </c>
      <c r="B503" s="1" t="n">
        <v>45260</v>
      </c>
      <c r="C503" s="1" t="n">
        <v>45829</v>
      </c>
      <c r="D503" t="inlineStr">
        <is>
          <t>ÖREBRO LÄN</t>
        </is>
      </c>
      <c r="E503" t="inlineStr">
        <is>
          <t>HÄLLEFORS</t>
        </is>
      </c>
      <c r="F503" t="inlineStr">
        <is>
          <t>Bergvik skog väst AB</t>
        </is>
      </c>
      <c r="G503" t="n">
        <v>5.2</v>
      </c>
      <c r="H503" t="n">
        <v>0</v>
      </c>
      <c r="I503" t="n">
        <v>0</v>
      </c>
      <c r="J503" t="n">
        <v>0</v>
      </c>
      <c r="K503" t="n">
        <v>0</v>
      </c>
      <c r="L503" t="n">
        <v>0</v>
      </c>
      <c r="M503" t="n">
        <v>0</v>
      </c>
      <c r="N503" t="n">
        <v>0</v>
      </c>
      <c r="O503" t="n">
        <v>0</v>
      </c>
      <c r="P503" t="n">
        <v>0</v>
      </c>
      <c r="Q503" t="n">
        <v>0</v>
      </c>
      <c r="R503" s="2" t="inlineStr"/>
    </row>
    <row r="504" ht="15" customHeight="1">
      <c r="A504" t="inlineStr">
        <is>
          <t>A 60686-2023</t>
        </is>
      </c>
      <c r="B504" s="1" t="n">
        <v>45260</v>
      </c>
      <c r="C504" s="1" t="n">
        <v>45829</v>
      </c>
      <c r="D504" t="inlineStr">
        <is>
          <t>ÖREBRO LÄN</t>
        </is>
      </c>
      <c r="E504" t="inlineStr">
        <is>
          <t>HÄLLEFORS</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60697-2023</t>
        </is>
      </c>
      <c r="B505" s="1" t="n">
        <v>45260</v>
      </c>
      <c r="C505" s="1" t="n">
        <v>45829</v>
      </c>
      <c r="D505" t="inlineStr">
        <is>
          <t>ÖREBRO LÄN</t>
        </is>
      </c>
      <c r="E505" t="inlineStr">
        <is>
          <t>HÄLLEFORS</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60727-2023</t>
        </is>
      </c>
      <c r="B506" s="1" t="n">
        <v>45260</v>
      </c>
      <c r="C506" s="1" t="n">
        <v>45829</v>
      </c>
      <c r="D506" t="inlineStr">
        <is>
          <t>ÖREBRO LÄN</t>
        </is>
      </c>
      <c r="E506" t="inlineStr">
        <is>
          <t>HÄLLEFORS</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60717-2023</t>
        </is>
      </c>
      <c r="B507" s="1" t="n">
        <v>45260</v>
      </c>
      <c r="C507" s="1" t="n">
        <v>45829</v>
      </c>
      <c r="D507" t="inlineStr">
        <is>
          <t>ÖREBRO LÄN</t>
        </is>
      </c>
      <c r="E507" t="inlineStr">
        <is>
          <t>HÄLLEFORS</t>
        </is>
      </c>
      <c r="F507" t="inlineStr">
        <is>
          <t>Bergvik skog väst AB</t>
        </is>
      </c>
      <c r="G507" t="n">
        <v>6.7</v>
      </c>
      <c r="H507" t="n">
        <v>0</v>
      </c>
      <c r="I507" t="n">
        <v>0</v>
      </c>
      <c r="J507" t="n">
        <v>0</v>
      </c>
      <c r="K507" t="n">
        <v>0</v>
      </c>
      <c r="L507" t="n">
        <v>0</v>
      </c>
      <c r="M507" t="n">
        <v>0</v>
      </c>
      <c r="N507" t="n">
        <v>0</v>
      </c>
      <c r="O507" t="n">
        <v>0</v>
      </c>
      <c r="P507" t="n">
        <v>0</v>
      </c>
      <c r="Q507" t="n">
        <v>0</v>
      </c>
      <c r="R507" s="2" t="inlineStr"/>
    </row>
    <row r="508" ht="15" customHeight="1">
      <c r="A508" t="inlineStr">
        <is>
          <t>A 61435-2023</t>
        </is>
      </c>
      <c r="B508" s="1" t="n">
        <v>45264</v>
      </c>
      <c r="C508" s="1" t="n">
        <v>45829</v>
      </c>
      <c r="D508" t="inlineStr">
        <is>
          <t>ÖREBRO LÄN</t>
        </is>
      </c>
      <c r="E508" t="inlineStr">
        <is>
          <t>HÄLLEFORS</t>
        </is>
      </c>
      <c r="G508" t="n">
        <v>2.3</v>
      </c>
      <c r="H508" t="n">
        <v>0</v>
      </c>
      <c r="I508" t="n">
        <v>0</v>
      </c>
      <c r="J508" t="n">
        <v>0</v>
      </c>
      <c r="K508" t="n">
        <v>0</v>
      </c>
      <c r="L508" t="n">
        <v>0</v>
      </c>
      <c r="M508" t="n">
        <v>0</v>
      </c>
      <c r="N508" t="n">
        <v>0</v>
      </c>
      <c r="O508" t="n">
        <v>0</v>
      </c>
      <c r="P508" t="n">
        <v>0</v>
      </c>
      <c r="Q508" t="n">
        <v>0</v>
      </c>
      <c r="R508" s="2" t="inlineStr"/>
    </row>
    <row r="509" ht="15" customHeight="1">
      <c r="A509" t="inlineStr">
        <is>
          <t>A 65111-2023</t>
        </is>
      </c>
      <c r="B509" s="1" t="n">
        <v>45288</v>
      </c>
      <c r="C509" s="1" t="n">
        <v>45829</v>
      </c>
      <c r="D509" t="inlineStr">
        <is>
          <t>ÖREBRO LÄN</t>
        </is>
      </c>
      <c r="E509" t="inlineStr">
        <is>
          <t>HÄLLEFORS</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65091-2023</t>
        </is>
      </c>
      <c r="B510" s="1" t="n">
        <v>45288</v>
      </c>
      <c r="C510" s="1" t="n">
        <v>45829</v>
      </c>
      <c r="D510" t="inlineStr">
        <is>
          <t>ÖREBRO LÄN</t>
        </is>
      </c>
      <c r="E510" t="inlineStr">
        <is>
          <t>HÄLLEFORS</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65119-2023</t>
        </is>
      </c>
      <c r="B511" s="1" t="n">
        <v>45288</v>
      </c>
      <c r="C511" s="1" t="n">
        <v>45829</v>
      </c>
      <c r="D511" t="inlineStr">
        <is>
          <t>ÖREBRO LÄN</t>
        </is>
      </c>
      <c r="E511" t="inlineStr">
        <is>
          <t>HÄLLEFORS</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65135-2023</t>
        </is>
      </c>
      <c r="B512" s="1" t="n">
        <v>45288</v>
      </c>
      <c r="C512" s="1" t="n">
        <v>45829</v>
      </c>
      <c r="D512" t="inlineStr">
        <is>
          <t>ÖREBRO LÄN</t>
        </is>
      </c>
      <c r="E512" t="inlineStr">
        <is>
          <t>HÄLLEFORS</t>
        </is>
      </c>
      <c r="F512" t="inlineStr">
        <is>
          <t>Bergvik skog väst AB</t>
        </is>
      </c>
      <c r="G512" t="n">
        <v>7.1</v>
      </c>
      <c r="H512" t="n">
        <v>0</v>
      </c>
      <c r="I512" t="n">
        <v>0</v>
      </c>
      <c r="J512" t="n">
        <v>0</v>
      </c>
      <c r="K512" t="n">
        <v>0</v>
      </c>
      <c r="L512" t="n">
        <v>0</v>
      </c>
      <c r="M512" t="n">
        <v>0</v>
      </c>
      <c r="N512" t="n">
        <v>0</v>
      </c>
      <c r="O512" t="n">
        <v>0</v>
      </c>
      <c r="P512" t="n">
        <v>0</v>
      </c>
      <c r="Q512" t="n">
        <v>0</v>
      </c>
      <c r="R512" s="2" t="inlineStr"/>
    </row>
    <row r="513" ht="15" customHeight="1">
      <c r="A513" t="inlineStr">
        <is>
          <t>A 1288-2024</t>
        </is>
      </c>
      <c r="B513" s="1" t="n">
        <v>45303</v>
      </c>
      <c r="C513" s="1" t="n">
        <v>45829</v>
      </c>
      <c r="D513" t="inlineStr">
        <is>
          <t>ÖREBRO LÄN</t>
        </is>
      </c>
      <c r="E513" t="inlineStr">
        <is>
          <t>HÄLLEFORS</t>
        </is>
      </c>
      <c r="G513" t="n">
        <v>1.2</v>
      </c>
      <c r="H513" t="n">
        <v>0</v>
      </c>
      <c r="I513" t="n">
        <v>0</v>
      </c>
      <c r="J513" t="n">
        <v>0</v>
      </c>
      <c r="K513" t="n">
        <v>0</v>
      </c>
      <c r="L513" t="n">
        <v>0</v>
      </c>
      <c r="M513" t="n">
        <v>0</v>
      </c>
      <c r="N513" t="n">
        <v>0</v>
      </c>
      <c r="O513" t="n">
        <v>0</v>
      </c>
      <c r="P513" t="n">
        <v>0</v>
      </c>
      <c r="Q513" t="n">
        <v>0</v>
      </c>
      <c r="R513" s="2" t="inlineStr"/>
    </row>
    <row r="514" ht="15" customHeight="1">
      <c r="A514" t="inlineStr">
        <is>
          <t>A 2079-2024</t>
        </is>
      </c>
      <c r="B514" s="1" t="n">
        <v>45309</v>
      </c>
      <c r="C514" s="1" t="n">
        <v>45829</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3057-2024</t>
        </is>
      </c>
      <c r="B515" s="1" t="n">
        <v>45316</v>
      </c>
      <c r="C515" s="1" t="n">
        <v>45829</v>
      </c>
      <c r="D515" t="inlineStr">
        <is>
          <t>ÖREBRO LÄN</t>
        </is>
      </c>
      <c r="E515" t="inlineStr">
        <is>
          <t>HÄLLEFORS</t>
        </is>
      </c>
      <c r="F515" t="inlineStr">
        <is>
          <t>Bergvik skog väst AB</t>
        </is>
      </c>
      <c r="G515" t="n">
        <v>12.2</v>
      </c>
      <c r="H515" t="n">
        <v>0</v>
      </c>
      <c r="I515" t="n">
        <v>0</v>
      </c>
      <c r="J515" t="n">
        <v>0</v>
      </c>
      <c r="K515" t="n">
        <v>0</v>
      </c>
      <c r="L515" t="n">
        <v>0</v>
      </c>
      <c r="M515" t="n">
        <v>0</v>
      </c>
      <c r="N515" t="n">
        <v>0</v>
      </c>
      <c r="O515" t="n">
        <v>0</v>
      </c>
      <c r="P515" t="n">
        <v>0</v>
      </c>
      <c r="Q515" t="n">
        <v>0</v>
      </c>
      <c r="R515" s="2" t="inlineStr"/>
    </row>
    <row r="516" ht="15" customHeight="1">
      <c r="A516" t="inlineStr">
        <is>
          <t>A 3091-2024</t>
        </is>
      </c>
      <c r="B516" s="1" t="n">
        <v>45316</v>
      </c>
      <c r="C516" s="1" t="n">
        <v>45829</v>
      </c>
      <c r="D516" t="inlineStr">
        <is>
          <t>ÖREBRO LÄN</t>
        </is>
      </c>
      <c r="E516" t="inlineStr">
        <is>
          <t>HÄLLEFORS</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3068-2024</t>
        </is>
      </c>
      <c r="B517" s="1" t="n">
        <v>45316</v>
      </c>
      <c r="C517" s="1" t="n">
        <v>45829</v>
      </c>
      <c r="D517" t="inlineStr">
        <is>
          <t>ÖREBRO LÄN</t>
        </is>
      </c>
      <c r="E517" t="inlineStr">
        <is>
          <t>HÄLLEFORS</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3145-2024</t>
        </is>
      </c>
      <c r="B518" s="1" t="n">
        <v>45316</v>
      </c>
      <c r="C518" s="1" t="n">
        <v>45829</v>
      </c>
      <c r="D518" t="inlineStr">
        <is>
          <t>ÖREBRO LÄN</t>
        </is>
      </c>
      <c r="E518" t="inlineStr">
        <is>
          <t>HÄLLEFORS</t>
        </is>
      </c>
      <c r="F518" t="inlineStr">
        <is>
          <t>Bergvik skog väst AB</t>
        </is>
      </c>
      <c r="G518" t="n">
        <v>6.4</v>
      </c>
      <c r="H518" t="n">
        <v>0</v>
      </c>
      <c r="I518" t="n">
        <v>0</v>
      </c>
      <c r="J518" t="n">
        <v>0</v>
      </c>
      <c r="K518" t="n">
        <v>0</v>
      </c>
      <c r="L518" t="n">
        <v>0</v>
      </c>
      <c r="M518" t="n">
        <v>0</v>
      </c>
      <c r="N518" t="n">
        <v>0</v>
      </c>
      <c r="O518" t="n">
        <v>0</v>
      </c>
      <c r="P518" t="n">
        <v>0</v>
      </c>
      <c r="Q518" t="n">
        <v>0</v>
      </c>
      <c r="R518" s="2" t="inlineStr"/>
    </row>
    <row r="519" ht="15" customHeight="1">
      <c r="A519" t="inlineStr">
        <is>
          <t>A 3246-2024</t>
        </is>
      </c>
      <c r="B519" s="1" t="n">
        <v>45317</v>
      </c>
      <c r="C519" s="1" t="n">
        <v>45829</v>
      </c>
      <c r="D519" t="inlineStr">
        <is>
          <t>ÖREBRO LÄN</t>
        </is>
      </c>
      <c r="E519" t="inlineStr">
        <is>
          <t>HÄLLEFORS</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3778-2024</t>
        </is>
      </c>
      <c r="B520" s="1" t="n">
        <v>45321</v>
      </c>
      <c r="C520" s="1" t="n">
        <v>45829</v>
      </c>
      <c r="D520" t="inlineStr">
        <is>
          <t>ÖREBRO LÄN</t>
        </is>
      </c>
      <c r="E520" t="inlineStr">
        <is>
          <t>HÄLLEFORS</t>
        </is>
      </c>
      <c r="G520" t="n">
        <v>2.5</v>
      </c>
      <c r="H520" t="n">
        <v>0</v>
      </c>
      <c r="I520" t="n">
        <v>0</v>
      </c>
      <c r="J520" t="n">
        <v>0</v>
      </c>
      <c r="K520" t="n">
        <v>0</v>
      </c>
      <c r="L520" t="n">
        <v>0</v>
      </c>
      <c r="M520" t="n">
        <v>0</v>
      </c>
      <c r="N520" t="n">
        <v>0</v>
      </c>
      <c r="O520" t="n">
        <v>0</v>
      </c>
      <c r="P520" t="n">
        <v>0</v>
      </c>
      <c r="Q520" t="n">
        <v>0</v>
      </c>
      <c r="R520" s="2" t="inlineStr"/>
    </row>
    <row r="521" ht="15" customHeight="1">
      <c r="A521" t="inlineStr">
        <is>
          <t>A 4774-2024</t>
        </is>
      </c>
      <c r="B521" s="1" t="n">
        <v>45328</v>
      </c>
      <c r="C521" s="1" t="n">
        <v>45829</v>
      </c>
      <c r="D521" t="inlineStr">
        <is>
          <t>ÖREBRO LÄN</t>
        </is>
      </c>
      <c r="E521" t="inlineStr">
        <is>
          <t>HÄLLEFORS</t>
        </is>
      </c>
      <c r="G521" t="n">
        <v>1</v>
      </c>
      <c r="H521" t="n">
        <v>0</v>
      </c>
      <c r="I521" t="n">
        <v>0</v>
      </c>
      <c r="J521" t="n">
        <v>0</v>
      </c>
      <c r="K521" t="n">
        <v>0</v>
      </c>
      <c r="L521" t="n">
        <v>0</v>
      </c>
      <c r="M521" t="n">
        <v>0</v>
      </c>
      <c r="N521" t="n">
        <v>0</v>
      </c>
      <c r="O521" t="n">
        <v>0</v>
      </c>
      <c r="P521" t="n">
        <v>0</v>
      </c>
      <c r="Q521" t="n">
        <v>0</v>
      </c>
      <c r="R521" s="2" t="inlineStr"/>
    </row>
    <row r="522" ht="15" customHeight="1">
      <c r="A522" t="inlineStr">
        <is>
          <t>A 5643-2024</t>
        </is>
      </c>
      <c r="B522" s="1" t="n">
        <v>45334</v>
      </c>
      <c r="C522" s="1" t="n">
        <v>45829</v>
      </c>
      <c r="D522" t="inlineStr">
        <is>
          <t>ÖREBRO LÄN</t>
        </is>
      </c>
      <c r="E522" t="inlineStr">
        <is>
          <t>HÄLLEFORS</t>
        </is>
      </c>
      <c r="G522" t="n">
        <v>2.7</v>
      </c>
      <c r="H522" t="n">
        <v>0</v>
      </c>
      <c r="I522" t="n">
        <v>0</v>
      </c>
      <c r="J522" t="n">
        <v>0</v>
      </c>
      <c r="K522" t="n">
        <v>0</v>
      </c>
      <c r="L522" t="n">
        <v>0</v>
      </c>
      <c r="M522" t="n">
        <v>0</v>
      </c>
      <c r="N522" t="n">
        <v>0</v>
      </c>
      <c r="O522" t="n">
        <v>0</v>
      </c>
      <c r="P522" t="n">
        <v>0</v>
      </c>
      <c r="Q522" t="n">
        <v>0</v>
      </c>
      <c r="R522" s="2" t="inlineStr"/>
    </row>
    <row r="523" ht="15" customHeight="1">
      <c r="A523" t="inlineStr">
        <is>
          <t>A 5657-2024</t>
        </is>
      </c>
      <c r="B523" s="1" t="n">
        <v>45334</v>
      </c>
      <c r="C523" s="1" t="n">
        <v>45829</v>
      </c>
      <c r="D523" t="inlineStr">
        <is>
          <t>ÖREBRO LÄN</t>
        </is>
      </c>
      <c r="E523" t="inlineStr">
        <is>
          <t>HÄLLEFORS</t>
        </is>
      </c>
      <c r="G523" t="n">
        <v>1.4</v>
      </c>
      <c r="H523" t="n">
        <v>0</v>
      </c>
      <c r="I523" t="n">
        <v>0</v>
      </c>
      <c r="J523" t="n">
        <v>0</v>
      </c>
      <c r="K523" t="n">
        <v>0</v>
      </c>
      <c r="L523" t="n">
        <v>0</v>
      </c>
      <c r="M523" t="n">
        <v>0</v>
      </c>
      <c r="N523" t="n">
        <v>0</v>
      </c>
      <c r="O523" t="n">
        <v>0</v>
      </c>
      <c r="P523" t="n">
        <v>0</v>
      </c>
      <c r="Q523" t="n">
        <v>0</v>
      </c>
      <c r="R523" s="2" t="inlineStr"/>
    </row>
    <row r="524" ht="15" customHeight="1">
      <c r="A524" t="inlineStr">
        <is>
          <t>A 5764-2024</t>
        </is>
      </c>
      <c r="B524" s="1" t="n">
        <v>45335</v>
      </c>
      <c r="C524" s="1" t="n">
        <v>45829</v>
      </c>
      <c r="D524" t="inlineStr">
        <is>
          <t>ÖREBRO LÄN</t>
        </is>
      </c>
      <c r="E524" t="inlineStr">
        <is>
          <t>HÄLLEFORS</t>
        </is>
      </c>
      <c r="G524" t="n">
        <v>3.1</v>
      </c>
      <c r="H524" t="n">
        <v>0</v>
      </c>
      <c r="I524" t="n">
        <v>0</v>
      </c>
      <c r="J524" t="n">
        <v>0</v>
      </c>
      <c r="K524" t="n">
        <v>0</v>
      </c>
      <c r="L524" t="n">
        <v>0</v>
      </c>
      <c r="M524" t="n">
        <v>0</v>
      </c>
      <c r="N524" t="n">
        <v>0</v>
      </c>
      <c r="O524" t="n">
        <v>0</v>
      </c>
      <c r="P524" t="n">
        <v>0</v>
      </c>
      <c r="Q524" t="n">
        <v>0</v>
      </c>
      <c r="R524" s="2" t="inlineStr"/>
    </row>
    <row r="525" ht="15" customHeight="1">
      <c r="A525" t="inlineStr">
        <is>
          <t>A 5762-2024</t>
        </is>
      </c>
      <c r="B525" s="1" t="n">
        <v>45335</v>
      </c>
      <c r="C525" s="1" t="n">
        <v>45829</v>
      </c>
      <c r="D525" t="inlineStr">
        <is>
          <t>ÖREBRO LÄN</t>
        </is>
      </c>
      <c r="E525" t="inlineStr">
        <is>
          <t>HÄLLEFORS</t>
        </is>
      </c>
      <c r="G525" t="n">
        <v>12.1</v>
      </c>
      <c r="H525" t="n">
        <v>0</v>
      </c>
      <c r="I525" t="n">
        <v>0</v>
      </c>
      <c r="J525" t="n">
        <v>0</v>
      </c>
      <c r="K525" t="n">
        <v>0</v>
      </c>
      <c r="L525" t="n">
        <v>0</v>
      </c>
      <c r="M525" t="n">
        <v>0</v>
      </c>
      <c r="N525" t="n">
        <v>0</v>
      </c>
      <c r="O525" t="n">
        <v>0</v>
      </c>
      <c r="P525" t="n">
        <v>0</v>
      </c>
      <c r="Q525" t="n">
        <v>0</v>
      </c>
      <c r="R525" s="2" t="inlineStr"/>
    </row>
    <row r="526" ht="15" customHeight="1">
      <c r="A526" t="inlineStr">
        <is>
          <t>A 7066-2024</t>
        </is>
      </c>
      <c r="B526" s="1" t="n">
        <v>45343</v>
      </c>
      <c r="C526" s="1" t="n">
        <v>45829</v>
      </c>
      <c r="D526" t="inlineStr">
        <is>
          <t>ÖREBRO LÄN</t>
        </is>
      </c>
      <c r="E526" t="inlineStr">
        <is>
          <t>HÄLLEFORS</t>
        </is>
      </c>
      <c r="G526" t="n">
        <v>1.2</v>
      </c>
      <c r="H526" t="n">
        <v>0</v>
      </c>
      <c r="I526" t="n">
        <v>0</v>
      </c>
      <c r="J526" t="n">
        <v>0</v>
      </c>
      <c r="K526" t="n">
        <v>0</v>
      </c>
      <c r="L526" t="n">
        <v>0</v>
      </c>
      <c r="M526" t="n">
        <v>0</v>
      </c>
      <c r="N526" t="n">
        <v>0</v>
      </c>
      <c r="O526" t="n">
        <v>0</v>
      </c>
      <c r="P526" t="n">
        <v>0</v>
      </c>
      <c r="Q526" t="n">
        <v>0</v>
      </c>
      <c r="R526" s="2" t="inlineStr"/>
    </row>
    <row r="527" ht="15" customHeight="1">
      <c r="A527" t="inlineStr">
        <is>
          <t>A 8292-2024</t>
        </is>
      </c>
      <c r="B527" s="1" t="n">
        <v>45352</v>
      </c>
      <c r="C527" s="1" t="n">
        <v>45829</v>
      </c>
      <c r="D527" t="inlineStr">
        <is>
          <t>ÖREBRO LÄN</t>
        </is>
      </c>
      <c r="E527" t="inlineStr">
        <is>
          <t>HÄLLEFORS</t>
        </is>
      </c>
      <c r="G527" t="n">
        <v>15.6</v>
      </c>
      <c r="H527" t="n">
        <v>0</v>
      </c>
      <c r="I527" t="n">
        <v>0</v>
      </c>
      <c r="J527" t="n">
        <v>0</v>
      </c>
      <c r="K527" t="n">
        <v>0</v>
      </c>
      <c r="L527" t="n">
        <v>0</v>
      </c>
      <c r="M527" t="n">
        <v>0</v>
      </c>
      <c r="N527" t="n">
        <v>0</v>
      </c>
      <c r="O527" t="n">
        <v>0</v>
      </c>
      <c r="P527" t="n">
        <v>0</v>
      </c>
      <c r="Q527" t="n">
        <v>0</v>
      </c>
      <c r="R527" s="2" t="inlineStr"/>
    </row>
    <row r="528" ht="15" customHeight="1">
      <c r="A528" t="inlineStr">
        <is>
          <t>A 8519-2024</t>
        </is>
      </c>
      <c r="B528" s="1" t="n">
        <v>45355</v>
      </c>
      <c r="C528" s="1" t="n">
        <v>45829</v>
      </c>
      <c r="D528" t="inlineStr">
        <is>
          <t>ÖREBRO LÄN</t>
        </is>
      </c>
      <c r="E528" t="inlineStr">
        <is>
          <t>HÄLLEFORS</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9895-2024</t>
        </is>
      </c>
      <c r="B529" s="1" t="n">
        <v>45363</v>
      </c>
      <c r="C529" s="1" t="n">
        <v>45829</v>
      </c>
      <c r="D529" t="inlineStr">
        <is>
          <t>ÖREBRO LÄN</t>
        </is>
      </c>
      <c r="E529" t="inlineStr">
        <is>
          <t>HÄLLEFORS</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9906-2024</t>
        </is>
      </c>
      <c r="B530" s="1" t="n">
        <v>45363</v>
      </c>
      <c r="C530" s="1" t="n">
        <v>45829</v>
      </c>
      <c r="D530" t="inlineStr">
        <is>
          <t>ÖREBRO LÄN</t>
        </is>
      </c>
      <c r="E530" t="inlineStr">
        <is>
          <t>HÄLLEFORS</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9854-2024</t>
        </is>
      </c>
      <c r="B531" s="1" t="n">
        <v>45363</v>
      </c>
      <c r="C531" s="1" t="n">
        <v>45829</v>
      </c>
      <c r="D531" t="inlineStr">
        <is>
          <t>ÖREBRO LÄN</t>
        </is>
      </c>
      <c r="E531" t="inlineStr">
        <is>
          <t>HÄLLEFORS</t>
        </is>
      </c>
      <c r="F531" t="inlineStr">
        <is>
          <t>Bergvik skog väst AB</t>
        </is>
      </c>
      <c r="G531" t="n">
        <v>11.9</v>
      </c>
      <c r="H531" t="n">
        <v>0</v>
      </c>
      <c r="I531" t="n">
        <v>0</v>
      </c>
      <c r="J531" t="n">
        <v>0</v>
      </c>
      <c r="K531" t="n">
        <v>0</v>
      </c>
      <c r="L531" t="n">
        <v>0</v>
      </c>
      <c r="M531" t="n">
        <v>0</v>
      </c>
      <c r="N531" t="n">
        <v>0</v>
      </c>
      <c r="O531" t="n">
        <v>0</v>
      </c>
      <c r="P531" t="n">
        <v>0</v>
      </c>
      <c r="Q531" t="n">
        <v>0</v>
      </c>
      <c r="R531" s="2" t="inlineStr"/>
    </row>
    <row r="532" ht="15" customHeight="1">
      <c r="A532" t="inlineStr">
        <is>
          <t>A 11098-2024</t>
        </is>
      </c>
      <c r="B532" s="1" t="n">
        <v>45371</v>
      </c>
      <c r="C532" s="1" t="n">
        <v>45829</v>
      </c>
      <c r="D532" t="inlineStr">
        <is>
          <t>ÖREBRO LÄN</t>
        </is>
      </c>
      <c r="E532" t="inlineStr">
        <is>
          <t>HÄLLEFORS</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11459-2024</t>
        </is>
      </c>
      <c r="B533" s="1" t="n">
        <v>45372</v>
      </c>
      <c r="C533" s="1" t="n">
        <v>45829</v>
      </c>
      <c r="D533" t="inlineStr">
        <is>
          <t>ÖREBRO LÄN</t>
        </is>
      </c>
      <c r="E533" t="inlineStr">
        <is>
          <t>HÄLLEFORS</t>
        </is>
      </c>
      <c r="G533" t="n">
        <v>2.2</v>
      </c>
      <c r="H533" t="n">
        <v>0</v>
      </c>
      <c r="I533" t="n">
        <v>0</v>
      </c>
      <c r="J533" t="n">
        <v>0</v>
      </c>
      <c r="K533" t="n">
        <v>0</v>
      </c>
      <c r="L533" t="n">
        <v>0</v>
      </c>
      <c r="M533" t="n">
        <v>0</v>
      </c>
      <c r="N533" t="n">
        <v>0</v>
      </c>
      <c r="O533" t="n">
        <v>0</v>
      </c>
      <c r="P533" t="n">
        <v>0</v>
      </c>
      <c r="Q533" t="n">
        <v>0</v>
      </c>
      <c r="R533" s="2" t="inlineStr"/>
    </row>
    <row r="534" ht="15" customHeight="1">
      <c r="A534" t="inlineStr">
        <is>
          <t>A 11467-2024</t>
        </is>
      </c>
      <c r="B534" s="1" t="n">
        <v>45372</v>
      </c>
      <c r="C534" s="1" t="n">
        <v>45829</v>
      </c>
      <c r="D534" t="inlineStr">
        <is>
          <t>ÖREBRO LÄN</t>
        </is>
      </c>
      <c r="E534" t="inlineStr">
        <is>
          <t>HÄLLEFORS</t>
        </is>
      </c>
      <c r="G534" t="n">
        <v>1</v>
      </c>
      <c r="H534" t="n">
        <v>0</v>
      </c>
      <c r="I534" t="n">
        <v>0</v>
      </c>
      <c r="J534" t="n">
        <v>0</v>
      </c>
      <c r="K534" t="n">
        <v>0</v>
      </c>
      <c r="L534" t="n">
        <v>0</v>
      </c>
      <c r="M534" t="n">
        <v>0</v>
      </c>
      <c r="N534" t="n">
        <v>0</v>
      </c>
      <c r="O534" t="n">
        <v>0</v>
      </c>
      <c r="P534" t="n">
        <v>0</v>
      </c>
      <c r="Q534" t="n">
        <v>0</v>
      </c>
      <c r="R534" s="2" t="inlineStr"/>
    </row>
    <row r="535" ht="15" customHeight="1">
      <c r="A535" t="inlineStr">
        <is>
          <t>A 12546-2024</t>
        </is>
      </c>
      <c r="B535" s="1" t="n">
        <v>45379</v>
      </c>
      <c r="C535" s="1" t="n">
        <v>45829</v>
      </c>
      <c r="D535" t="inlineStr">
        <is>
          <t>ÖREBRO LÄN</t>
        </is>
      </c>
      <c r="E535" t="inlineStr">
        <is>
          <t>HÄLLEFORS</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12547-2024</t>
        </is>
      </c>
      <c r="B536" s="1" t="n">
        <v>45379</v>
      </c>
      <c r="C536" s="1" t="n">
        <v>45829</v>
      </c>
      <c r="D536" t="inlineStr">
        <is>
          <t>ÖREBRO LÄN</t>
        </is>
      </c>
      <c r="E536" t="inlineStr">
        <is>
          <t>HÄLLEFORS</t>
        </is>
      </c>
      <c r="F536" t="inlineStr">
        <is>
          <t>Bergvik skog väst AB</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12540-2024</t>
        </is>
      </c>
      <c r="B537" s="1" t="n">
        <v>45379</v>
      </c>
      <c r="C537" s="1" t="n">
        <v>45829</v>
      </c>
      <c r="D537" t="inlineStr">
        <is>
          <t>ÖREBRO LÄN</t>
        </is>
      </c>
      <c r="E537" t="inlineStr">
        <is>
          <t>HÄLLEFORS</t>
        </is>
      </c>
      <c r="F537" t="inlineStr">
        <is>
          <t>Bergvik skog väst AB</t>
        </is>
      </c>
      <c r="G537" t="n">
        <v>3.6</v>
      </c>
      <c r="H537" t="n">
        <v>0</v>
      </c>
      <c r="I537" t="n">
        <v>0</v>
      </c>
      <c r="J537" t="n">
        <v>0</v>
      </c>
      <c r="K537" t="n">
        <v>0</v>
      </c>
      <c r="L537" t="n">
        <v>0</v>
      </c>
      <c r="M537" t="n">
        <v>0</v>
      </c>
      <c r="N537" t="n">
        <v>0</v>
      </c>
      <c r="O537" t="n">
        <v>0</v>
      </c>
      <c r="P537" t="n">
        <v>0</v>
      </c>
      <c r="Q537" t="n">
        <v>0</v>
      </c>
      <c r="R537" s="2" t="inlineStr"/>
    </row>
    <row r="538" ht="15" customHeight="1">
      <c r="A538" t="inlineStr">
        <is>
          <t>A 13294-2024</t>
        </is>
      </c>
      <c r="B538" s="1" t="n">
        <v>45386</v>
      </c>
      <c r="C538" s="1" t="n">
        <v>45829</v>
      </c>
      <c r="D538" t="inlineStr">
        <is>
          <t>ÖREBRO LÄN</t>
        </is>
      </c>
      <c r="E538" t="inlineStr">
        <is>
          <t>HÄLLEFORS</t>
        </is>
      </c>
      <c r="F538" t="inlineStr">
        <is>
          <t>Bergvik skog väst AB</t>
        </is>
      </c>
      <c r="G538" t="n">
        <v>11.1</v>
      </c>
      <c r="H538" t="n">
        <v>0</v>
      </c>
      <c r="I538" t="n">
        <v>0</v>
      </c>
      <c r="J538" t="n">
        <v>0</v>
      </c>
      <c r="K538" t="n">
        <v>0</v>
      </c>
      <c r="L538" t="n">
        <v>0</v>
      </c>
      <c r="M538" t="n">
        <v>0</v>
      </c>
      <c r="N538" t="n">
        <v>0</v>
      </c>
      <c r="O538" t="n">
        <v>0</v>
      </c>
      <c r="P538" t="n">
        <v>0</v>
      </c>
      <c r="Q538" t="n">
        <v>0</v>
      </c>
      <c r="R538" s="2" t="inlineStr"/>
    </row>
    <row r="539" ht="15" customHeight="1">
      <c r="A539" t="inlineStr">
        <is>
          <t>A 13731-2024</t>
        </is>
      </c>
      <c r="B539" s="1" t="n">
        <v>45390</v>
      </c>
      <c r="C539" s="1" t="n">
        <v>45829</v>
      </c>
      <c r="D539" t="inlineStr">
        <is>
          <t>ÖREBRO LÄN</t>
        </is>
      </c>
      <c r="E539" t="inlineStr">
        <is>
          <t>HÄLLEFORS</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14128-2024</t>
        </is>
      </c>
      <c r="B540" s="1" t="n">
        <v>45392</v>
      </c>
      <c r="C540" s="1" t="n">
        <v>45829</v>
      </c>
      <c r="D540" t="inlineStr">
        <is>
          <t>ÖREBRO LÄN</t>
        </is>
      </c>
      <c r="E540" t="inlineStr">
        <is>
          <t>HÄLLEFORS</t>
        </is>
      </c>
      <c r="G540" t="n">
        <v>2.8</v>
      </c>
      <c r="H540" t="n">
        <v>0</v>
      </c>
      <c r="I540" t="n">
        <v>0</v>
      </c>
      <c r="J540" t="n">
        <v>0</v>
      </c>
      <c r="K540" t="n">
        <v>0</v>
      </c>
      <c r="L540" t="n">
        <v>0</v>
      </c>
      <c r="M540" t="n">
        <v>0</v>
      </c>
      <c r="N540" t="n">
        <v>0</v>
      </c>
      <c r="O540" t="n">
        <v>0</v>
      </c>
      <c r="P540" t="n">
        <v>0</v>
      </c>
      <c r="Q540" t="n">
        <v>0</v>
      </c>
      <c r="R540" s="2" t="inlineStr"/>
    </row>
    <row r="541" ht="15" customHeight="1">
      <c r="A541" t="inlineStr">
        <is>
          <t>A 14709-2024</t>
        </is>
      </c>
      <c r="B541" s="1" t="n">
        <v>45397</v>
      </c>
      <c r="C541" s="1" t="n">
        <v>45829</v>
      </c>
      <c r="D541" t="inlineStr">
        <is>
          <t>ÖREBRO LÄN</t>
        </is>
      </c>
      <c r="E541" t="inlineStr">
        <is>
          <t>HÄLLEFORS</t>
        </is>
      </c>
      <c r="G541" t="n">
        <v>5.1</v>
      </c>
      <c r="H541" t="n">
        <v>0</v>
      </c>
      <c r="I541" t="n">
        <v>0</v>
      </c>
      <c r="J541" t="n">
        <v>0</v>
      </c>
      <c r="K541" t="n">
        <v>0</v>
      </c>
      <c r="L541" t="n">
        <v>0</v>
      </c>
      <c r="M541" t="n">
        <v>0</v>
      </c>
      <c r="N541" t="n">
        <v>0</v>
      </c>
      <c r="O541" t="n">
        <v>0</v>
      </c>
      <c r="P541" t="n">
        <v>0</v>
      </c>
      <c r="Q541" t="n">
        <v>0</v>
      </c>
      <c r="R541" s="2" t="inlineStr"/>
    </row>
    <row r="542" ht="15" customHeight="1">
      <c r="A542" t="inlineStr">
        <is>
          <t>A 15013-2024</t>
        </is>
      </c>
      <c r="B542" s="1" t="n">
        <v>45399</v>
      </c>
      <c r="C542" s="1" t="n">
        <v>45829</v>
      </c>
      <c r="D542" t="inlineStr">
        <is>
          <t>ÖREBRO LÄN</t>
        </is>
      </c>
      <c r="E542" t="inlineStr">
        <is>
          <t>HÄLLEFORS</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15011-2024</t>
        </is>
      </c>
      <c r="B543" s="1" t="n">
        <v>45399</v>
      </c>
      <c r="C543" s="1" t="n">
        <v>45829</v>
      </c>
      <c r="D543" t="inlineStr">
        <is>
          <t>ÖREBRO LÄN</t>
        </is>
      </c>
      <c r="E543" t="inlineStr">
        <is>
          <t>HÄLLEFORS</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15757-2024</t>
        </is>
      </c>
      <c r="B544" s="1" t="n">
        <v>45404</v>
      </c>
      <c r="C544" s="1" t="n">
        <v>45829</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15755-2024</t>
        </is>
      </c>
      <c r="B545" s="1" t="n">
        <v>45404</v>
      </c>
      <c r="C545" s="1" t="n">
        <v>45829</v>
      </c>
      <c r="D545" t="inlineStr">
        <is>
          <t>ÖREBRO LÄN</t>
        </is>
      </c>
      <c r="E545" t="inlineStr">
        <is>
          <t>HÄLLEFORS</t>
        </is>
      </c>
      <c r="G545" t="n">
        <v>0.8</v>
      </c>
      <c r="H545" t="n">
        <v>0</v>
      </c>
      <c r="I545" t="n">
        <v>0</v>
      </c>
      <c r="J545" t="n">
        <v>0</v>
      </c>
      <c r="K545" t="n">
        <v>0</v>
      </c>
      <c r="L545" t="n">
        <v>0</v>
      </c>
      <c r="M545" t="n">
        <v>0</v>
      </c>
      <c r="N545" t="n">
        <v>0</v>
      </c>
      <c r="O545" t="n">
        <v>0</v>
      </c>
      <c r="P545" t="n">
        <v>0</v>
      </c>
      <c r="Q545" t="n">
        <v>0</v>
      </c>
      <c r="R545" s="2" t="inlineStr"/>
    </row>
    <row r="546" ht="15" customHeight="1">
      <c r="A546" t="inlineStr">
        <is>
          <t>A 16933-2024</t>
        </is>
      </c>
      <c r="B546" s="1" t="n">
        <v>45411</v>
      </c>
      <c r="C546" s="1" t="n">
        <v>45829</v>
      </c>
      <c r="D546" t="inlineStr">
        <is>
          <t>ÖREBRO LÄN</t>
        </is>
      </c>
      <c r="E546" t="inlineStr">
        <is>
          <t>HÄLLEFORS</t>
        </is>
      </c>
      <c r="G546" t="n">
        <v>2</v>
      </c>
      <c r="H546" t="n">
        <v>0</v>
      </c>
      <c r="I546" t="n">
        <v>0</v>
      </c>
      <c r="J546" t="n">
        <v>0</v>
      </c>
      <c r="K546" t="n">
        <v>0</v>
      </c>
      <c r="L546" t="n">
        <v>0</v>
      </c>
      <c r="M546" t="n">
        <v>0</v>
      </c>
      <c r="N546" t="n">
        <v>0</v>
      </c>
      <c r="O546" t="n">
        <v>0</v>
      </c>
      <c r="P546" t="n">
        <v>0</v>
      </c>
      <c r="Q546" t="n">
        <v>0</v>
      </c>
      <c r="R546" s="2" t="inlineStr"/>
    </row>
    <row r="547" ht="15" customHeight="1">
      <c r="A547" t="inlineStr">
        <is>
          <t>A 16999-2024</t>
        </is>
      </c>
      <c r="B547" s="1" t="n">
        <v>45412</v>
      </c>
      <c r="C547" s="1" t="n">
        <v>45829</v>
      </c>
      <c r="D547" t="inlineStr">
        <is>
          <t>ÖREBRO LÄN</t>
        </is>
      </c>
      <c r="E547" t="inlineStr">
        <is>
          <t>HÄLLEFORS</t>
        </is>
      </c>
      <c r="G547" t="n">
        <v>3.5</v>
      </c>
      <c r="H547" t="n">
        <v>0</v>
      </c>
      <c r="I547" t="n">
        <v>0</v>
      </c>
      <c r="J547" t="n">
        <v>0</v>
      </c>
      <c r="K547" t="n">
        <v>0</v>
      </c>
      <c r="L547" t="n">
        <v>0</v>
      </c>
      <c r="M547" t="n">
        <v>0</v>
      </c>
      <c r="N547" t="n">
        <v>0</v>
      </c>
      <c r="O547" t="n">
        <v>0</v>
      </c>
      <c r="P547" t="n">
        <v>0</v>
      </c>
      <c r="Q547" t="n">
        <v>0</v>
      </c>
      <c r="R547" s="2" t="inlineStr"/>
    </row>
    <row r="548" ht="15" customHeight="1">
      <c r="A548" t="inlineStr">
        <is>
          <t>A 17000-2024</t>
        </is>
      </c>
      <c r="B548" s="1" t="n">
        <v>45412</v>
      </c>
      <c r="C548" s="1" t="n">
        <v>45829</v>
      </c>
      <c r="D548" t="inlineStr">
        <is>
          <t>ÖREBRO LÄN</t>
        </is>
      </c>
      <c r="E548" t="inlineStr">
        <is>
          <t>HÄLLEFORS</t>
        </is>
      </c>
      <c r="G548" t="n">
        <v>1.6</v>
      </c>
      <c r="H548" t="n">
        <v>0</v>
      </c>
      <c r="I548" t="n">
        <v>0</v>
      </c>
      <c r="J548" t="n">
        <v>0</v>
      </c>
      <c r="K548" t="n">
        <v>0</v>
      </c>
      <c r="L548" t="n">
        <v>0</v>
      </c>
      <c r="M548" t="n">
        <v>0</v>
      </c>
      <c r="N548" t="n">
        <v>0</v>
      </c>
      <c r="O548" t="n">
        <v>0</v>
      </c>
      <c r="P548" t="n">
        <v>0</v>
      </c>
      <c r="Q548" t="n">
        <v>0</v>
      </c>
      <c r="R548" s="2" t="inlineStr"/>
    </row>
    <row r="549" ht="15" customHeight="1">
      <c r="A549" t="inlineStr">
        <is>
          <t>A 16998-2024</t>
        </is>
      </c>
      <c r="B549" s="1" t="n">
        <v>45412</v>
      </c>
      <c r="C549" s="1" t="n">
        <v>45829</v>
      </c>
      <c r="D549" t="inlineStr">
        <is>
          <t>ÖREBRO LÄN</t>
        </is>
      </c>
      <c r="E549" t="inlineStr">
        <is>
          <t>HÄLLEFORS</t>
        </is>
      </c>
      <c r="G549" t="n">
        <v>0.7</v>
      </c>
      <c r="H549" t="n">
        <v>0</v>
      </c>
      <c r="I549" t="n">
        <v>0</v>
      </c>
      <c r="J549" t="n">
        <v>0</v>
      </c>
      <c r="K549" t="n">
        <v>0</v>
      </c>
      <c r="L549" t="n">
        <v>0</v>
      </c>
      <c r="M549" t="n">
        <v>0</v>
      </c>
      <c r="N549" t="n">
        <v>0</v>
      </c>
      <c r="O549" t="n">
        <v>0</v>
      </c>
      <c r="P549" t="n">
        <v>0</v>
      </c>
      <c r="Q549" t="n">
        <v>0</v>
      </c>
      <c r="R549" s="2" t="inlineStr"/>
    </row>
    <row r="550" ht="15" customHeight="1">
      <c r="A550" t="inlineStr">
        <is>
          <t>A 17305-2024</t>
        </is>
      </c>
      <c r="B550" s="1" t="n">
        <v>45414</v>
      </c>
      <c r="C550" s="1" t="n">
        <v>45829</v>
      </c>
      <c r="D550" t="inlineStr">
        <is>
          <t>ÖREBRO LÄN</t>
        </is>
      </c>
      <c r="E550" t="inlineStr">
        <is>
          <t>HÄLLEFORS</t>
        </is>
      </c>
      <c r="F550" t="inlineStr">
        <is>
          <t>Bergvik skog väst AB</t>
        </is>
      </c>
      <c r="G550" t="n">
        <v>6.7</v>
      </c>
      <c r="H550" t="n">
        <v>0</v>
      </c>
      <c r="I550" t="n">
        <v>0</v>
      </c>
      <c r="J550" t="n">
        <v>0</v>
      </c>
      <c r="K550" t="n">
        <v>0</v>
      </c>
      <c r="L550" t="n">
        <v>0</v>
      </c>
      <c r="M550" t="n">
        <v>0</v>
      </c>
      <c r="N550" t="n">
        <v>0</v>
      </c>
      <c r="O550" t="n">
        <v>0</v>
      </c>
      <c r="P550" t="n">
        <v>0</v>
      </c>
      <c r="Q550" t="n">
        <v>0</v>
      </c>
      <c r="R550" s="2" t="inlineStr"/>
    </row>
    <row r="551" ht="15" customHeight="1">
      <c r="A551" t="inlineStr">
        <is>
          <t>A 17242-2024</t>
        </is>
      </c>
      <c r="B551" s="1" t="n">
        <v>45414</v>
      </c>
      <c r="C551" s="1" t="n">
        <v>45829</v>
      </c>
      <c r="D551" t="inlineStr">
        <is>
          <t>ÖREBRO LÄN</t>
        </is>
      </c>
      <c r="E551" t="inlineStr">
        <is>
          <t>HÄLLEFORS</t>
        </is>
      </c>
      <c r="F551" t="inlineStr">
        <is>
          <t>Bergvik skog väst AB</t>
        </is>
      </c>
      <c r="G551" t="n">
        <v>4.7</v>
      </c>
      <c r="H551" t="n">
        <v>0</v>
      </c>
      <c r="I551" t="n">
        <v>0</v>
      </c>
      <c r="J551" t="n">
        <v>0</v>
      </c>
      <c r="K551" t="n">
        <v>0</v>
      </c>
      <c r="L551" t="n">
        <v>0</v>
      </c>
      <c r="M551" t="n">
        <v>0</v>
      </c>
      <c r="N551" t="n">
        <v>0</v>
      </c>
      <c r="O551" t="n">
        <v>0</v>
      </c>
      <c r="P551" t="n">
        <v>0</v>
      </c>
      <c r="Q551" t="n">
        <v>0</v>
      </c>
      <c r="R551" s="2" t="inlineStr"/>
    </row>
    <row r="552" ht="15" customHeight="1">
      <c r="A552" t="inlineStr">
        <is>
          <t>A 18168-2024</t>
        </is>
      </c>
      <c r="B552" s="1" t="n">
        <v>45420</v>
      </c>
      <c r="C552" s="1" t="n">
        <v>45829</v>
      </c>
      <c r="D552" t="inlineStr">
        <is>
          <t>ÖREBRO LÄN</t>
        </is>
      </c>
      <c r="E552" t="inlineStr">
        <is>
          <t>HÄLLEFORS</t>
        </is>
      </c>
      <c r="G552" t="n">
        <v>1.4</v>
      </c>
      <c r="H552" t="n">
        <v>0</v>
      </c>
      <c r="I552" t="n">
        <v>0</v>
      </c>
      <c r="J552" t="n">
        <v>0</v>
      </c>
      <c r="K552" t="n">
        <v>0</v>
      </c>
      <c r="L552" t="n">
        <v>0</v>
      </c>
      <c r="M552" t="n">
        <v>0</v>
      </c>
      <c r="N552" t="n">
        <v>0</v>
      </c>
      <c r="O552" t="n">
        <v>0</v>
      </c>
      <c r="P552" t="n">
        <v>0</v>
      </c>
      <c r="Q552" t="n">
        <v>0</v>
      </c>
      <c r="R552" s="2" t="inlineStr"/>
    </row>
    <row r="553" ht="15" customHeight="1">
      <c r="A553" t="inlineStr">
        <is>
          <t>A 19054-2024</t>
        </is>
      </c>
      <c r="B553" s="1" t="n">
        <v>45427</v>
      </c>
      <c r="C553" s="1" t="n">
        <v>45829</v>
      </c>
      <c r="D553" t="inlineStr">
        <is>
          <t>ÖREBRO LÄN</t>
        </is>
      </c>
      <c r="E553" t="inlineStr">
        <is>
          <t>HÄLLEFORS</t>
        </is>
      </c>
      <c r="G553" t="n">
        <v>0.5</v>
      </c>
      <c r="H553" t="n">
        <v>0</v>
      </c>
      <c r="I553" t="n">
        <v>0</v>
      </c>
      <c r="J553" t="n">
        <v>0</v>
      </c>
      <c r="K553" t="n">
        <v>0</v>
      </c>
      <c r="L553" t="n">
        <v>0</v>
      </c>
      <c r="M553" t="n">
        <v>0</v>
      </c>
      <c r="N553" t="n">
        <v>0</v>
      </c>
      <c r="O553" t="n">
        <v>0</v>
      </c>
      <c r="P553" t="n">
        <v>0</v>
      </c>
      <c r="Q553" t="n">
        <v>0</v>
      </c>
      <c r="R553" s="2" t="inlineStr"/>
    </row>
    <row r="554" ht="15" customHeight="1">
      <c r="A554" t="inlineStr">
        <is>
          <t>A 19055-2024</t>
        </is>
      </c>
      <c r="B554" s="1" t="n">
        <v>45427</v>
      </c>
      <c r="C554" s="1" t="n">
        <v>45829</v>
      </c>
      <c r="D554" t="inlineStr">
        <is>
          <t>ÖREBRO LÄN</t>
        </is>
      </c>
      <c r="E554" t="inlineStr">
        <is>
          <t>HÄLLEFORS</t>
        </is>
      </c>
      <c r="G554" t="n">
        <v>0.6</v>
      </c>
      <c r="H554" t="n">
        <v>0</v>
      </c>
      <c r="I554" t="n">
        <v>0</v>
      </c>
      <c r="J554" t="n">
        <v>0</v>
      </c>
      <c r="K554" t="n">
        <v>0</v>
      </c>
      <c r="L554" t="n">
        <v>0</v>
      </c>
      <c r="M554" t="n">
        <v>0</v>
      </c>
      <c r="N554" t="n">
        <v>0</v>
      </c>
      <c r="O554" t="n">
        <v>0</v>
      </c>
      <c r="P554" t="n">
        <v>0</v>
      </c>
      <c r="Q554" t="n">
        <v>0</v>
      </c>
      <c r="R554" s="2" t="inlineStr"/>
    </row>
    <row r="555" ht="15" customHeight="1">
      <c r="A555" t="inlineStr">
        <is>
          <t>A 18889-2024</t>
        </is>
      </c>
      <c r="B555" s="1" t="n">
        <v>45427</v>
      </c>
      <c r="C555" s="1" t="n">
        <v>45829</v>
      </c>
      <c r="D555" t="inlineStr">
        <is>
          <t>ÖREBRO LÄN</t>
        </is>
      </c>
      <c r="E555" t="inlineStr">
        <is>
          <t>HÄLLEFORS</t>
        </is>
      </c>
      <c r="G555" t="n">
        <v>8.5</v>
      </c>
      <c r="H555" t="n">
        <v>0</v>
      </c>
      <c r="I555" t="n">
        <v>0</v>
      </c>
      <c r="J555" t="n">
        <v>0</v>
      </c>
      <c r="K555" t="n">
        <v>0</v>
      </c>
      <c r="L555" t="n">
        <v>0</v>
      </c>
      <c r="M555" t="n">
        <v>0</v>
      </c>
      <c r="N555" t="n">
        <v>0</v>
      </c>
      <c r="O555" t="n">
        <v>0</v>
      </c>
      <c r="P555" t="n">
        <v>0</v>
      </c>
      <c r="Q555" t="n">
        <v>0</v>
      </c>
      <c r="R555" s="2" t="inlineStr"/>
    </row>
    <row r="556" ht="15" customHeight="1">
      <c r="A556" t="inlineStr">
        <is>
          <t>A 19356-2024</t>
        </is>
      </c>
      <c r="B556" s="1" t="n">
        <v>45429</v>
      </c>
      <c r="C556" s="1" t="n">
        <v>45829</v>
      </c>
      <c r="D556" t="inlineStr">
        <is>
          <t>ÖREBRO LÄN</t>
        </is>
      </c>
      <c r="E556" t="inlineStr">
        <is>
          <t>HÄLLEFORS</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19683-2024</t>
        </is>
      </c>
      <c r="B557" s="1" t="n">
        <v>45432</v>
      </c>
      <c r="C557" s="1" t="n">
        <v>45829</v>
      </c>
      <c r="D557" t="inlineStr">
        <is>
          <t>ÖREBRO LÄN</t>
        </is>
      </c>
      <c r="E557" t="inlineStr">
        <is>
          <t>HÄLLEFORS</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19805-2024</t>
        </is>
      </c>
      <c r="B558" s="1" t="n">
        <v>45433</v>
      </c>
      <c r="C558" s="1" t="n">
        <v>45829</v>
      </c>
      <c r="D558" t="inlineStr">
        <is>
          <t>ÖREBRO LÄN</t>
        </is>
      </c>
      <c r="E558" t="inlineStr">
        <is>
          <t>HÄLLEFORS</t>
        </is>
      </c>
      <c r="G558" t="n">
        <v>3</v>
      </c>
      <c r="H558" t="n">
        <v>0</v>
      </c>
      <c r="I558" t="n">
        <v>0</v>
      </c>
      <c r="J558" t="n">
        <v>0</v>
      </c>
      <c r="K558" t="n">
        <v>0</v>
      </c>
      <c r="L558" t="n">
        <v>0</v>
      </c>
      <c r="M558" t="n">
        <v>0</v>
      </c>
      <c r="N558" t="n">
        <v>0</v>
      </c>
      <c r="O558" t="n">
        <v>0</v>
      </c>
      <c r="P558" t="n">
        <v>0</v>
      </c>
      <c r="Q558" t="n">
        <v>0</v>
      </c>
      <c r="R558" s="2" t="inlineStr"/>
    </row>
    <row r="559" ht="15" customHeight="1">
      <c r="A559" t="inlineStr">
        <is>
          <t>A 20075-2024</t>
        </is>
      </c>
      <c r="B559" s="1" t="n">
        <v>45434</v>
      </c>
      <c r="C559" s="1" t="n">
        <v>45829</v>
      </c>
      <c r="D559" t="inlineStr">
        <is>
          <t>ÖREBRO LÄN</t>
        </is>
      </c>
      <c r="E559" t="inlineStr">
        <is>
          <t>HÄLLEFORS</t>
        </is>
      </c>
      <c r="G559" t="n">
        <v>0.8</v>
      </c>
      <c r="H559" t="n">
        <v>0</v>
      </c>
      <c r="I559" t="n">
        <v>0</v>
      </c>
      <c r="J559" t="n">
        <v>0</v>
      </c>
      <c r="K559" t="n">
        <v>0</v>
      </c>
      <c r="L559" t="n">
        <v>0</v>
      </c>
      <c r="M559" t="n">
        <v>0</v>
      </c>
      <c r="N559" t="n">
        <v>0</v>
      </c>
      <c r="O559" t="n">
        <v>0</v>
      </c>
      <c r="P559" t="n">
        <v>0</v>
      </c>
      <c r="Q559" t="n">
        <v>0</v>
      </c>
      <c r="R559" s="2" t="inlineStr"/>
    </row>
    <row r="560" ht="15" customHeight="1">
      <c r="A560" t="inlineStr">
        <is>
          <t>A 20118-2024</t>
        </is>
      </c>
      <c r="B560" s="1" t="n">
        <v>45434</v>
      </c>
      <c r="C560" s="1" t="n">
        <v>45829</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20122-2024</t>
        </is>
      </c>
      <c r="B561" s="1" t="n">
        <v>45434</v>
      </c>
      <c r="C561" s="1" t="n">
        <v>45829</v>
      </c>
      <c r="D561" t="inlineStr">
        <is>
          <t>ÖREBRO LÄN</t>
        </is>
      </c>
      <c r="E561" t="inlineStr">
        <is>
          <t>HÄLLEFORS</t>
        </is>
      </c>
      <c r="G561" t="n">
        <v>2</v>
      </c>
      <c r="H561" t="n">
        <v>0</v>
      </c>
      <c r="I561" t="n">
        <v>0</v>
      </c>
      <c r="J561" t="n">
        <v>0</v>
      </c>
      <c r="K561" t="n">
        <v>0</v>
      </c>
      <c r="L561" t="n">
        <v>0</v>
      </c>
      <c r="M561" t="n">
        <v>0</v>
      </c>
      <c r="N561" t="n">
        <v>0</v>
      </c>
      <c r="O561" t="n">
        <v>0</v>
      </c>
      <c r="P561" t="n">
        <v>0</v>
      </c>
      <c r="Q561" t="n">
        <v>0</v>
      </c>
      <c r="R561" s="2" t="inlineStr"/>
    </row>
    <row r="562" ht="15" customHeight="1">
      <c r="A562" t="inlineStr">
        <is>
          <t>A 20069-2024</t>
        </is>
      </c>
      <c r="B562" s="1" t="n">
        <v>45434</v>
      </c>
      <c r="C562" s="1" t="n">
        <v>45829</v>
      </c>
      <c r="D562" t="inlineStr">
        <is>
          <t>ÖREBRO LÄN</t>
        </is>
      </c>
      <c r="E562" t="inlineStr">
        <is>
          <t>HÄLLEFORS</t>
        </is>
      </c>
      <c r="G562" t="n">
        <v>10.1</v>
      </c>
      <c r="H562" t="n">
        <v>0</v>
      </c>
      <c r="I562" t="n">
        <v>0</v>
      </c>
      <c r="J562" t="n">
        <v>0</v>
      </c>
      <c r="K562" t="n">
        <v>0</v>
      </c>
      <c r="L562" t="n">
        <v>0</v>
      </c>
      <c r="M562" t="n">
        <v>0</v>
      </c>
      <c r="N562" t="n">
        <v>0</v>
      </c>
      <c r="O562" t="n">
        <v>0</v>
      </c>
      <c r="P562" t="n">
        <v>0</v>
      </c>
      <c r="Q562" t="n">
        <v>0</v>
      </c>
      <c r="R562" s="2" t="inlineStr"/>
    </row>
    <row r="563" ht="15" customHeight="1">
      <c r="A563" t="inlineStr">
        <is>
          <t>A 20128-2024</t>
        </is>
      </c>
      <c r="B563" s="1" t="n">
        <v>45434</v>
      </c>
      <c r="C563" s="1" t="n">
        <v>45829</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21001-2024</t>
        </is>
      </c>
      <c r="B564" s="1" t="n">
        <v>45439</v>
      </c>
      <c r="C564" s="1" t="n">
        <v>45829</v>
      </c>
      <c r="D564" t="inlineStr">
        <is>
          <t>ÖREBRO LÄN</t>
        </is>
      </c>
      <c r="E564" t="inlineStr">
        <is>
          <t>HÄLLEFORS</t>
        </is>
      </c>
      <c r="G564" t="n">
        <v>5.9</v>
      </c>
      <c r="H564" t="n">
        <v>0</v>
      </c>
      <c r="I564" t="n">
        <v>0</v>
      </c>
      <c r="J564" t="n">
        <v>0</v>
      </c>
      <c r="K564" t="n">
        <v>0</v>
      </c>
      <c r="L564" t="n">
        <v>0</v>
      </c>
      <c r="M564" t="n">
        <v>0</v>
      </c>
      <c r="N564" t="n">
        <v>0</v>
      </c>
      <c r="O564" t="n">
        <v>0</v>
      </c>
      <c r="P564" t="n">
        <v>0</v>
      </c>
      <c r="Q564" t="n">
        <v>0</v>
      </c>
      <c r="R564" s="2" t="inlineStr"/>
    </row>
    <row r="565" ht="15" customHeight="1">
      <c r="A565" t="inlineStr">
        <is>
          <t>A 21267-2024</t>
        </is>
      </c>
      <c r="B565" s="1" t="n">
        <v>45440</v>
      </c>
      <c r="C565" s="1" t="n">
        <v>45829</v>
      </c>
      <c r="D565" t="inlineStr">
        <is>
          <t>ÖREBRO LÄN</t>
        </is>
      </c>
      <c r="E565" t="inlineStr">
        <is>
          <t>HÄLLEFORS</t>
        </is>
      </c>
      <c r="G565" t="n">
        <v>10.4</v>
      </c>
      <c r="H565" t="n">
        <v>0</v>
      </c>
      <c r="I565" t="n">
        <v>0</v>
      </c>
      <c r="J565" t="n">
        <v>0</v>
      </c>
      <c r="K565" t="n">
        <v>0</v>
      </c>
      <c r="L565" t="n">
        <v>0</v>
      </c>
      <c r="M565" t="n">
        <v>0</v>
      </c>
      <c r="N565" t="n">
        <v>0</v>
      </c>
      <c r="O565" t="n">
        <v>0</v>
      </c>
      <c r="P565" t="n">
        <v>0</v>
      </c>
      <c r="Q565" t="n">
        <v>0</v>
      </c>
      <c r="R565" s="2" t="inlineStr"/>
    </row>
    <row r="566" ht="15" customHeight="1">
      <c r="A566" t="inlineStr">
        <is>
          <t>A 21315-2024</t>
        </is>
      </c>
      <c r="B566" s="1" t="n">
        <v>45440</v>
      </c>
      <c r="C566" s="1" t="n">
        <v>45829</v>
      </c>
      <c r="D566" t="inlineStr">
        <is>
          <t>ÖREBRO LÄN</t>
        </is>
      </c>
      <c r="E566" t="inlineStr">
        <is>
          <t>HÄLLEFORS</t>
        </is>
      </c>
      <c r="G566" t="n">
        <v>3.1</v>
      </c>
      <c r="H566" t="n">
        <v>0</v>
      </c>
      <c r="I566" t="n">
        <v>0</v>
      </c>
      <c r="J566" t="n">
        <v>0</v>
      </c>
      <c r="K566" t="n">
        <v>0</v>
      </c>
      <c r="L566" t="n">
        <v>0</v>
      </c>
      <c r="M566" t="n">
        <v>0</v>
      </c>
      <c r="N566" t="n">
        <v>0</v>
      </c>
      <c r="O566" t="n">
        <v>0</v>
      </c>
      <c r="P566" t="n">
        <v>0</v>
      </c>
      <c r="Q566" t="n">
        <v>0</v>
      </c>
      <c r="R566" s="2" t="inlineStr"/>
    </row>
    <row r="567" ht="15" customHeight="1">
      <c r="A567" t="inlineStr">
        <is>
          <t>A 21489-2024</t>
        </is>
      </c>
      <c r="B567" s="1" t="n">
        <v>45441</v>
      </c>
      <c r="C567" s="1" t="n">
        <v>45829</v>
      </c>
      <c r="D567" t="inlineStr">
        <is>
          <t>ÖREBRO LÄN</t>
        </is>
      </c>
      <c r="E567" t="inlineStr">
        <is>
          <t>HÄLLEFORS</t>
        </is>
      </c>
      <c r="G567" t="n">
        <v>7.4</v>
      </c>
      <c r="H567" t="n">
        <v>0</v>
      </c>
      <c r="I567" t="n">
        <v>0</v>
      </c>
      <c r="J567" t="n">
        <v>0</v>
      </c>
      <c r="K567" t="n">
        <v>0</v>
      </c>
      <c r="L567" t="n">
        <v>0</v>
      </c>
      <c r="M567" t="n">
        <v>0</v>
      </c>
      <c r="N567" t="n">
        <v>0</v>
      </c>
      <c r="O567" t="n">
        <v>0</v>
      </c>
      <c r="P567" t="n">
        <v>0</v>
      </c>
      <c r="Q567" t="n">
        <v>0</v>
      </c>
      <c r="R567" s="2" t="inlineStr"/>
    </row>
    <row r="568" ht="15" customHeight="1">
      <c r="A568" t="inlineStr">
        <is>
          <t>A 23037-2024</t>
        </is>
      </c>
      <c r="B568" s="1" t="n">
        <v>45450</v>
      </c>
      <c r="C568" s="1" t="n">
        <v>45829</v>
      </c>
      <c r="D568" t="inlineStr">
        <is>
          <t>ÖREBRO LÄN</t>
        </is>
      </c>
      <c r="E568" t="inlineStr">
        <is>
          <t>HÄLLEFORS</t>
        </is>
      </c>
      <c r="G568" t="n">
        <v>2.4</v>
      </c>
      <c r="H568" t="n">
        <v>0</v>
      </c>
      <c r="I568" t="n">
        <v>0</v>
      </c>
      <c r="J568" t="n">
        <v>0</v>
      </c>
      <c r="K568" t="n">
        <v>0</v>
      </c>
      <c r="L568" t="n">
        <v>0</v>
      </c>
      <c r="M568" t="n">
        <v>0</v>
      </c>
      <c r="N568" t="n">
        <v>0</v>
      </c>
      <c r="O568" t="n">
        <v>0</v>
      </c>
      <c r="P568" t="n">
        <v>0</v>
      </c>
      <c r="Q568" t="n">
        <v>0</v>
      </c>
      <c r="R568" s="2" t="inlineStr"/>
    </row>
    <row r="569" ht="15" customHeight="1">
      <c r="A569" t="inlineStr">
        <is>
          <t>A 23036-2024</t>
        </is>
      </c>
      <c r="B569" s="1" t="n">
        <v>45450</v>
      </c>
      <c r="C569" s="1" t="n">
        <v>45829</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23218-2024</t>
        </is>
      </c>
      <c r="B570" s="1" t="n">
        <v>45452</v>
      </c>
      <c r="C570" s="1" t="n">
        <v>45829</v>
      </c>
      <c r="D570" t="inlineStr">
        <is>
          <t>ÖREBRO LÄN</t>
        </is>
      </c>
      <c r="E570" t="inlineStr">
        <is>
          <t>HÄLLEFORS</t>
        </is>
      </c>
      <c r="G570" t="n">
        <v>2.7</v>
      </c>
      <c r="H570" t="n">
        <v>0</v>
      </c>
      <c r="I570" t="n">
        <v>0</v>
      </c>
      <c r="J570" t="n">
        <v>0</v>
      </c>
      <c r="K570" t="n">
        <v>0</v>
      </c>
      <c r="L570" t="n">
        <v>0</v>
      </c>
      <c r="M570" t="n">
        <v>0</v>
      </c>
      <c r="N570" t="n">
        <v>0</v>
      </c>
      <c r="O570" t="n">
        <v>0</v>
      </c>
      <c r="P570" t="n">
        <v>0</v>
      </c>
      <c r="Q570" t="n">
        <v>0</v>
      </c>
      <c r="R570" s="2" t="inlineStr"/>
    </row>
    <row r="571" ht="15" customHeight="1">
      <c r="A571" t="inlineStr">
        <is>
          <t>A 23360-2024</t>
        </is>
      </c>
      <c r="B571" s="1" t="n">
        <v>45453</v>
      </c>
      <c r="C571" s="1" t="n">
        <v>45829</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24014-2024</t>
        </is>
      </c>
      <c r="B572" s="1" t="n">
        <v>45456</v>
      </c>
      <c r="C572" s="1" t="n">
        <v>45829</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24011-2024</t>
        </is>
      </c>
      <c r="B573" s="1" t="n">
        <v>45456</v>
      </c>
      <c r="C573" s="1" t="n">
        <v>45829</v>
      </c>
      <c r="D573" t="inlineStr">
        <is>
          <t>ÖREBRO LÄN</t>
        </is>
      </c>
      <c r="E573" t="inlineStr">
        <is>
          <t>HÄLLEFORS</t>
        </is>
      </c>
      <c r="G573" t="n">
        <v>1.1</v>
      </c>
      <c r="H573" t="n">
        <v>0</v>
      </c>
      <c r="I573" t="n">
        <v>0</v>
      </c>
      <c r="J573" t="n">
        <v>0</v>
      </c>
      <c r="K573" t="n">
        <v>0</v>
      </c>
      <c r="L573" t="n">
        <v>0</v>
      </c>
      <c r="M573" t="n">
        <v>0</v>
      </c>
      <c r="N573" t="n">
        <v>0</v>
      </c>
      <c r="O573" t="n">
        <v>0</v>
      </c>
      <c r="P573" t="n">
        <v>0</v>
      </c>
      <c r="Q573" t="n">
        <v>0</v>
      </c>
      <c r="R573" s="2" t="inlineStr"/>
    </row>
    <row r="574" ht="15" customHeight="1">
      <c r="A574" t="inlineStr">
        <is>
          <t>A 24679-2024</t>
        </is>
      </c>
      <c r="B574" s="1" t="n">
        <v>45460</v>
      </c>
      <c r="C574" s="1" t="n">
        <v>45829</v>
      </c>
      <c r="D574" t="inlineStr">
        <is>
          <t>ÖREBRO LÄN</t>
        </is>
      </c>
      <c r="E574" t="inlineStr">
        <is>
          <t>HÄLLEFORS</t>
        </is>
      </c>
      <c r="G574" t="n">
        <v>4.1</v>
      </c>
      <c r="H574" t="n">
        <v>0</v>
      </c>
      <c r="I574" t="n">
        <v>0</v>
      </c>
      <c r="J574" t="n">
        <v>0</v>
      </c>
      <c r="K574" t="n">
        <v>0</v>
      </c>
      <c r="L574" t="n">
        <v>0</v>
      </c>
      <c r="M574" t="n">
        <v>0</v>
      </c>
      <c r="N574" t="n">
        <v>0</v>
      </c>
      <c r="O574" t="n">
        <v>0</v>
      </c>
      <c r="P574" t="n">
        <v>0</v>
      </c>
      <c r="Q574" t="n">
        <v>0</v>
      </c>
      <c r="R574" s="2" t="inlineStr"/>
    </row>
    <row r="575" ht="15" customHeight="1">
      <c r="A575" t="inlineStr">
        <is>
          <t>A 25220-2024</t>
        </is>
      </c>
      <c r="B575" s="1" t="n">
        <v>45462</v>
      </c>
      <c r="C575" s="1" t="n">
        <v>45829</v>
      </c>
      <c r="D575" t="inlineStr">
        <is>
          <t>ÖREBRO LÄN</t>
        </is>
      </c>
      <c r="E575" t="inlineStr">
        <is>
          <t>HÄLLEFORS</t>
        </is>
      </c>
      <c r="G575" t="n">
        <v>2</v>
      </c>
      <c r="H575" t="n">
        <v>0</v>
      </c>
      <c r="I575" t="n">
        <v>0</v>
      </c>
      <c r="J575" t="n">
        <v>0</v>
      </c>
      <c r="K575" t="n">
        <v>0</v>
      </c>
      <c r="L575" t="n">
        <v>0</v>
      </c>
      <c r="M575" t="n">
        <v>0</v>
      </c>
      <c r="N575" t="n">
        <v>0</v>
      </c>
      <c r="O575" t="n">
        <v>0</v>
      </c>
      <c r="P575" t="n">
        <v>0</v>
      </c>
      <c r="Q575" t="n">
        <v>0</v>
      </c>
      <c r="R575" s="2" t="inlineStr"/>
    </row>
    <row r="576" ht="15" customHeight="1">
      <c r="A576" t="inlineStr">
        <is>
          <t>A 25059-2024</t>
        </is>
      </c>
      <c r="B576" s="1" t="n">
        <v>45462</v>
      </c>
      <c r="C576" s="1" t="n">
        <v>45829</v>
      </c>
      <c r="D576" t="inlineStr">
        <is>
          <t>ÖREBRO LÄN</t>
        </is>
      </c>
      <c r="E576" t="inlineStr">
        <is>
          <t>HÄLLEFORS</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25460-2024</t>
        </is>
      </c>
      <c r="B577" s="1" t="n">
        <v>45463</v>
      </c>
      <c r="C577" s="1" t="n">
        <v>45829</v>
      </c>
      <c r="D577" t="inlineStr">
        <is>
          <t>ÖREBRO LÄN</t>
        </is>
      </c>
      <c r="E577" t="inlineStr">
        <is>
          <t>HÄLLEFORS</t>
        </is>
      </c>
      <c r="G577" t="n">
        <v>3.4</v>
      </c>
      <c r="H577" t="n">
        <v>0</v>
      </c>
      <c r="I577" t="n">
        <v>0</v>
      </c>
      <c r="J577" t="n">
        <v>0</v>
      </c>
      <c r="K577" t="n">
        <v>0</v>
      </c>
      <c r="L577" t="n">
        <v>0</v>
      </c>
      <c r="M577" t="n">
        <v>0</v>
      </c>
      <c r="N577" t="n">
        <v>0</v>
      </c>
      <c r="O577" t="n">
        <v>0</v>
      </c>
      <c r="P577" t="n">
        <v>0</v>
      </c>
      <c r="Q577" t="n">
        <v>0</v>
      </c>
      <c r="R577" s="2" t="inlineStr"/>
    </row>
    <row r="578" ht="15" customHeight="1">
      <c r="A578" t="inlineStr">
        <is>
          <t>A 25896-2024</t>
        </is>
      </c>
      <c r="B578" s="1" t="n">
        <v>45467</v>
      </c>
      <c r="C578" s="1" t="n">
        <v>45829</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26747-2024</t>
        </is>
      </c>
      <c r="B579" s="1" t="n">
        <v>45470</v>
      </c>
      <c r="C579" s="1" t="n">
        <v>45829</v>
      </c>
      <c r="D579" t="inlineStr">
        <is>
          <t>ÖREBRO LÄN</t>
        </is>
      </c>
      <c r="E579" t="inlineStr">
        <is>
          <t>HÄLLEFORS</t>
        </is>
      </c>
      <c r="G579" t="n">
        <v>7.9</v>
      </c>
      <c r="H579" t="n">
        <v>0</v>
      </c>
      <c r="I579" t="n">
        <v>0</v>
      </c>
      <c r="J579" t="n">
        <v>0</v>
      </c>
      <c r="K579" t="n">
        <v>0</v>
      </c>
      <c r="L579" t="n">
        <v>0</v>
      </c>
      <c r="M579" t="n">
        <v>0</v>
      </c>
      <c r="N579" t="n">
        <v>0</v>
      </c>
      <c r="O579" t="n">
        <v>0</v>
      </c>
      <c r="P579" t="n">
        <v>0</v>
      </c>
      <c r="Q579" t="n">
        <v>0</v>
      </c>
      <c r="R579" s="2" t="inlineStr"/>
    </row>
    <row r="580" ht="15" customHeight="1">
      <c r="A580" t="inlineStr">
        <is>
          <t>A 28575-2024</t>
        </is>
      </c>
      <c r="B580" s="1" t="n">
        <v>45478</v>
      </c>
      <c r="C580" s="1" t="n">
        <v>45829</v>
      </c>
      <c r="D580" t="inlineStr">
        <is>
          <t>ÖREBRO LÄN</t>
        </is>
      </c>
      <c r="E580" t="inlineStr">
        <is>
          <t>HÄLLEFORS</t>
        </is>
      </c>
      <c r="F580" t="inlineStr">
        <is>
          <t>Bergvik skog väst AB</t>
        </is>
      </c>
      <c r="G580" t="n">
        <v>6.1</v>
      </c>
      <c r="H580" t="n">
        <v>0</v>
      </c>
      <c r="I580" t="n">
        <v>0</v>
      </c>
      <c r="J580" t="n">
        <v>0</v>
      </c>
      <c r="K580" t="n">
        <v>0</v>
      </c>
      <c r="L580" t="n">
        <v>0</v>
      </c>
      <c r="M580" t="n">
        <v>0</v>
      </c>
      <c r="N580" t="n">
        <v>0</v>
      </c>
      <c r="O580" t="n">
        <v>0</v>
      </c>
      <c r="P580" t="n">
        <v>0</v>
      </c>
      <c r="Q580" t="n">
        <v>0</v>
      </c>
      <c r="R580" s="2" t="inlineStr"/>
    </row>
    <row r="581" ht="15" customHeight="1">
      <c r="A581" t="inlineStr">
        <is>
          <t>A 28564-2024</t>
        </is>
      </c>
      <c r="B581" s="1" t="n">
        <v>45478</v>
      </c>
      <c r="C581" s="1" t="n">
        <v>45829</v>
      </c>
      <c r="D581" t="inlineStr">
        <is>
          <t>ÖREBRO LÄN</t>
        </is>
      </c>
      <c r="E581" t="inlineStr">
        <is>
          <t>HÄLLEFORS</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28628-2024</t>
        </is>
      </c>
      <c r="B582" s="1" t="n">
        <v>45478</v>
      </c>
      <c r="C582" s="1" t="n">
        <v>45829</v>
      </c>
      <c r="D582" t="inlineStr">
        <is>
          <t>ÖREBRO LÄN</t>
        </is>
      </c>
      <c r="E582" t="inlineStr">
        <is>
          <t>HÄLLEFORS</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28605-2024</t>
        </is>
      </c>
      <c r="B583" s="1" t="n">
        <v>45478</v>
      </c>
      <c r="C583" s="1" t="n">
        <v>45829</v>
      </c>
      <c r="D583" t="inlineStr">
        <is>
          <t>ÖREBRO LÄN</t>
        </is>
      </c>
      <c r="E583" t="inlineStr">
        <is>
          <t>HÄLLEFORS</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28653-2024</t>
        </is>
      </c>
      <c r="B584" s="1" t="n">
        <v>45478</v>
      </c>
      <c r="C584" s="1" t="n">
        <v>45829</v>
      </c>
      <c r="D584" t="inlineStr">
        <is>
          <t>ÖREBRO LÄN</t>
        </is>
      </c>
      <c r="E584" t="inlineStr">
        <is>
          <t>HÄLLEFORS</t>
        </is>
      </c>
      <c r="G584" t="n">
        <v>0.7</v>
      </c>
      <c r="H584" t="n">
        <v>0</v>
      </c>
      <c r="I584" t="n">
        <v>0</v>
      </c>
      <c r="J584" t="n">
        <v>0</v>
      </c>
      <c r="K584" t="n">
        <v>0</v>
      </c>
      <c r="L584" t="n">
        <v>0</v>
      </c>
      <c r="M584" t="n">
        <v>0</v>
      </c>
      <c r="N584" t="n">
        <v>0</v>
      </c>
      <c r="O584" t="n">
        <v>0</v>
      </c>
      <c r="P584" t="n">
        <v>0</v>
      </c>
      <c r="Q584" t="n">
        <v>0</v>
      </c>
      <c r="R584" s="2" t="inlineStr"/>
    </row>
    <row r="585" ht="15" customHeight="1">
      <c r="A585" t="inlineStr">
        <is>
          <t>A 29027-2024</t>
        </is>
      </c>
      <c r="B585" s="1" t="n">
        <v>45481</v>
      </c>
      <c r="C585" s="1" t="n">
        <v>45829</v>
      </c>
      <c r="D585" t="inlineStr">
        <is>
          <t>ÖREBRO LÄN</t>
        </is>
      </c>
      <c r="E585" t="inlineStr">
        <is>
          <t>HÄLLEFORS</t>
        </is>
      </c>
      <c r="G585" t="n">
        <v>1.5</v>
      </c>
      <c r="H585" t="n">
        <v>0</v>
      </c>
      <c r="I585" t="n">
        <v>0</v>
      </c>
      <c r="J585" t="n">
        <v>0</v>
      </c>
      <c r="K585" t="n">
        <v>0</v>
      </c>
      <c r="L585" t="n">
        <v>0</v>
      </c>
      <c r="M585" t="n">
        <v>0</v>
      </c>
      <c r="N585" t="n">
        <v>0</v>
      </c>
      <c r="O585" t="n">
        <v>0</v>
      </c>
      <c r="P585" t="n">
        <v>0</v>
      </c>
      <c r="Q585" t="n">
        <v>0</v>
      </c>
      <c r="R585" s="2" t="inlineStr"/>
    </row>
    <row r="586" ht="15" customHeight="1">
      <c r="A586" t="inlineStr">
        <is>
          <t>A 28986-2024</t>
        </is>
      </c>
      <c r="B586" s="1" t="n">
        <v>45481</v>
      </c>
      <c r="C586" s="1" t="n">
        <v>45829</v>
      </c>
      <c r="D586" t="inlineStr">
        <is>
          <t>ÖREBRO LÄN</t>
        </is>
      </c>
      <c r="E586" t="inlineStr">
        <is>
          <t>HÄLLEFORS</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29340-2024</t>
        </is>
      </c>
      <c r="B587" s="1" t="n">
        <v>45483</v>
      </c>
      <c r="C587" s="1" t="n">
        <v>45829</v>
      </c>
      <c r="D587" t="inlineStr">
        <is>
          <t>ÖREBRO LÄN</t>
        </is>
      </c>
      <c r="E587" t="inlineStr">
        <is>
          <t>HÄLLEFORS</t>
        </is>
      </c>
      <c r="G587" t="n">
        <v>1.7</v>
      </c>
      <c r="H587" t="n">
        <v>0</v>
      </c>
      <c r="I587" t="n">
        <v>0</v>
      </c>
      <c r="J587" t="n">
        <v>0</v>
      </c>
      <c r="K587" t="n">
        <v>0</v>
      </c>
      <c r="L587" t="n">
        <v>0</v>
      </c>
      <c r="M587" t="n">
        <v>0</v>
      </c>
      <c r="N587" t="n">
        <v>0</v>
      </c>
      <c r="O587" t="n">
        <v>0</v>
      </c>
      <c r="P587" t="n">
        <v>0</v>
      </c>
      <c r="Q587" t="n">
        <v>0</v>
      </c>
      <c r="R587" s="2" t="inlineStr"/>
    </row>
    <row r="588" ht="15" customHeight="1">
      <c r="A588" t="inlineStr">
        <is>
          <t>A 30307-2024</t>
        </is>
      </c>
      <c r="B588" s="1" t="n">
        <v>45490</v>
      </c>
      <c r="C588" s="1" t="n">
        <v>45829</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30591-2024</t>
        </is>
      </c>
      <c r="B589" s="1" t="n">
        <v>45493</v>
      </c>
      <c r="C589" s="1" t="n">
        <v>45829</v>
      </c>
      <c r="D589" t="inlineStr">
        <is>
          <t>ÖREBRO LÄN</t>
        </is>
      </c>
      <c r="E589" t="inlineStr">
        <is>
          <t>HÄLLEFORS</t>
        </is>
      </c>
      <c r="G589" t="n">
        <v>12.5</v>
      </c>
      <c r="H589" t="n">
        <v>0</v>
      </c>
      <c r="I589" t="n">
        <v>0</v>
      </c>
      <c r="J589" t="n">
        <v>0</v>
      </c>
      <c r="K589" t="n">
        <v>0</v>
      </c>
      <c r="L589" t="n">
        <v>0</v>
      </c>
      <c r="M589" t="n">
        <v>0</v>
      </c>
      <c r="N589" t="n">
        <v>0</v>
      </c>
      <c r="O589" t="n">
        <v>0</v>
      </c>
      <c r="P589" t="n">
        <v>0</v>
      </c>
      <c r="Q589" t="n">
        <v>0</v>
      </c>
      <c r="R589" s="2" t="inlineStr"/>
    </row>
    <row r="590" ht="15" customHeight="1">
      <c r="A590" t="inlineStr">
        <is>
          <t>A 30592-2024</t>
        </is>
      </c>
      <c r="B590" s="1" t="n">
        <v>45493</v>
      </c>
      <c r="C590" s="1" t="n">
        <v>45829</v>
      </c>
      <c r="D590" t="inlineStr">
        <is>
          <t>ÖREBRO LÄN</t>
        </is>
      </c>
      <c r="E590" t="inlineStr">
        <is>
          <t>HÄLLEFORS</t>
        </is>
      </c>
      <c r="G590" t="n">
        <v>7.1</v>
      </c>
      <c r="H590" t="n">
        <v>0</v>
      </c>
      <c r="I590" t="n">
        <v>0</v>
      </c>
      <c r="J590" t="n">
        <v>0</v>
      </c>
      <c r="K590" t="n">
        <v>0</v>
      </c>
      <c r="L590" t="n">
        <v>0</v>
      </c>
      <c r="M590" t="n">
        <v>0</v>
      </c>
      <c r="N590" t="n">
        <v>0</v>
      </c>
      <c r="O590" t="n">
        <v>0</v>
      </c>
      <c r="P590" t="n">
        <v>0</v>
      </c>
      <c r="Q590" t="n">
        <v>0</v>
      </c>
      <c r="R590" s="2" t="inlineStr"/>
    </row>
    <row r="591" ht="15" customHeight="1">
      <c r="A591" t="inlineStr">
        <is>
          <t>A 30994-2024</t>
        </is>
      </c>
      <c r="B591" s="1" t="n">
        <v>45499</v>
      </c>
      <c r="C591" s="1" t="n">
        <v>45829</v>
      </c>
      <c r="D591" t="inlineStr">
        <is>
          <t>ÖREBRO LÄN</t>
        </is>
      </c>
      <c r="E591" t="inlineStr">
        <is>
          <t>HÄLLEFORS</t>
        </is>
      </c>
      <c r="G591" t="n">
        <v>4</v>
      </c>
      <c r="H591" t="n">
        <v>0</v>
      </c>
      <c r="I591" t="n">
        <v>0</v>
      </c>
      <c r="J591" t="n">
        <v>0</v>
      </c>
      <c r="K591" t="n">
        <v>0</v>
      </c>
      <c r="L591" t="n">
        <v>0</v>
      </c>
      <c r="M591" t="n">
        <v>0</v>
      </c>
      <c r="N591" t="n">
        <v>0</v>
      </c>
      <c r="O591" t="n">
        <v>0</v>
      </c>
      <c r="P591" t="n">
        <v>0</v>
      </c>
      <c r="Q591" t="n">
        <v>0</v>
      </c>
      <c r="R591" s="2" t="inlineStr"/>
    </row>
    <row r="592" ht="15" customHeight="1">
      <c r="A592" t="inlineStr">
        <is>
          <t>A 32266-2024</t>
        </is>
      </c>
      <c r="B592" s="1" t="n">
        <v>45512</v>
      </c>
      <c r="C592" s="1" t="n">
        <v>45829</v>
      </c>
      <c r="D592" t="inlineStr">
        <is>
          <t>ÖREBRO LÄN</t>
        </is>
      </c>
      <c r="E592" t="inlineStr">
        <is>
          <t>HÄLLEFORS</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33066-2024</t>
        </is>
      </c>
      <c r="B593" s="1" t="n">
        <v>45517</v>
      </c>
      <c r="C593" s="1" t="n">
        <v>45829</v>
      </c>
      <c r="D593" t="inlineStr">
        <is>
          <t>ÖREBRO LÄN</t>
        </is>
      </c>
      <c r="E593" t="inlineStr">
        <is>
          <t>HÄLLEFORS</t>
        </is>
      </c>
      <c r="F593" t="inlineStr">
        <is>
          <t>Bergvik skog väst AB</t>
        </is>
      </c>
      <c r="G593" t="n">
        <v>4.2</v>
      </c>
      <c r="H593" t="n">
        <v>0</v>
      </c>
      <c r="I593" t="n">
        <v>0</v>
      </c>
      <c r="J593" t="n">
        <v>0</v>
      </c>
      <c r="K593" t="n">
        <v>0</v>
      </c>
      <c r="L593" t="n">
        <v>0</v>
      </c>
      <c r="M593" t="n">
        <v>0</v>
      </c>
      <c r="N593" t="n">
        <v>0</v>
      </c>
      <c r="O593" t="n">
        <v>0</v>
      </c>
      <c r="P593" t="n">
        <v>0</v>
      </c>
      <c r="Q593" t="n">
        <v>0</v>
      </c>
      <c r="R593" s="2" t="inlineStr"/>
    </row>
    <row r="594" ht="15" customHeight="1">
      <c r="A594" t="inlineStr">
        <is>
          <t>A 32938-2024</t>
        </is>
      </c>
      <c r="B594" s="1" t="n">
        <v>45517</v>
      </c>
      <c r="C594" s="1" t="n">
        <v>45829</v>
      </c>
      <c r="D594" t="inlineStr">
        <is>
          <t>ÖREBRO LÄN</t>
        </is>
      </c>
      <c r="E594" t="inlineStr">
        <is>
          <t>HÄLLEFORS</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32937-2024</t>
        </is>
      </c>
      <c r="B595" s="1" t="n">
        <v>45517</v>
      </c>
      <c r="C595" s="1" t="n">
        <v>45829</v>
      </c>
      <c r="D595" t="inlineStr">
        <is>
          <t>ÖREBRO LÄN</t>
        </is>
      </c>
      <c r="E595" t="inlineStr">
        <is>
          <t>HÄLLEFORS</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32935-2024</t>
        </is>
      </c>
      <c r="B596" s="1" t="n">
        <v>45517</v>
      </c>
      <c r="C596" s="1" t="n">
        <v>45829</v>
      </c>
      <c r="D596" t="inlineStr">
        <is>
          <t>ÖREBRO LÄN</t>
        </is>
      </c>
      <c r="E596" t="inlineStr">
        <is>
          <t>HÄLLEFORS</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33646-2024</t>
        </is>
      </c>
      <c r="B597" s="1" t="n">
        <v>45520</v>
      </c>
      <c r="C597" s="1" t="n">
        <v>45829</v>
      </c>
      <c r="D597" t="inlineStr">
        <is>
          <t>ÖREBRO LÄN</t>
        </is>
      </c>
      <c r="E597" t="inlineStr">
        <is>
          <t>HÄLLEFORS</t>
        </is>
      </c>
      <c r="G597" t="n">
        <v>2.5</v>
      </c>
      <c r="H597" t="n">
        <v>0</v>
      </c>
      <c r="I597" t="n">
        <v>0</v>
      </c>
      <c r="J597" t="n">
        <v>0</v>
      </c>
      <c r="K597" t="n">
        <v>0</v>
      </c>
      <c r="L597" t="n">
        <v>0</v>
      </c>
      <c r="M597" t="n">
        <v>0</v>
      </c>
      <c r="N597" t="n">
        <v>0</v>
      </c>
      <c r="O597" t="n">
        <v>0</v>
      </c>
      <c r="P597" t="n">
        <v>0</v>
      </c>
      <c r="Q597" t="n">
        <v>0</v>
      </c>
      <c r="R597" s="2" t="inlineStr"/>
    </row>
    <row r="598" ht="15" customHeight="1">
      <c r="A598" t="inlineStr">
        <is>
          <t>A 33944-2024</t>
        </is>
      </c>
      <c r="B598" s="1" t="n">
        <v>45523</v>
      </c>
      <c r="C598" s="1" t="n">
        <v>45829</v>
      </c>
      <c r="D598" t="inlineStr">
        <is>
          <t>ÖREBRO LÄN</t>
        </is>
      </c>
      <c r="E598" t="inlineStr">
        <is>
          <t>HÄLLEFORS</t>
        </is>
      </c>
      <c r="G598" t="n">
        <v>5.9</v>
      </c>
      <c r="H598" t="n">
        <v>0</v>
      </c>
      <c r="I598" t="n">
        <v>0</v>
      </c>
      <c r="J598" t="n">
        <v>0</v>
      </c>
      <c r="K598" t="n">
        <v>0</v>
      </c>
      <c r="L598" t="n">
        <v>0</v>
      </c>
      <c r="M598" t="n">
        <v>0</v>
      </c>
      <c r="N598" t="n">
        <v>0</v>
      </c>
      <c r="O598" t="n">
        <v>0</v>
      </c>
      <c r="P598" t="n">
        <v>0</v>
      </c>
      <c r="Q598" t="n">
        <v>0</v>
      </c>
      <c r="R598" s="2" t="inlineStr"/>
    </row>
    <row r="599" ht="15" customHeight="1">
      <c r="A599" t="inlineStr">
        <is>
          <t>A 35861-2024</t>
        </is>
      </c>
      <c r="B599" s="1" t="n">
        <v>45533</v>
      </c>
      <c r="C599" s="1" t="n">
        <v>45829</v>
      </c>
      <c r="D599" t="inlineStr">
        <is>
          <t>ÖREBRO LÄN</t>
        </is>
      </c>
      <c r="E599" t="inlineStr">
        <is>
          <t>HÄLLEFORS</t>
        </is>
      </c>
      <c r="F599" t="inlineStr">
        <is>
          <t>Bergvik skog väst AB</t>
        </is>
      </c>
      <c r="G599" t="n">
        <v>25.9</v>
      </c>
      <c r="H599" t="n">
        <v>0</v>
      </c>
      <c r="I599" t="n">
        <v>0</v>
      </c>
      <c r="J599" t="n">
        <v>0</v>
      </c>
      <c r="K599" t="n">
        <v>0</v>
      </c>
      <c r="L599" t="n">
        <v>0</v>
      </c>
      <c r="M599" t="n">
        <v>0</v>
      </c>
      <c r="N599" t="n">
        <v>0</v>
      </c>
      <c r="O599" t="n">
        <v>0</v>
      </c>
      <c r="P599" t="n">
        <v>0</v>
      </c>
      <c r="Q599" t="n">
        <v>0</v>
      </c>
      <c r="R599" s="2" t="inlineStr"/>
    </row>
    <row r="600" ht="15" customHeight="1">
      <c r="A600" t="inlineStr">
        <is>
          <t>A 35860-2024</t>
        </is>
      </c>
      <c r="B600" s="1" t="n">
        <v>45533</v>
      </c>
      <c r="C600" s="1" t="n">
        <v>45829</v>
      </c>
      <c r="D600" t="inlineStr">
        <is>
          <t>ÖREBRO LÄN</t>
        </is>
      </c>
      <c r="E600" t="inlineStr">
        <is>
          <t>HÄLLEFORS</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35864-2024</t>
        </is>
      </c>
      <c r="B601" s="1" t="n">
        <v>45533</v>
      </c>
      <c r="C601" s="1" t="n">
        <v>45829</v>
      </c>
      <c r="D601" t="inlineStr">
        <is>
          <t>ÖREBRO LÄN</t>
        </is>
      </c>
      <c r="E601" t="inlineStr">
        <is>
          <t>HÄLLEFORS</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35862-2024</t>
        </is>
      </c>
      <c r="B602" s="1" t="n">
        <v>45533</v>
      </c>
      <c r="C602" s="1" t="n">
        <v>45829</v>
      </c>
      <c r="D602" t="inlineStr">
        <is>
          <t>ÖREBRO LÄN</t>
        </is>
      </c>
      <c r="E602" t="inlineStr">
        <is>
          <t>HÄLLEFORS</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36090-2024</t>
        </is>
      </c>
      <c r="B603" s="1" t="n">
        <v>45533</v>
      </c>
      <c r="C603" s="1" t="n">
        <v>45829</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36149-2024</t>
        </is>
      </c>
      <c r="B604" s="1" t="n">
        <v>45534</v>
      </c>
      <c r="C604" s="1" t="n">
        <v>45829</v>
      </c>
      <c r="D604" t="inlineStr">
        <is>
          <t>ÖREBRO LÄN</t>
        </is>
      </c>
      <c r="E604" t="inlineStr">
        <is>
          <t>HÄLLEFORS</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36159-2024</t>
        </is>
      </c>
      <c r="B605" s="1" t="n">
        <v>45534</v>
      </c>
      <c r="C605" s="1" t="n">
        <v>45829</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36114-2024</t>
        </is>
      </c>
      <c r="B606" s="1" t="n">
        <v>45534</v>
      </c>
      <c r="C606" s="1" t="n">
        <v>45829</v>
      </c>
      <c r="D606" t="inlineStr">
        <is>
          <t>ÖREBRO LÄN</t>
        </is>
      </c>
      <c r="E606" t="inlineStr">
        <is>
          <t>HÄLLEFORS</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36152-2024</t>
        </is>
      </c>
      <c r="B607" s="1" t="n">
        <v>45534</v>
      </c>
      <c r="C607" s="1" t="n">
        <v>45829</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36276-2024</t>
        </is>
      </c>
      <c r="B608" s="1" t="n">
        <v>45534</v>
      </c>
      <c r="C608" s="1" t="n">
        <v>45829</v>
      </c>
      <c r="D608" t="inlineStr">
        <is>
          <t>ÖREBRO LÄN</t>
        </is>
      </c>
      <c r="E608" t="inlineStr">
        <is>
          <t>HÄLLEFORS</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36637-2024</t>
        </is>
      </c>
      <c r="B609" s="1" t="n">
        <v>45537</v>
      </c>
      <c r="C609" s="1" t="n">
        <v>45829</v>
      </c>
      <c r="D609" t="inlineStr">
        <is>
          <t>ÖREBRO LÄN</t>
        </is>
      </c>
      <c r="E609" t="inlineStr">
        <is>
          <t>HÄLLEFORS</t>
        </is>
      </c>
      <c r="G609" t="n">
        <v>3.6</v>
      </c>
      <c r="H609" t="n">
        <v>0</v>
      </c>
      <c r="I609" t="n">
        <v>0</v>
      </c>
      <c r="J609" t="n">
        <v>0</v>
      </c>
      <c r="K609" t="n">
        <v>0</v>
      </c>
      <c r="L609" t="n">
        <v>0</v>
      </c>
      <c r="M609" t="n">
        <v>0</v>
      </c>
      <c r="N609" t="n">
        <v>0</v>
      </c>
      <c r="O609" t="n">
        <v>0</v>
      </c>
      <c r="P609" t="n">
        <v>0</v>
      </c>
      <c r="Q609" t="n">
        <v>0</v>
      </c>
      <c r="R609" s="2" t="inlineStr"/>
    </row>
    <row r="610" ht="15" customHeight="1">
      <c r="A610" t="inlineStr">
        <is>
          <t>A 37542-2024</t>
        </is>
      </c>
      <c r="B610" s="1" t="n">
        <v>45541</v>
      </c>
      <c r="C610" s="1" t="n">
        <v>45829</v>
      </c>
      <c r="D610" t="inlineStr">
        <is>
          <t>ÖREBRO LÄN</t>
        </is>
      </c>
      <c r="E610" t="inlineStr">
        <is>
          <t>HÄLLEFORS</t>
        </is>
      </c>
      <c r="G610" t="n">
        <v>1.6</v>
      </c>
      <c r="H610" t="n">
        <v>0</v>
      </c>
      <c r="I610" t="n">
        <v>0</v>
      </c>
      <c r="J610" t="n">
        <v>0</v>
      </c>
      <c r="K610" t="n">
        <v>0</v>
      </c>
      <c r="L610" t="n">
        <v>0</v>
      </c>
      <c r="M610" t="n">
        <v>0</v>
      </c>
      <c r="N610" t="n">
        <v>0</v>
      </c>
      <c r="O610" t="n">
        <v>0</v>
      </c>
      <c r="P610" t="n">
        <v>0</v>
      </c>
      <c r="Q610" t="n">
        <v>0</v>
      </c>
      <c r="R610" s="2" t="inlineStr"/>
    </row>
    <row r="611" ht="15" customHeight="1">
      <c r="A611" t="inlineStr">
        <is>
          <t>A 38010-2024</t>
        </is>
      </c>
      <c r="B611" s="1" t="n">
        <v>45544</v>
      </c>
      <c r="C611" s="1" t="n">
        <v>45829</v>
      </c>
      <c r="D611" t="inlineStr">
        <is>
          <t>ÖREBRO LÄN</t>
        </is>
      </c>
      <c r="E611" t="inlineStr">
        <is>
          <t>HÄLLEFORS</t>
        </is>
      </c>
      <c r="G611" t="n">
        <v>22.7</v>
      </c>
      <c r="H611" t="n">
        <v>0</v>
      </c>
      <c r="I611" t="n">
        <v>0</v>
      </c>
      <c r="J611" t="n">
        <v>0</v>
      </c>
      <c r="K611" t="n">
        <v>0</v>
      </c>
      <c r="L611" t="n">
        <v>0</v>
      </c>
      <c r="M611" t="n">
        <v>0</v>
      </c>
      <c r="N611" t="n">
        <v>0</v>
      </c>
      <c r="O611" t="n">
        <v>0</v>
      </c>
      <c r="P611" t="n">
        <v>0</v>
      </c>
      <c r="Q611" t="n">
        <v>0</v>
      </c>
      <c r="R611" s="2" t="inlineStr"/>
    </row>
    <row r="612" ht="15" customHeight="1">
      <c r="A612" t="inlineStr">
        <is>
          <t>A 38713-2024</t>
        </is>
      </c>
      <c r="B612" s="1" t="n">
        <v>45547</v>
      </c>
      <c r="C612" s="1" t="n">
        <v>45829</v>
      </c>
      <c r="D612" t="inlineStr">
        <is>
          <t>ÖREBRO LÄN</t>
        </is>
      </c>
      <c r="E612" t="inlineStr">
        <is>
          <t>HÄLLEFORS</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38916-2024</t>
        </is>
      </c>
      <c r="B613" s="1" t="n">
        <v>45547</v>
      </c>
      <c r="C613" s="1" t="n">
        <v>45829</v>
      </c>
      <c r="D613" t="inlineStr">
        <is>
          <t>ÖREBRO LÄN</t>
        </is>
      </c>
      <c r="E613" t="inlineStr">
        <is>
          <t>HÄLLEFORS</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39171-2024</t>
        </is>
      </c>
      <c r="B614" s="1" t="n">
        <v>45548</v>
      </c>
      <c r="C614" s="1" t="n">
        <v>45829</v>
      </c>
      <c r="D614" t="inlineStr">
        <is>
          <t>ÖREBRO LÄN</t>
        </is>
      </c>
      <c r="E614" t="inlineStr">
        <is>
          <t>HÄLLEFORS</t>
        </is>
      </c>
      <c r="G614" t="n">
        <v>3.8</v>
      </c>
      <c r="H614" t="n">
        <v>0</v>
      </c>
      <c r="I614" t="n">
        <v>0</v>
      </c>
      <c r="J614" t="n">
        <v>0</v>
      </c>
      <c r="K614" t="n">
        <v>0</v>
      </c>
      <c r="L614" t="n">
        <v>0</v>
      </c>
      <c r="M614" t="n">
        <v>0</v>
      </c>
      <c r="N614" t="n">
        <v>0</v>
      </c>
      <c r="O614" t="n">
        <v>0</v>
      </c>
      <c r="P614" t="n">
        <v>0</v>
      </c>
      <c r="Q614" t="n">
        <v>0</v>
      </c>
      <c r="R614" s="2" t="inlineStr"/>
    </row>
    <row r="615" ht="15" customHeight="1">
      <c r="A615" t="inlineStr">
        <is>
          <t>A 39513-2024</t>
        </is>
      </c>
      <c r="B615" s="1" t="n">
        <v>45551</v>
      </c>
      <c r="C615" s="1" t="n">
        <v>45829</v>
      </c>
      <c r="D615" t="inlineStr">
        <is>
          <t>ÖREBRO LÄN</t>
        </is>
      </c>
      <c r="E615" t="inlineStr">
        <is>
          <t>HÄLLEFORS</t>
        </is>
      </c>
      <c r="G615" t="n">
        <v>0.7</v>
      </c>
      <c r="H615" t="n">
        <v>0</v>
      </c>
      <c r="I615" t="n">
        <v>0</v>
      </c>
      <c r="J615" t="n">
        <v>0</v>
      </c>
      <c r="K615" t="n">
        <v>0</v>
      </c>
      <c r="L615" t="n">
        <v>0</v>
      </c>
      <c r="M615" t="n">
        <v>0</v>
      </c>
      <c r="N615" t="n">
        <v>0</v>
      </c>
      <c r="O615" t="n">
        <v>0</v>
      </c>
      <c r="P615" t="n">
        <v>0</v>
      </c>
      <c r="Q615" t="n">
        <v>0</v>
      </c>
      <c r="R615" s="2" t="inlineStr"/>
    </row>
    <row r="616" ht="15" customHeight="1">
      <c r="A616" t="inlineStr">
        <is>
          <t>A 42920-2024</t>
        </is>
      </c>
      <c r="B616" s="1" t="n">
        <v>45567</v>
      </c>
      <c r="C616" s="1" t="n">
        <v>45829</v>
      </c>
      <c r="D616" t="inlineStr">
        <is>
          <t>ÖREBRO LÄN</t>
        </is>
      </c>
      <c r="E616" t="inlineStr">
        <is>
          <t>HÄLLEFORS</t>
        </is>
      </c>
      <c r="F616" t="inlineStr">
        <is>
          <t>Bergvik skog väst AB</t>
        </is>
      </c>
      <c r="G616" t="n">
        <v>5.5</v>
      </c>
      <c r="H616" t="n">
        <v>0</v>
      </c>
      <c r="I616" t="n">
        <v>0</v>
      </c>
      <c r="J616" t="n">
        <v>0</v>
      </c>
      <c r="K616" t="n">
        <v>0</v>
      </c>
      <c r="L616" t="n">
        <v>0</v>
      </c>
      <c r="M616" t="n">
        <v>0</v>
      </c>
      <c r="N616" t="n">
        <v>0</v>
      </c>
      <c r="O616" t="n">
        <v>0</v>
      </c>
      <c r="P616" t="n">
        <v>0</v>
      </c>
      <c r="Q616" t="n">
        <v>0</v>
      </c>
      <c r="R616" s="2" t="inlineStr"/>
    </row>
    <row r="617" ht="15" customHeight="1">
      <c r="A617" t="inlineStr">
        <is>
          <t>A 42921-2024</t>
        </is>
      </c>
      <c r="B617" s="1" t="n">
        <v>45567</v>
      </c>
      <c r="C617" s="1" t="n">
        <v>45829</v>
      </c>
      <c r="D617" t="inlineStr">
        <is>
          <t>ÖREBRO LÄN</t>
        </is>
      </c>
      <c r="E617" t="inlineStr">
        <is>
          <t>HÄLLEFORS</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42918-2024</t>
        </is>
      </c>
      <c r="B618" s="1" t="n">
        <v>45567</v>
      </c>
      <c r="C618" s="1" t="n">
        <v>45829</v>
      </c>
      <c r="D618" t="inlineStr">
        <is>
          <t>ÖREBRO LÄN</t>
        </is>
      </c>
      <c r="E618" t="inlineStr">
        <is>
          <t>HÄLLEFORS</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43096-2024</t>
        </is>
      </c>
      <c r="B619" s="1" t="n">
        <v>45567</v>
      </c>
      <c r="C619" s="1" t="n">
        <v>45829</v>
      </c>
      <c r="D619" t="inlineStr">
        <is>
          <t>ÖREBRO LÄN</t>
        </is>
      </c>
      <c r="E619" t="inlineStr">
        <is>
          <t>HÄLLEFORS</t>
        </is>
      </c>
      <c r="G619" t="n">
        <v>5.4</v>
      </c>
      <c r="H619" t="n">
        <v>0</v>
      </c>
      <c r="I619" t="n">
        <v>0</v>
      </c>
      <c r="J619" t="n">
        <v>0</v>
      </c>
      <c r="K619" t="n">
        <v>0</v>
      </c>
      <c r="L619" t="n">
        <v>0</v>
      </c>
      <c r="M619" t="n">
        <v>0</v>
      </c>
      <c r="N619" t="n">
        <v>0</v>
      </c>
      <c r="O619" t="n">
        <v>0</v>
      </c>
      <c r="P619" t="n">
        <v>0</v>
      </c>
      <c r="Q619" t="n">
        <v>0</v>
      </c>
      <c r="R619" s="2" t="inlineStr"/>
    </row>
    <row r="620" ht="15" customHeight="1">
      <c r="A620" t="inlineStr">
        <is>
          <t>A 43876-2024</t>
        </is>
      </c>
      <c r="B620" s="1" t="n">
        <v>45572</v>
      </c>
      <c r="C620" s="1" t="n">
        <v>45829</v>
      </c>
      <c r="D620" t="inlineStr">
        <is>
          <t>ÖREBRO LÄN</t>
        </is>
      </c>
      <c r="E620" t="inlineStr">
        <is>
          <t>HÄLLEFORS</t>
        </is>
      </c>
      <c r="F620" t="inlineStr">
        <is>
          <t>Bergvik skog väst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43966-2024</t>
        </is>
      </c>
      <c r="B621" s="1" t="n">
        <v>45572</v>
      </c>
      <c r="C621" s="1" t="n">
        <v>45829</v>
      </c>
      <c r="D621" t="inlineStr">
        <is>
          <t>ÖREBRO LÄN</t>
        </is>
      </c>
      <c r="E621" t="inlineStr">
        <is>
          <t>HÄLLEFORS</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44007-2024</t>
        </is>
      </c>
      <c r="B622" s="1" t="n">
        <v>45572</v>
      </c>
      <c r="C622" s="1" t="n">
        <v>45829</v>
      </c>
      <c r="D622" t="inlineStr">
        <is>
          <t>ÖREBRO LÄN</t>
        </is>
      </c>
      <c r="E622" t="inlineStr">
        <is>
          <t>HÄLLEFORS</t>
        </is>
      </c>
      <c r="G622" t="n">
        <v>7.3</v>
      </c>
      <c r="H622" t="n">
        <v>0</v>
      </c>
      <c r="I622" t="n">
        <v>0</v>
      </c>
      <c r="J622" t="n">
        <v>0</v>
      </c>
      <c r="K622" t="n">
        <v>0</v>
      </c>
      <c r="L622" t="n">
        <v>0</v>
      </c>
      <c r="M622" t="n">
        <v>0</v>
      </c>
      <c r="N622" t="n">
        <v>0</v>
      </c>
      <c r="O622" t="n">
        <v>0</v>
      </c>
      <c r="P622" t="n">
        <v>0</v>
      </c>
      <c r="Q622" t="n">
        <v>0</v>
      </c>
      <c r="R622" s="2" t="inlineStr"/>
    </row>
    <row r="623" ht="15" customHeight="1">
      <c r="A623" t="inlineStr">
        <is>
          <t>A 44015-2024</t>
        </is>
      </c>
      <c r="B623" s="1" t="n">
        <v>45572</v>
      </c>
      <c r="C623" s="1" t="n">
        <v>45829</v>
      </c>
      <c r="D623" t="inlineStr">
        <is>
          <t>ÖREBRO LÄN</t>
        </is>
      </c>
      <c r="E623" t="inlineStr">
        <is>
          <t>HÄLLEFORS</t>
        </is>
      </c>
      <c r="G623" t="n">
        <v>1.6</v>
      </c>
      <c r="H623" t="n">
        <v>0</v>
      </c>
      <c r="I623" t="n">
        <v>0</v>
      </c>
      <c r="J623" t="n">
        <v>0</v>
      </c>
      <c r="K623" t="n">
        <v>0</v>
      </c>
      <c r="L623" t="n">
        <v>0</v>
      </c>
      <c r="M623" t="n">
        <v>0</v>
      </c>
      <c r="N623" t="n">
        <v>0</v>
      </c>
      <c r="O623" t="n">
        <v>0</v>
      </c>
      <c r="P623" t="n">
        <v>0</v>
      </c>
      <c r="Q623" t="n">
        <v>0</v>
      </c>
      <c r="R623" s="2" t="inlineStr"/>
    </row>
    <row r="624" ht="15" customHeight="1">
      <c r="A624" t="inlineStr">
        <is>
          <t>A 44052-2024</t>
        </is>
      </c>
      <c r="B624" s="1" t="n">
        <v>45572</v>
      </c>
      <c r="C624" s="1" t="n">
        <v>45829</v>
      </c>
      <c r="D624" t="inlineStr">
        <is>
          <t>ÖREBRO LÄN</t>
        </is>
      </c>
      <c r="E624" t="inlineStr">
        <is>
          <t>HÄLLEFORS</t>
        </is>
      </c>
      <c r="G624" t="n">
        <v>2.2</v>
      </c>
      <c r="H624" t="n">
        <v>0</v>
      </c>
      <c r="I624" t="n">
        <v>0</v>
      </c>
      <c r="J624" t="n">
        <v>0</v>
      </c>
      <c r="K624" t="n">
        <v>0</v>
      </c>
      <c r="L624" t="n">
        <v>0</v>
      </c>
      <c r="M624" t="n">
        <v>0</v>
      </c>
      <c r="N624" t="n">
        <v>0</v>
      </c>
      <c r="O624" t="n">
        <v>0</v>
      </c>
      <c r="P624" t="n">
        <v>0</v>
      </c>
      <c r="Q624" t="n">
        <v>0</v>
      </c>
      <c r="R624" s="2" t="inlineStr"/>
    </row>
    <row r="625" ht="15" customHeight="1">
      <c r="A625" t="inlineStr">
        <is>
          <t>A 44105-2024</t>
        </is>
      </c>
      <c r="B625" s="1" t="n">
        <v>45572</v>
      </c>
      <c r="C625" s="1" t="n">
        <v>45829</v>
      </c>
      <c r="D625" t="inlineStr">
        <is>
          <t>ÖREBRO LÄN</t>
        </is>
      </c>
      <c r="E625" t="inlineStr">
        <is>
          <t>HÄLLEFORS</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44129-2024</t>
        </is>
      </c>
      <c r="B626" s="1" t="n">
        <v>45572</v>
      </c>
      <c r="C626" s="1" t="n">
        <v>45829</v>
      </c>
      <c r="D626" t="inlineStr">
        <is>
          <t>ÖREBRO LÄN</t>
        </is>
      </c>
      <c r="E626" t="inlineStr">
        <is>
          <t>HÄLLEFORS</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43886-2024</t>
        </is>
      </c>
      <c r="B627" s="1" t="n">
        <v>45572</v>
      </c>
      <c r="C627" s="1" t="n">
        <v>45829</v>
      </c>
      <c r="D627" t="inlineStr">
        <is>
          <t>ÖREBRO LÄN</t>
        </is>
      </c>
      <c r="E627" t="inlineStr">
        <is>
          <t>HÄLLEFORS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44062-2024</t>
        </is>
      </c>
      <c r="B628" s="1" t="n">
        <v>45572</v>
      </c>
      <c r="C628" s="1" t="n">
        <v>45829</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44143-2024</t>
        </is>
      </c>
      <c r="B629" s="1" t="n">
        <v>45572</v>
      </c>
      <c r="C629" s="1" t="n">
        <v>45829</v>
      </c>
      <c r="D629" t="inlineStr">
        <is>
          <t>ÖREBRO LÄN</t>
        </is>
      </c>
      <c r="E629" t="inlineStr">
        <is>
          <t>HÄLLEFORS</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44123-2024</t>
        </is>
      </c>
      <c r="B630" s="1" t="n">
        <v>45572</v>
      </c>
      <c r="C630" s="1" t="n">
        <v>45829</v>
      </c>
      <c r="D630" t="inlineStr">
        <is>
          <t>ÖREBRO LÄN</t>
        </is>
      </c>
      <c r="E630" t="inlineStr">
        <is>
          <t>HÄLLEFORS</t>
        </is>
      </c>
      <c r="F630" t="inlineStr">
        <is>
          <t>Bergvik skog väst AB</t>
        </is>
      </c>
      <c r="G630" t="n">
        <v>3.3</v>
      </c>
      <c r="H630" t="n">
        <v>0</v>
      </c>
      <c r="I630" t="n">
        <v>0</v>
      </c>
      <c r="J630" t="n">
        <v>0</v>
      </c>
      <c r="K630" t="n">
        <v>0</v>
      </c>
      <c r="L630" t="n">
        <v>0</v>
      </c>
      <c r="M630" t="n">
        <v>0</v>
      </c>
      <c r="N630" t="n">
        <v>0</v>
      </c>
      <c r="O630" t="n">
        <v>0</v>
      </c>
      <c r="P630" t="n">
        <v>0</v>
      </c>
      <c r="Q630" t="n">
        <v>0</v>
      </c>
      <c r="R630" s="2" t="inlineStr"/>
    </row>
    <row r="631" ht="15" customHeight="1">
      <c r="A631" t="inlineStr">
        <is>
          <t>A 44107-2024</t>
        </is>
      </c>
      <c r="B631" s="1" t="n">
        <v>45572</v>
      </c>
      <c r="C631" s="1" t="n">
        <v>45829</v>
      </c>
      <c r="D631" t="inlineStr">
        <is>
          <t>ÖREBRO LÄN</t>
        </is>
      </c>
      <c r="E631" t="inlineStr">
        <is>
          <t>HÄLLEFORS</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44091-2024</t>
        </is>
      </c>
      <c r="B632" s="1" t="n">
        <v>45572</v>
      </c>
      <c r="C632" s="1" t="n">
        <v>45829</v>
      </c>
      <c r="D632" t="inlineStr">
        <is>
          <t>ÖREBRO LÄN</t>
        </is>
      </c>
      <c r="E632" t="inlineStr">
        <is>
          <t>HÄLLEFORS</t>
        </is>
      </c>
      <c r="G632" t="n">
        <v>1</v>
      </c>
      <c r="H632" t="n">
        <v>0</v>
      </c>
      <c r="I632" t="n">
        <v>0</v>
      </c>
      <c r="J632" t="n">
        <v>0</v>
      </c>
      <c r="K632" t="n">
        <v>0</v>
      </c>
      <c r="L632" t="n">
        <v>0</v>
      </c>
      <c r="M632" t="n">
        <v>0</v>
      </c>
      <c r="N632" t="n">
        <v>0</v>
      </c>
      <c r="O632" t="n">
        <v>0</v>
      </c>
      <c r="P632" t="n">
        <v>0</v>
      </c>
      <c r="Q632" t="n">
        <v>0</v>
      </c>
      <c r="R632" s="2" t="inlineStr"/>
    </row>
    <row r="633" ht="15" customHeight="1">
      <c r="A633" t="inlineStr">
        <is>
          <t>A 44106-2024</t>
        </is>
      </c>
      <c r="B633" s="1" t="n">
        <v>45572</v>
      </c>
      <c r="C633" s="1" t="n">
        <v>45829</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44122-2024</t>
        </is>
      </c>
      <c r="B634" s="1" t="n">
        <v>45572</v>
      </c>
      <c r="C634" s="1" t="n">
        <v>45829</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44088-2024</t>
        </is>
      </c>
      <c r="B635" s="1" t="n">
        <v>45572</v>
      </c>
      <c r="C635" s="1" t="n">
        <v>45829</v>
      </c>
      <c r="D635" t="inlineStr">
        <is>
          <t>ÖREBRO LÄN</t>
        </is>
      </c>
      <c r="E635" t="inlineStr">
        <is>
          <t>HÄLLEFORS</t>
        </is>
      </c>
      <c r="G635" t="n">
        <v>4</v>
      </c>
      <c r="H635" t="n">
        <v>0</v>
      </c>
      <c r="I635" t="n">
        <v>0</v>
      </c>
      <c r="J635" t="n">
        <v>0</v>
      </c>
      <c r="K635" t="n">
        <v>0</v>
      </c>
      <c r="L635" t="n">
        <v>0</v>
      </c>
      <c r="M635" t="n">
        <v>0</v>
      </c>
      <c r="N635" t="n">
        <v>0</v>
      </c>
      <c r="O635" t="n">
        <v>0</v>
      </c>
      <c r="P635" t="n">
        <v>0</v>
      </c>
      <c r="Q635" t="n">
        <v>0</v>
      </c>
      <c r="R635" s="2" t="inlineStr"/>
    </row>
    <row r="636" ht="15" customHeight="1">
      <c r="A636" t="inlineStr">
        <is>
          <t>A 44772-2024</t>
        </is>
      </c>
      <c r="B636" s="1" t="n">
        <v>45574</v>
      </c>
      <c r="C636" s="1" t="n">
        <v>45829</v>
      </c>
      <c r="D636" t="inlineStr">
        <is>
          <t>ÖREBRO LÄN</t>
        </is>
      </c>
      <c r="E636" t="inlineStr">
        <is>
          <t>HÄLLEFORS</t>
        </is>
      </c>
      <c r="F636" t="inlineStr">
        <is>
          <t>Sveaskog</t>
        </is>
      </c>
      <c r="G636" t="n">
        <v>7.5</v>
      </c>
      <c r="H636" t="n">
        <v>0</v>
      </c>
      <c r="I636" t="n">
        <v>0</v>
      </c>
      <c r="J636" t="n">
        <v>0</v>
      </c>
      <c r="K636" t="n">
        <v>0</v>
      </c>
      <c r="L636" t="n">
        <v>0</v>
      </c>
      <c r="M636" t="n">
        <v>0</v>
      </c>
      <c r="N636" t="n">
        <v>0</v>
      </c>
      <c r="O636" t="n">
        <v>0</v>
      </c>
      <c r="P636" t="n">
        <v>0</v>
      </c>
      <c r="Q636" t="n">
        <v>0</v>
      </c>
      <c r="R636" s="2" t="inlineStr"/>
    </row>
    <row r="637" ht="15" customHeight="1">
      <c r="A637" t="inlineStr">
        <is>
          <t>A 45689-2024</t>
        </is>
      </c>
      <c r="B637" s="1" t="n">
        <v>45579</v>
      </c>
      <c r="C637" s="1" t="n">
        <v>45829</v>
      </c>
      <c r="D637" t="inlineStr">
        <is>
          <t>ÖREBRO LÄN</t>
        </is>
      </c>
      <c r="E637" t="inlineStr">
        <is>
          <t>HÄLLEFORS</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45691-2024</t>
        </is>
      </c>
      <c r="B638" s="1" t="n">
        <v>45579</v>
      </c>
      <c r="C638" s="1" t="n">
        <v>45829</v>
      </c>
      <c r="D638" t="inlineStr">
        <is>
          <t>ÖREBRO LÄN</t>
        </is>
      </c>
      <c r="E638" t="inlineStr">
        <is>
          <t>HÄLLEFORS</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46168-2024</t>
        </is>
      </c>
      <c r="B639" s="1" t="n">
        <v>45581</v>
      </c>
      <c r="C639" s="1" t="n">
        <v>45829</v>
      </c>
      <c r="D639" t="inlineStr">
        <is>
          <t>ÖREBRO LÄN</t>
        </is>
      </c>
      <c r="E639" t="inlineStr">
        <is>
          <t>HÄLLEFORS</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46599-2024</t>
        </is>
      </c>
      <c r="B640" s="1" t="n">
        <v>45582</v>
      </c>
      <c r="C640" s="1" t="n">
        <v>45829</v>
      </c>
      <c r="D640" t="inlineStr">
        <is>
          <t>ÖREBRO LÄN</t>
        </is>
      </c>
      <c r="E640" t="inlineStr">
        <is>
          <t>HÄLLEFORS</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46639-2024</t>
        </is>
      </c>
      <c r="B641" s="1" t="n">
        <v>45583</v>
      </c>
      <c r="C641" s="1" t="n">
        <v>45829</v>
      </c>
      <c r="D641" t="inlineStr">
        <is>
          <t>ÖREBRO LÄN</t>
        </is>
      </c>
      <c r="E641" t="inlineStr">
        <is>
          <t>HÄLLEFORS</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46616-2024</t>
        </is>
      </c>
      <c r="B642" s="1" t="n">
        <v>45583</v>
      </c>
      <c r="C642" s="1" t="n">
        <v>45829</v>
      </c>
      <c r="D642" t="inlineStr">
        <is>
          <t>ÖREBRO LÄN</t>
        </is>
      </c>
      <c r="E642" t="inlineStr">
        <is>
          <t>HÄLLEFORS</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46621-2024</t>
        </is>
      </c>
      <c r="B643" s="1" t="n">
        <v>45583</v>
      </c>
      <c r="C643" s="1" t="n">
        <v>45829</v>
      </c>
      <c r="D643" t="inlineStr">
        <is>
          <t>ÖREBRO LÄN</t>
        </is>
      </c>
      <c r="E643" t="inlineStr">
        <is>
          <t>HÄLLEFORS</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46642-2024</t>
        </is>
      </c>
      <c r="B644" s="1" t="n">
        <v>45583</v>
      </c>
      <c r="C644" s="1" t="n">
        <v>45829</v>
      </c>
      <c r="D644" t="inlineStr">
        <is>
          <t>ÖREBRO LÄN</t>
        </is>
      </c>
      <c r="E644" t="inlineStr">
        <is>
          <t>HÄLLEFORS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47811-2024</t>
        </is>
      </c>
      <c r="B645" s="1" t="n">
        <v>45588</v>
      </c>
      <c r="C645" s="1" t="n">
        <v>45829</v>
      </c>
      <c r="D645" t="inlineStr">
        <is>
          <t>ÖREBRO LÄN</t>
        </is>
      </c>
      <c r="E645" t="inlineStr">
        <is>
          <t>HÄLLEFORS</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47906-2024</t>
        </is>
      </c>
      <c r="B646" s="1" t="n">
        <v>45589</v>
      </c>
      <c r="C646" s="1" t="n">
        <v>45829</v>
      </c>
      <c r="D646" t="inlineStr">
        <is>
          <t>ÖREBRO LÄN</t>
        </is>
      </c>
      <c r="E646" t="inlineStr">
        <is>
          <t>HÄLLEFORS</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47907-2024</t>
        </is>
      </c>
      <c r="B647" s="1" t="n">
        <v>45589</v>
      </c>
      <c r="C647" s="1" t="n">
        <v>45829</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48429-2024</t>
        </is>
      </c>
      <c r="B648" s="1" t="n">
        <v>45590</v>
      </c>
      <c r="C648" s="1" t="n">
        <v>45829</v>
      </c>
      <c r="D648" t="inlineStr">
        <is>
          <t>ÖREBRO LÄN</t>
        </is>
      </c>
      <c r="E648" t="inlineStr">
        <is>
          <t>HÄLLEFORS</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48650-2024</t>
        </is>
      </c>
      <c r="B649" s="1" t="n">
        <v>45593</v>
      </c>
      <c r="C649" s="1" t="n">
        <v>45829</v>
      </c>
      <c r="D649" t="inlineStr">
        <is>
          <t>ÖREBRO LÄN</t>
        </is>
      </c>
      <c r="E649" t="inlineStr">
        <is>
          <t>HÄLLEFORS</t>
        </is>
      </c>
      <c r="G649" t="n">
        <v>1.8</v>
      </c>
      <c r="H649" t="n">
        <v>0</v>
      </c>
      <c r="I649" t="n">
        <v>0</v>
      </c>
      <c r="J649" t="n">
        <v>0</v>
      </c>
      <c r="K649" t="n">
        <v>0</v>
      </c>
      <c r="L649" t="n">
        <v>0</v>
      </c>
      <c r="M649" t="n">
        <v>0</v>
      </c>
      <c r="N649" t="n">
        <v>0</v>
      </c>
      <c r="O649" t="n">
        <v>0</v>
      </c>
      <c r="P649" t="n">
        <v>0</v>
      </c>
      <c r="Q649" t="n">
        <v>0</v>
      </c>
      <c r="R649" s="2" t="inlineStr"/>
    </row>
    <row r="650" ht="15" customHeight="1">
      <c r="A650" t="inlineStr">
        <is>
          <t>A 50135-2024</t>
        </is>
      </c>
      <c r="B650" s="1" t="n">
        <v>45600</v>
      </c>
      <c r="C650" s="1" t="n">
        <v>45829</v>
      </c>
      <c r="D650" t="inlineStr">
        <is>
          <t>ÖREBRO LÄN</t>
        </is>
      </c>
      <c r="E650" t="inlineStr">
        <is>
          <t>HÄLLEFORS</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50166-2024</t>
        </is>
      </c>
      <c r="B651" s="1" t="n">
        <v>45600</v>
      </c>
      <c r="C651" s="1" t="n">
        <v>45829</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50571-2024</t>
        </is>
      </c>
      <c r="B652" s="1" t="n">
        <v>45601</v>
      </c>
      <c r="C652" s="1" t="n">
        <v>45829</v>
      </c>
      <c r="D652" t="inlineStr">
        <is>
          <t>ÖREBRO LÄN</t>
        </is>
      </c>
      <c r="E652" t="inlineStr">
        <is>
          <t>HÄLLEFORS</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51720-2024</t>
        </is>
      </c>
      <c r="B653" s="1" t="n">
        <v>45607</v>
      </c>
      <c r="C653" s="1" t="n">
        <v>45829</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52270-2024</t>
        </is>
      </c>
      <c r="B654" s="1" t="n">
        <v>45608</v>
      </c>
      <c r="C654" s="1" t="n">
        <v>45829</v>
      </c>
      <c r="D654" t="inlineStr">
        <is>
          <t>ÖREBRO LÄN</t>
        </is>
      </c>
      <c r="E654" t="inlineStr">
        <is>
          <t>HÄLLEFORS</t>
        </is>
      </c>
      <c r="G654" t="n">
        <v>1.6</v>
      </c>
      <c r="H654" t="n">
        <v>0</v>
      </c>
      <c r="I654" t="n">
        <v>0</v>
      </c>
      <c r="J654" t="n">
        <v>0</v>
      </c>
      <c r="K654" t="n">
        <v>0</v>
      </c>
      <c r="L654" t="n">
        <v>0</v>
      </c>
      <c r="M654" t="n">
        <v>0</v>
      </c>
      <c r="N654" t="n">
        <v>0</v>
      </c>
      <c r="O654" t="n">
        <v>0</v>
      </c>
      <c r="P654" t="n">
        <v>0</v>
      </c>
      <c r="Q654" t="n">
        <v>0</v>
      </c>
      <c r="R654" s="2" t="inlineStr"/>
    </row>
    <row r="655" ht="15" customHeight="1">
      <c r="A655" t="inlineStr">
        <is>
          <t>A 52606-2024</t>
        </is>
      </c>
      <c r="B655" s="1" t="n">
        <v>45609</v>
      </c>
      <c r="C655" s="1" t="n">
        <v>45829</v>
      </c>
      <c r="D655" t="inlineStr">
        <is>
          <t>ÖREBRO LÄN</t>
        </is>
      </c>
      <c r="E655" t="inlineStr">
        <is>
          <t>HÄLLEFORS</t>
        </is>
      </c>
      <c r="G655" t="n">
        <v>4.2</v>
      </c>
      <c r="H655" t="n">
        <v>0</v>
      </c>
      <c r="I655" t="n">
        <v>0</v>
      </c>
      <c r="J655" t="n">
        <v>0</v>
      </c>
      <c r="K655" t="n">
        <v>0</v>
      </c>
      <c r="L655" t="n">
        <v>0</v>
      </c>
      <c r="M655" t="n">
        <v>0</v>
      </c>
      <c r="N655" t="n">
        <v>0</v>
      </c>
      <c r="O655" t="n">
        <v>0</v>
      </c>
      <c r="P655" t="n">
        <v>0</v>
      </c>
      <c r="Q655" t="n">
        <v>0</v>
      </c>
      <c r="R655" s="2" t="inlineStr"/>
    </row>
    <row r="656" ht="15" customHeight="1">
      <c r="A656" t="inlineStr">
        <is>
          <t>A 52642-2024</t>
        </is>
      </c>
      <c r="B656" s="1" t="n">
        <v>45610</v>
      </c>
      <c r="C656" s="1" t="n">
        <v>45829</v>
      </c>
      <c r="D656" t="inlineStr">
        <is>
          <t>ÖREBRO LÄN</t>
        </is>
      </c>
      <c r="E656" t="inlineStr">
        <is>
          <t>HÄLLEFORS</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53344-2024</t>
        </is>
      </c>
      <c r="B657" s="1" t="n">
        <v>45614</v>
      </c>
      <c r="C657" s="1" t="n">
        <v>45829</v>
      </c>
      <c r="D657" t="inlineStr">
        <is>
          <t>ÖREBRO LÄN</t>
        </is>
      </c>
      <c r="E657" t="inlineStr">
        <is>
          <t>HÄLLEFORS</t>
        </is>
      </c>
      <c r="G657" t="n">
        <v>0.9</v>
      </c>
      <c r="H657" t="n">
        <v>0</v>
      </c>
      <c r="I657" t="n">
        <v>0</v>
      </c>
      <c r="J657" t="n">
        <v>0</v>
      </c>
      <c r="K657" t="n">
        <v>0</v>
      </c>
      <c r="L657" t="n">
        <v>0</v>
      </c>
      <c r="M657" t="n">
        <v>0</v>
      </c>
      <c r="N657" t="n">
        <v>0</v>
      </c>
      <c r="O657" t="n">
        <v>0</v>
      </c>
      <c r="P657" t="n">
        <v>0</v>
      </c>
      <c r="Q657" t="n">
        <v>0</v>
      </c>
      <c r="R657" s="2" t="inlineStr"/>
    </row>
    <row r="658" ht="15" customHeight="1">
      <c r="A658" t="inlineStr">
        <is>
          <t>A 53340-2024</t>
        </is>
      </c>
      <c r="B658" s="1" t="n">
        <v>45614</v>
      </c>
      <c r="C658" s="1" t="n">
        <v>45829</v>
      </c>
      <c r="D658" t="inlineStr">
        <is>
          <t>ÖREBRO LÄN</t>
        </is>
      </c>
      <c r="E658" t="inlineStr">
        <is>
          <t>HÄLLEFORS</t>
        </is>
      </c>
      <c r="G658" t="n">
        <v>1.3</v>
      </c>
      <c r="H658" t="n">
        <v>0</v>
      </c>
      <c r="I658" t="n">
        <v>0</v>
      </c>
      <c r="J658" t="n">
        <v>0</v>
      </c>
      <c r="K658" t="n">
        <v>0</v>
      </c>
      <c r="L658" t="n">
        <v>0</v>
      </c>
      <c r="M658" t="n">
        <v>0</v>
      </c>
      <c r="N658" t="n">
        <v>0</v>
      </c>
      <c r="O658" t="n">
        <v>0</v>
      </c>
      <c r="P658" t="n">
        <v>0</v>
      </c>
      <c r="Q658" t="n">
        <v>0</v>
      </c>
      <c r="R658" s="2" t="inlineStr"/>
    </row>
    <row r="659" ht="15" customHeight="1">
      <c r="A659" t="inlineStr">
        <is>
          <t>A 54995-2024</t>
        </is>
      </c>
      <c r="B659" s="1" t="n">
        <v>45621</v>
      </c>
      <c r="C659" s="1" t="n">
        <v>45829</v>
      </c>
      <c r="D659" t="inlineStr">
        <is>
          <t>ÖREBRO LÄN</t>
        </is>
      </c>
      <c r="E659" t="inlineStr">
        <is>
          <t>HÄLLEFORS</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55099-2024</t>
        </is>
      </c>
      <c r="B660" s="1" t="n">
        <v>45621</v>
      </c>
      <c r="C660" s="1" t="n">
        <v>45829</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55745-2024</t>
        </is>
      </c>
      <c r="B661" s="1" t="n">
        <v>45623</v>
      </c>
      <c r="C661" s="1" t="n">
        <v>45829</v>
      </c>
      <c r="D661" t="inlineStr">
        <is>
          <t>ÖREBRO LÄN</t>
        </is>
      </c>
      <c r="E661" t="inlineStr">
        <is>
          <t>HÄLLEFORS</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55747-2024</t>
        </is>
      </c>
      <c r="B662" s="1" t="n">
        <v>45623</v>
      </c>
      <c r="C662" s="1" t="n">
        <v>45829</v>
      </c>
      <c r="D662" t="inlineStr">
        <is>
          <t>ÖREBRO LÄN</t>
        </is>
      </c>
      <c r="E662" t="inlineStr">
        <is>
          <t>HÄLLEFORS</t>
        </is>
      </c>
      <c r="F662" t="inlineStr">
        <is>
          <t>Bergvik skog väst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56236-2024</t>
        </is>
      </c>
      <c r="B663" s="1" t="n">
        <v>45624</v>
      </c>
      <c r="C663" s="1" t="n">
        <v>45829</v>
      </c>
      <c r="D663" t="inlineStr">
        <is>
          <t>ÖREBRO LÄN</t>
        </is>
      </c>
      <c r="E663" t="inlineStr">
        <is>
          <t>HÄLLEFORS</t>
        </is>
      </c>
      <c r="F663" t="inlineStr">
        <is>
          <t>Bergvik skog väst AB</t>
        </is>
      </c>
      <c r="G663" t="n">
        <v>15.4</v>
      </c>
      <c r="H663" t="n">
        <v>0</v>
      </c>
      <c r="I663" t="n">
        <v>0</v>
      </c>
      <c r="J663" t="n">
        <v>0</v>
      </c>
      <c r="K663" t="n">
        <v>0</v>
      </c>
      <c r="L663" t="n">
        <v>0</v>
      </c>
      <c r="M663" t="n">
        <v>0</v>
      </c>
      <c r="N663" t="n">
        <v>0</v>
      </c>
      <c r="O663" t="n">
        <v>0</v>
      </c>
      <c r="P663" t="n">
        <v>0</v>
      </c>
      <c r="Q663" t="n">
        <v>0</v>
      </c>
      <c r="R663" s="2" t="inlineStr"/>
    </row>
    <row r="664" ht="15" customHeight="1">
      <c r="A664" t="inlineStr">
        <is>
          <t>A 56184-2024</t>
        </is>
      </c>
      <c r="B664" s="1" t="n">
        <v>45624</v>
      </c>
      <c r="C664" s="1" t="n">
        <v>45829</v>
      </c>
      <c r="D664" t="inlineStr">
        <is>
          <t>ÖREBRO LÄN</t>
        </is>
      </c>
      <c r="E664" t="inlineStr">
        <is>
          <t>HÄLLEFORS</t>
        </is>
      </c>
      <c r="F664" t="inlineStr">
        <is>
          <t>Bergvik skog väst AB</t>
        </is>
      </c>
      <c r="G664" t="n">
        <v>12.6</v>
      </c>
      <c r="H664" t="n">
        <v>0</v>
      </c>
      <c r="I664" t="n">
        <v>0</v>
      </c>
      <c r="J664" t="n">
        <v>0</v>
      </c>
      <c r="K664" t="n">
        <v>0</v>
      </c>
      <c r="L664" t="n">
        <v>0</v>
      </c>
      <c r="M664" t="n">
        <v>0</v>
      </c>
      <c r="N664" t="n">
        <v>0</v>
      </c>
      <c r="O664" t="n">
        <v>0</v>
      </c>
      <c r="P664" t="n">
        <v>0</v>
      </c>
      <c r="Q664" t="n">
        <v>0</v>
      </c>
      <c r="R664" s="2" t="inlineStr"/>
    </row>
    <row r="665" ht="15" customHeight="1">
      <c r="A665" t="inlineStr">
        <is>
          <t>A 56193-2024</t>
        </is>
      </c>
      <c r="B665" s="1" t="n">
        <v>45624</v>
      </c>
      <c r="C665" s="1" t="n">
        <v>45829</v>
      </c>
      <c r="D665" t="inlineStr">
        <is>
          <t>ÖREBRO LÄN</t>
        </is>
      </c>
      <c r="E665" t="inlineStr">
        <is>
          <t>HÄLLEFORS</t>
        </is>
      </c>
      <c r="F665" t="inlineStr">
        <is>
          <t>Bergvik skog väst AB</t>
        </is>
      </c>
      <c r="G665" t="n">
        <v>10.8</v>
      </c>
      <c r="H665" t="n">
        <v>0</v>
      </c>
      <c r="I665" t="n">
        <v>0</v>
      </c>
      <c r="J665" t="n">
        <v>0</v>
      </c>
      <c r="K665" t="n">
        <v>0</v>
      </c>
      <c r="L665" t="n">
        <v>0</v>
      </c>
      <c r="M665" t="n">
        <v>0</v>
      </c>
      <c r="N665" t="n">
        <v>0</v>
      </c>
      <c r="O665" t="n">
        <v>0</v>
      </c>
      <c r="P665" t="n">
        <v>0</v>
      </c>
      <c r="Q665" t="n">
        <v>0</v>
      </c>
      <c r="R665" s="2" t="inlineStr"/>
    </row>
    <row r="666" ht="15" customHeight="1">
      <c r="A666" t="inlineStr">
        <is>
          <t>A 56161-2024</t>
        </is>
      </c>
      <c r="B666" s="1" t="n">
        <v>45624</v>
      </c>
      <c r="C666" s="1" t="n">
        <v>45829</v>
      </c>
      <c r="D666" t="inlineStr">
        <is>
          <t>ÖREBRO LÄN</t>
        </is>
      </c>
      <c r="E666" t="inlineStr">
        <is>
          <t>HÄLLEFORS</t>
        </is>
      </c>
      <c r="F666" t="inlineStr">
        <is>
          <t>Bergvik skog väst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56237-2024</t>
        </is>
      </c>
      <c r="B667" s="1" t="n">
        <v>45624</v>
      </c>
      <c r="C667" s="1" t="n">
        <v>45829</v>
      </c>
      <c r="D667" t="inlineStr">
        <is>
          <t>ÖREBRO LÄN</t>
        </is>
      </c>
      <c r="E667" t="inlineStr">
        <is>
          <t>HÄLLEFORS</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56294-2024</t>
        </is>
      </c>
      <c r="B668" s="1" t="n">
        <v>45624</v>
      </c>
      <c r="C668" s="1" t="n">
        <v>45829</v>
      </c>
      <c r="D668" t="inlineStr">
        <is>
          <t>ÖREBRO LÄN</t>
        </is>
      </c>
      <c r="E668" t="inlineStr">
        <is>
          <t>HÄLLEFORS</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56298-2024</t>
        </is>
      </c>
      <c r="B669" s="1" t="n">
        <v>45624</v>
      </c>
      <c r="C669" s="1" t="n">
        <v>45829</v>
      </c>
      <c r="D669" t="inlineStr">
        <is>
          <t>ÖREBRO LÄN</t>
        </is>
      </c>
      <c r="E669" t="inlineStr">
        <is>
          <t>HÄLLEFORS</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56697-2024</t>
        </is>
      </c>
      <c r="B670" s="1" t="n">
        <v>45627</v>
      </c>
      <c r="C670" s="1" t="n">
        <v>45829</v>
      </c>
      <c r="D670" t="inlineStr">
        <is>
          <t>ÖREBRO LÄN</t>
        </is>
      </c>
      <c r="E670" t="inlineStr">
        <is>
          <t>HÄLLEFORS</t>
        </is>
      </c>
      <c r="G670" t="n">
        <v>6.2</v>
      </c>
      <c r="H670" t="n">
        <v>0</v>
      </c>
      <c r="I670" t="n">
        <v>0</v>
      </c>
      <c r="J670" t="n">
        <v>0</v>
      </c>
      <c r="K670" t="n">
        <v>0</v>
      </c>
      <c r="L670" t="n">
        <v>0</v>
      </c>
      <c r="M670" t="n">
        <v>0</v>
      </c>
      <c r="N670" t="n">
        <v>0</v>
      </c>
      <c r="O670" t="n">
        <v>0</v>
      </c>
      <c r="P670" t="n">
        <v>0</v>
      </c>
      <c r="Q670" t="n">
        <v>0</v>
      </c>
      <c r="R670" s="2" t="inlineStr"/>
    </row>
    <row r="671" ht="15" customHeight="1">
      <c r="A671" t="inlineStr">
        <is>
          <t>A 57261-2024</t>
        </is>
      </c>
      <c r="B671" s="1" t="n">
        <v>45629</v>
      </c>
      <c r="C671" s="1" t="n">
        <v>45829</v>
      </c>
      <c r="D671" t="inlineStr">
        <is>
          <t>ÖREBRO LÄN</t>
        </is>
      </c>
      <c r="E671" t="inlineStr">
        <is>
          <t>HÄLLEFORS</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57254-2024</t>
        </is>
      </c>
      <c r="B672" s="1" t="n">
        <v>45629</v>
      </c>
      <c r="C672" s="1" t="n">
        <v>45829</v>
      </c>
      <c r="D672" t="inlineStr">
        <is>
          <t>ÖREBRO LÄN</t>
        </is>
      </c>
      <c r="E672" t="inlineStr">
        <is>
          <t>HÄLLEFORS</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57259-2024</t>
        </is>
      </c>
      <c r="B673" s="1" t="n">
        <v>45629</v>
      </c>
      <c r="C673" s="1" t="n">
        <v>45829</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58768-2024</t>
        </is>
      </c>
      <c r="B674" s="1" t="n">
        <v>45635</v>
      </c>
      <c r="C674" s="1" t="n">
        <v>45829</v>
      </c>
      <c r="D674" t="inlineStr">
        <is>
          <t>ÖREBRO LÄN</t>
        </is>
      </c>
      <c r="E674" t="inlineStr">
        <is>
          <t>HÄLLEFORS</t>
        </is>
      </c>
      <c r="G674" t="n">
        <v>0.9</v>
      </c>
      <c r="H674" t="n">
        <v>0</v>
      </c>
      <c r="I674" t="n">
        <v>0</v>
      </c>
      <c r="J674" t="n">
        <v>0</v>
      </c>
      <c r="K674" t="n">
        <v>0</v>
      </c>
      <c r="L674" t="n">
        <v>0</v>
      </c>
      <c r="M674" t="n">
        <v>0</v>
      </c>
      <c r="N674" t="n">
        <v>0</v>
      </c>
      <c r="O674" t="n">
        <v>0</v>
      </c>
      <c r="P674" t="n">
        <v>0</v>
      </c>
      <c r="Q674" t="n">
        <v>0</v>
      </c>
      <c r="R674" s="2" t="inlineStr"/>
    </row>
    <row r="675" ht="15" customHeight="1">
      <c r="A675" t="inlineStr">
        <is>
          <t>A 59976-2024</t>
        </is>
      </c>
      <c r="B675" s="1" t="n">
        <v>45642</v>
      </c>
      <c r="C675" s="1" t="n">
        <v>45829</v>
      </c>
      <c r="D675" t="inlineStr">
        <is>
          <t>ÖREBRO LÄN</t>
        </is>
      </c>
      <c r="E675" t="inlineStr">
        <is>
          <t>HÄLLEFORS</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59963-2024</t>
        </is>
      </c>
      <c r="B676" s="1" t="n">
        <v>45642</v>
      </c>
      <c r="C676" s="1" t="n">
        <v>45829</v>
      </c>
      <c r="D676" t="inlineStr">
        <is>
          <t>ÖREBRO LÄN</t>
        </is>
      </c>
      <c r="E676" t="inlineStr">
        <is>
          <t>HÄLLEFORS</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59957-2024</t>
        </is>
      </c>
      <c r="B677" s="1" t="n">
        <v>45642</v>
      </c>
      <c r="C677" s="1" t="n">
        <v>45829</v>
      </c>
      <c r="D677" t="inlineStr">
        <is>
          <t>ÖREBRO LÄN</t>
        </is>
      </c>
      <c r="E677" t="inlineStr">
        <is>
          <t>HÄLLEFORS</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59959-2024</t>
        </is>
      </c>
      <c r="B678" s="1" t="n">
        <v>45642</v>
      </c>
      <c r="C678" s="1" t="n">
        <v>45829</v>
      </c>
      <c r="D678" t="inlineStr">
        <is>
          <t>ÖREBRO LÄN</t>
        </is>
      </c>
      <c r="E678" t="inlineStr">
        <is>
          <t>HÄLLEFORS</t>
        </is>
      </c>
      <c r="F678" t="inlineStr">
        <is>
          <t>Bergvik skog väst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59970-2024</t>
        </is>
      </c>
      <c r="B679" s="1" t="n">
        <v>45642</v>
      </c>
      <c r="C679" s="1" t="n">
        <v>45829</v>
      </c>
      <c r="D679" t="inlineStr">
        <is>
          <t>ÖREBRO LÄN</t>
        </is>
      </c>
      <c r="E679" t="inlineStr">
        <is>
          <t>HÄLLEFORS</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59955-2024</t>
        </is>
      </c>
      <c r="B680" s="1" t="n">
        <v>45642</v>
      </c>
      <c r="C680" s="1" t="n">
        <v>45829</v>
      </c>
      <c r="D680" t="inlineStr">
        <is>
          <t>ÖREBRO LÄN</t>
        </is>
      </c>
      <c r="E680" t="inlineStr">
        <is>
          <t>HÄLLEFORS</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60371-2024</t>
        </is>
      </c>
      <c r="B681" s="1" t="n">
        <v>45643</v>
      </c>
      <c r="C681" s="1" t="n">
        <v>45829</v>
      </c>
      <c r="D681" t="inlineStr">
        <is>
          <t>ÖREBRO LÄN</t>
        </is>
      </c>
      <c r="E681" t="inlineStr">
        <is>
          <t>HÄLLEFORS</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60486-2024</t>
        </is>
      </c>
      <c r="B682" s="1" t="n">
        <v>45643</v>
      </c>
      <c r="C682" s="1" t="n">
        <v>45829</v>
      </c>
      <c r="D682" t="inlineStr">
        <is>
          <t>ÖREBRO LÄN</t>
        </is>
      </c>
      <c r="E682" t="inlineStr">
        <is>
          <t>HÄLLEFORS</t>
        </is>
      </c>
      <c r="F682" t="inlineStr">
        <is>
          <t>Bergvik skog väst AB</t>
        </is>
      </c>
      <c r="G682" t="n">
        <v>5</v>
      </c>
      <c r="H682" t="n">
        <v>0</v>
      </c>
      <c r="I682" t="n">
        <v>0</v>
      </c>
      <c r="J682" t="n">
        <v>0</v>
      </c>
      <c r="K682" t="n">
        <v>0</v>
      </c>
      <c r="L682" t="n">
        <v>0</v>
      </c>
      <c r="M682" t="n">
        <v>0</v>
      </c>
      <c r="N682" t="n">
        <v>0</v>
      </c>
      <c r="O682" t="n">
        <v>0</v>
      </c>
      <c r="P682" t="n">
        <v>0</v>
      </c>
      <c r="Q682" t="n">
        <v>0</v>
      </c>
      <c r="R682" s="2" t="inlineStr"/>
    </row>
    <row r="683" ht="15" customHeight="1">
      <c r="A683" t="inlineStr">
        <is>
          <t>A 60306-2024</t>
        </is>
      </c>
      <c r="B683" s="1" t="n">
        <v>45643</v>
      </c>
      <c r="C683" s="1" t="n">
        <v>45829</v>
      </c>
      <c r="D683" t="inlineStr">
        <is>
          <t>ÖREBRO LÄN</t>
        </is>
      </c>
      <c r="E683" t="inlineStr">
        <is>
          <t>HÄLLEFORS</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60303-2024</t>
        </is>
      </c>
      <c r="B684" s="1" t="n">
        <v>45643</v>
      </c>
      <c r="C684" s="1" t="n">
        <v>45829</v>
      </c>
      <c r="D684" t="inlineStr">
        <is>
          <t>ÖREBRO LÄN</t>
        </is>
      </c>
      <c r="E684" t="inlineStr">
        <is>
          <t>HÄLLEFORS</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60312-2024</t>
        </is>
      </c>
      <c r="B685" s="1" t="n">
        <v>45643</v>
      </c>
      <c r="C685" s="1" t="n">
        <v>45829</v>
      </c>
      <c r="D685" t="inlineStr">
        <is>
          <t>ÖREBRO LÄN</t>
        </is>
      </c>
      <c r="E685" t="inlineStr">
        <is>
          <t>HÄLLEFORS</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60300-2024</t>
        </is>
      </c>
      <c r="B686" s="1" t="n">
        <v>45643</v>
      </c>
      <c r="C686" s="1" t="n">
        <v>45829</v>
      </c>
      <c r="D686" t="inlineStr">
        <is>
          <t>ÖREBRO LÄN</t>
        </is>
      </c>
      <c r="E686" t="inlineStr">
        <is>
          <t>HÄLLEFORS</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60515-2024</t>
        </is>
      </c>
      <c r="B687" s="1" t="n">
        <v>45643</v>
      </c>
      <c r="C687" s="1" t="n">
        <v>45829</v>
      </c>
      <c r="D687" t="inlineStr">
        <is>
          <t>ÖREBRO LÄN</t>
        </is>
      </c>
      <c r="E687" t="inlineStr">
        <is>
          <t>HÄLLEFORS</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60523-2024</t>
        </is>
      </c>
      <c r="B688" s="1" t="n">
        <v>45643</v>
      </c>
      <c r="C688" s="1" t="n">
        <v>45829</v>
      </c>
      <c r="D688" t="inlineStr">
        <is>
          <t>ÖREBRO LÄN</t>
        </is>
      </c>
      <c r="E688" t="inlineStr">
        <is>
          <t>HÄLLEFORS</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60527-2024</t>
        </is>
      </c>
      <c r="B689" s="1" t="n">
        <v>45643</v>
      </c>
      <c r="C689" s="1" t="n">
        <v>45829</v>
      </c>
      <c r="D689" t="inlineStr">
        <is>
          <t>ÖREBRO LÄN</t>
        </is>
      </c>
      <c r="E689" t="inlineStr">
        <is>
          <t>HÄLLEFORS</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60297-2024</t>
        </is>
      </c>
      <c r="B690" s="1" t="n">
        <v>45643</v>
      </c>
      <c r="C690" s="1" t="n">
        <v>45829</v>
      </c>
      <c r="D690" t="inlineStr">
        <is>
          <t>ÖREBRO LÄN</t>
        </is>
      </c>
      <c r="E690" t="inlineStr">
        <is>
          <t>HÄLLEFORS</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60378-2024</t>
        </is>
      </c>
      <c r="B691" s="1" t="n">
        <v>45643</v>
      </c>
      <c r="C691" s="1" t="n">
        <v>45829</v>
      </c>
      <c r="D691" t="inlineStr">
        <is>
          <t>ÖREBRO LÄN</t>
        </is>
      </c>
      <c r="E691" t="inlineStr">
        <is>
          <t>HÄLLEFORS</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60738-2024</t>
        </is>
      </c>
      <c r="B692" s="1" t="n">
        <v>45644</v>
      </c>
      <c r="C692" s="1" t="n">
        <v>45829</v>
      </c>
      <c r="D692" t="inlineStr">
        <is>
          <t>ÖREBRO LÄN</t>
        </is>
      </c>
      <c r="E692" t="inlineStr">
        <is>
          <t>HÄLLEFORS</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45829</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45829</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45829</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45829</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45829</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45829</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45829</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45829</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45829</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45829</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45829</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45829</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45829</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45829</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45829</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45829</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45829</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45829</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45829</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45829</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45829</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45829</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45829</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45829</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45829</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45829</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45829</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45829</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45829</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45829</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45829</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45829</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45829</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45829</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45829</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45829</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45829</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45829</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45829</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45829</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45829</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45829</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45829</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45829</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45829</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45829</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45829</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45829</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45829</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45829</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45829</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45829</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45829</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45829</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45829</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45829</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45829</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45829</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45829</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45829</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45829</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45829</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45829</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45829</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45829</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45829</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45829</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45829</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45829</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45829</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45829</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45829</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45829</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45829</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45829</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45829</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45829</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45829</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45829</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45829</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45829</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45829</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45829</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45829</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45829</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45829</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45829</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45829</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45829</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45829</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ht="15" customHeight="1">
      <c r="A783" t="inlineStr">
        <is>
          <t>A 24966-2025</t>
        </is>
      </c>
      <c r="B783" s="1" t="n">
        <v>45799</v>
      </c>
      <c r="C783" s="1" t="n">
        <v>45829</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row r="784" ht="15" customHeight="1">
      <c r="A784" t="inlineStr">
        <is>
          <t>A 28024-2025</t>
        </is>
      </c>
      <c r="B784" s="1" t="n">
        <v>45817</v>
      </c>
      <c r="C784" s="1" t="n">
        <v>45829</v>
      </c>
      <c r="D784" t="inlineStr">
        <is>
          <t>ÖREBRO LÄN</t>
        </is>
      </c>
      <c r="E784" t="inlineStr">
        <is>
          <t>HÄLLEFORS</t>
        </is>
      </c>
      <c r="G784" t="n">
        <v>1.7</v>
      </c>
      <c r="H784" t="n">
        <v>0</v>
      </c>
      <c r="I784" t="n">
        <v>0</v>
      </c>
      <c r="J784" t="n">
        <v>0</v>
      </c>
      <c r="K784" t="n">
        <v>0</v>
      </c>
      <c r="L784" t="n">
        <v>0</v>
      </c>
      <c r="M784" t="n">
        <v>0</v>
      </c>
      <c r="N784" t="n">
        <v>0</v>
      </c>
      <c r="O784" t="n">
        <v>0</v>
      </c>
      <c r="P784" t="n">
        <v>0</v>
      </c>
      <c r="Q784" t="n">
        <v>0</v>
      </c>
      <c r="R784" s="2" t="inlineStr"/>
    </row>
    <row r="785" ht="15" customHeight="1">
      <c r="A785" t="inlineStr">
        <is>
          <t>A 27925-2025</t>
        </is>
      </c>
      <c r="B785" s="1" t="n">
        <v>45817</v>
      </c>
      <c r="C785" s="1" t="n">
        <v>45829</v>
      </c>
      <c r="D785" t="inlineStr">
        <is>
          <t>ÖREBRO LÄN</t>
        </is>
      </c>
      <c r="E785" t="inlineStr">
        <is>
          <t>HÄLLEFORS</t>
        </is>
      </c>
      <c r="G785" t="n">
        <v>1.2</v>
      </c>
      <c r="H785" t="n">
        <v>0</v>
      </c>
      <c r="I785" t="n">
        <v>0</v>
      </c>
      <c r="J785" t="n">
        <v>0</v>
      </c>
      <c r="K785" t="n">
        <v>0</v>
      </c>
      <c r="L785" t="n">
        <v>0</v>
      </c>
      <c r="M785" t="n">
        <v>0</v>
      </c>
      <c r="N785" t="n">
        <v>0</v>
      </c>
      <c r="O785" t="n">
        <v>0</v>
      </c>
      <c r="P785" t="n">
        <v>0</v>
      </c>
      <c r="Q785" t="n">
        <v>0</v>
      </c>
      <c r="R785" s="2" t="inlineStr"/>
    </row>
    <row r="786" ht="15" customHeight="1">
      <c r="A786" t="inlineStr">
        <is>
          <t>A 28975-2025</t>
        </is>
      </c>
      <c r="B786" s="1" t="n">
        <v>45821</v>
      </c>
      <c r="C786" s="1" t="n">
        <v>45829</v>
      </c>
      <c r="D786" t="inlineStr">
        <is>
          <t>ÖREBRO LÄN</t>
        </is>
      </c>
      <c r="E786" t="inlineStr">
        <is>
          <t>HÄLLEFORS</t>
        </is>
      </c>
      <c r="G786" t="n">
        <v>1.9</v>
      </c>
      <c r="H786" t="n">
        <v>0</v>
      </c>
      <c r="I786" t="n">
        <v>0</v>
      </c>
      <c r="J786" t="n">
        <v>0</v>
      </c>
      <c r="K786" t="n">
        <v>0</v>
      </c>
      <c r="L786" t="n">
        <v>0</v>
      </c>
      <c r="M786" t="n">
        <v>0</v>
      </c>
      <c r="N786" t="n">
        <v>0</v>
      </c>
      <c r="O786" t="n">
        <v>0</v>
      </c>
      <c r="P786" t="n">
        <v>0</v>
      </c>
      <c r="Q786" t="n">
        <v>0</v>
      </c>
      <c r="R786" s="2" t="inlineStr"/>
    </row>
    <row r="787" ht="15" customHeight="1">
      <c r="A787" t="inlineStr">
        <is>
          <t>A 28979-2025</t>
        </is>
      </c>
      <c r="B787" s="1" t="n">
        <v>45821</v>
      </c>
      <c r="C787" s="1" t="n">
        <v>45829</v>
      </c>
      <c r="D787" t="inlineStr">
        <is>
          <t>ÖREBRO LÄN</t>
        </is>
      </c>
      <c r="E787" t="inlineStr">
        <is>
          <t>HÄLLEFORS</t>
        </is>
      </c>
      <c r="G787" t="n">
        <v>2.9</v>
      </c>
      <c r="H787" t="n">
        <v>0</v>
      </c>
      <c r="I787" t="n">
        <v>0</v>
      </c>
      <c r="J787" t="n">
        <v>0</v>
      </c>
      <c r="K787" t="n">
        <v>0</v>
      </c>
      <c r="L787" t="n">
        <v>0</v>
      </c>
      <c r="M787" t="n">
        <v>0</v>
      </c>
      <c r="N787" t="n">
        <v>0</v>
      </c>
      <c r="O787" t="n">
        <v>0</v>
      </c>
      <c r="P787" t="n">
        <v>0</v>
      </c>
      <c r="Q787" t="n">
        <v>0</v>
      </c>
      <c r="R787" s="2" t="inlineStr"/>
    </row>
    <row r="788" ht="15" customHeight="1">
      <c r="A788" t="inlineStr">
        <is>
          <t>A 29280-2025</t>
        </is>
      </c>
      <c r="B788" s="1" t="n">
        <v>45824</v>
      </c>
      <c r="C788" s="1" t="n">
        <v>45829</v>
      </c>
      <c r="D788" t="inlineStr">
        <is>
          <t>ÖREBRO LÄN</t>
        </is>
      </c>
      <c r="E788" t="inlineStr">
        <is>
          <t>HÄLLEFORS</t>
        </is>
      </c>
      <c r="F788" t="inlineStr">
        <is>
          <t>Bergvik skog väst AB</t>
        </is>
      </c>
      <c r="G788" t="n">
        <v>2.9</v>
      </c>
      <c r="H788" t="n">
        <v>0</v>
      </c>
      <c r="I788" t="n">
        <v>0</v>
      </c>
      <c r="J788" t="n">
        <v>0</v>
      </c>
      <c r="K788" t="n">
        <v>0</v>
      </c>
      <c r="L788" t="n">
        <v>0</v>
      </c>
      <c r="M788" t="n">
        <v>0</v>
      </c>
      <c r="N788" t="n">
        <v>0</v>
      </c>
      <c r="O788" t="n">
        <v>0</v>
      </c>
      <c r="P788" t="n">
        <v>0</v>
      </c>
      <c r="Q788" t="n">
        <v>0</v>
      </c>
      <c r="R788" s="2" t="inlineStr"/>
    </row>
    <row r="789">
      <c r="A789" t="inlineStr">
        <is>
          <t>A 30019-2025</t>
        </is>
      </c>
      <c r="B789" s="1" t="n">
        <v>45826</v>
      </c>
      <c r="C789" s="1" t="n">
        <v>45829</v>
      </c>
      <c r="D789" t="inlineStr">
        <is>
          <t>ÖREBRO LÄN</t>
        </is>
      </c>
      <c r="E789" t="inlineStr">
        <is>
          <t>HÄLLEFORS</t>
        </is>
      </c>
      <c r="F789" t="inlineStr">
        <is>
          <t>Bergvik skog väst AB</t>
        </is>
      </c>
      <c r="G789" t="n">
        <v>4.7</v>
      </c>
      <c r="H789" t="n">
        <v>0</v>
      </c>
      <c r="I789" t="n">
        <v>0</v>
      </c>
      <c r="J789" t="n">
        <v>0</v>
      </c>
      <c r="K789" t="n">
        <v>0</v>
      </c>
      <c r="L789" t="n">
        <v>0</v>
      </c>
      <c r="M789" t="n">
        <v>0</v>
      </c>
      <c r="N789" t="n">
        <v>0</v>
      </c>
      <c r="O789" t="n">
        <v>0</v>
      </c>
      <c r="P789" t="n">
        <v>0</v>
      </c>
      <c r="Q789" t="n">
        <v>0</v>
      </c>
      <c r="R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2025-06-21T19:16:53Z</dcterms:created>
  <dcterms:modified xmlns:dcterms="http://purl.org/dc/terms/" xmlns:xsi="http://www.w3.org/2001/XMLSchema-instance" xsi:type="dcterms:W3CDTF">2025-06-21T19:16:54Z</dcterms:modified>
</cp:coreProperties>
</file>