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45904</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45904</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45904</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20238-2021</t>
        </is>
      </c>
      <c r="B8" s="1" t="n">
        <v>44314</v>
      </c>
      <c r="C8" s="1" t="n">
        <v>45904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45904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45904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45904</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16932-2025</t>
        </is>
      </c>
      <c r="B12" s="1" t="n">
        <v>45755.40261574074</v>
      </c>
      <c r="C12" s="1" t="n">
        <v>45904</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45904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45904</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45904</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46114-2021</t>
        </is>
      </c>
      <c r="B16" s="1" t="n">
        <v>44442.37515046296</v>
      </c>
      <c r="C16" s="1" t="n">
        <v>45904</v>
      </c>
      <c r="D16" t="inlineStr">
        <is>
          <t>ÖREBRO LÄN</t>
        </is>
      </c>
      <c r="E16" t="inlineStr">
        <is>
          <t>HÄLLEFORS</t>
        </is>
      </c>
      <c r="F16" t="inlineStr">
        <is>
          <t>Sveaskog</t>
        </is>
      </c>
      <c r="G16" t="n">
        <v>4.1</v>
      </c>
      <c r="H16" t="n">
        <v>0</v>
      </c>
      <c r="I16" t="n">
        <v>1</v>
      </c>
      <c r="J16" t="n">
        <v>0</v>
      </c>
      <c r="K16" t="n">
        <v>0</v>
      </c>
      <c r="L16" t="n">
        <v>0</v>
      </c>
      <c r="M16" t="n">
        <v>0</v>
      </c>
      <c r="N16" t="n">
        <v>0</v>
      </c>
      <c r="O16" t="n">
        <v>0</v>
      </c>
      <c r="P16" t="n">
        <v>0</v>
      </c>
      <c r="Q16" t="n">
        <v>1</v>
      </c>
      <c r="R16" s="2" t="inlineStr">
        <is>
          <t>Skuggblåslav</t>
        </is>
      </c>
      <c r="S16">
        <f>HYPERLINK("https://klasma.github.io/Logging_1863/artfynd/A 46114-2021 artfynd.xlsx", "A 46114-2021")</f>
        <v/>
      </c>
      <c r="T16">
        <f>HYPERLINK("https://klasma.github.io/Logging_1863/kartor/A 46114-2021 karta.png", "A 46114-2021")</f>
        <v/>
      </c>
      <c r="V16">
        <f>HYPERLINK("https://klasma.github.io/Logging_1863/klagomål/A 46114-2021 FSC-klagomål.docx", "A 46114-2021")</f>
        <v/>
      </c>
      <c r="W16">
        <f>HYPERLINK("https://klasma.github.io/Logging_1863/klagomålsmail/A 46114-2021 FSC-klagomål mail.docx", "A 46114-2021")</f>
        <v/>
      </c>
      <c r="X16">
        <f>HYPERLINK("https://klasma.github.io/Logging_1863/tillsyn/A 46114-2021 tillsynsbegäran.docx", "A 46114-2021")</f>
        <v/>
      </c>
      <c r="Y16">
        <f>HYPERLINK("https://klasma.github.io/Logging_1863/tillsynsmail/A 46114-2021 tillsynsbegäran mail.docx", "A 46114-2021")</f>
        <v/>
      </c>
    </row>
    <row r="17" ht="15" customHeight="1">
      <c r="A17" t="inlineStr">
        <is>
          <t>A 58764-2020</t>
        </is>
      </c>
      <c r="B17" s="1" t="n">
        <v>44146</v>
      </c>
      <c r="C17" s="1" t="n">
        <v>45904</v>
      </c>
      <c r="D17" t="inlineStr">
        <is>
          <t>ÖREBRO LÄN</t>
        </is>
      </c>
      <c r="E17" t="inlineStr">
        <is>
          <t>HÄLLEFORS</t>
        </is>
      </c>
      <c r="F17" t="inlineStr">
        <is>
          <t>Sveaskog</t>
        </is>
      </c>
      <c r="G17" t="n">
        <v>2</v>
      </c>
      <c r="H17" t="n">
        <v>1</v>
      </c>
      <c r="I17" t="n">
        <v>0</v>
      </c>
      <c r="J17" t="n">
        <v>1</v>
      </c>
      <c r="K17" t="n">
        <v>0</v>
      </c>
      <c r="L17" t="n">
        <v>0</v>
      </c>
      <c r="M17" t="n">
        <v>0</v>
      </c>
      <c r="N17" t="n">
        <v>0</v>
      </c>
      <c r="O17" t="n">
        <v>1</v>
      </c>
      <c r="P17" t="n">
        <v>0</v>
      </c>
      <c r="Q17" t="n">
        <v>1</v>
      </c>
      <c r="R17" s="2" t="inlineStr">
        <is>
          <t>Utter</t>
        </is>
      </c>
      <c r="S17">
        <f>HYPERLINK("https://klasma.github.io/Logging_1863/artfynd/A 58764-2020 artfynd.xlsx", "A 58764-2020")</f>
        <v/>
      </c>
      <c r="T17">
        <f>HYPERLINK("https://klasma.github.io/Logging_1863/kartor/A 58764-2020 karta.png", "A 58764-2020")</f>
        <v/>
      </c>
      <c r="V17">
        <f>HYPERLINK("https://klasma.github.io/Logging_1863/klagomål/A 58764-2020 FSC-klagomål.docx", "A 58764-2020")</f>
        <v/>
      </c>
      <c r="W17">
        <f>HYPERLINK("https://klasma.github.io/Logging_1863/klagomålsmail/A 58764-2020 FSC-klagomål mail.docx", "A 58764-2020")</f>
        <v/>
      </c>
      <c r="X17">
        <f>HYPERLINK("https://klasma.github.io/Logging_1863/tillsyn/A 58764-2020 tillsynsbegäran.docx", "A 58764-2020")</f>
        <v/>
      </c>
      <c r="Y17">
        <f>HYPERLINK("https://klasma.github.io/Logging_1863/tillsynsmail/A 58764-2020 tillsynsbegäran mail.docx", "A 58764-2020")</f>
        <v/>
      </c>
    </row>
    <row r="18" ht="15" customHeight="1">
      <c r="A18" t="inlineStr">
        <is>
          <t>A 39540-2022</t>
        </is>
      </c>
      <c r="B18" s="1" t="n">
        <v>44818</v>
      </c>
      <c r="C18" s="1" t="n">
        <v>45904</v>
      </c>
      <c r="D18" t="inlineStr">
        <is>
          <t>ÖREBRO LÄN</t>
        </is>
      </c>
      <c r="E18" t="inlineStr">
        <is>
          <t>HÄLLEFORS</t>
        </is>
      </c>
      <c r="G18" t="n">
        <v>0.5</v>
      </c>
      <c r="H18" t="n">
        <v>0</v>
      </c>
      <c r="I18" t="n">
        <v>1</v>
      </c>
      <c r="J18" t="n">
        <v>0</v>
      </c>
      <c r="K18" t="n">
        <v>0</v>
      </c>
      <c r="L18" t="n">
        <v>0</v>
      </c>
      <c r="M18" t="n">
        <v>0</v>
      </c>
      <c r="N18" t="n">
        <v>0</v>
      </c>
      <c r="O18" t="n">
        <v>0</v>
      </c>
      <c r="P18" t="n">
        <v>0</v>
      </c>
      <c r="Q18" t="n">
        <v>1</v>
      </c>
      <c r="R18" s="2" t="inlineStr">
        <is>
          <t>Norrlandslav</t>
        </is>
      </c>
      <c r="S18">
        <f>HYPERLINK("https://klasma.github.io/Logging_1863/artfynd/A 39540-2022 artfynd.xlsx", "A 39540-2022")</f>
        <v/>
      </c>
      <c r="T18">
        <f>HYPERLINK("https://klasma.github.io/Logging_1863/kartor/A 39540-2022 karta.png", "A 39540-2022")</f>
        <v/>
      </c>
      <c r="V18">
        <f>HYPERLINK("https://klasma.github.io/Logging_1863/klagomål/A 39540-2022 FSC-klagomål.docx", "A 39540-2022")</f>
        <v/>
      </c>
      <c r="W18">
        <f>HYPERLINK("https://klasma.github.io/Logging_1863/klagomålsmail/A 39540-2022 FSC-klagomål mail.docx", "A 39540-2022")</f>
        <v/>
      </c>
      <c r="X18">
        <f>HYPERLINK("https://klasma.github.io/Logging_1863/tillsyn/A 39540-2022 tillsynsbegäran.docx", "A 39540-2022")</f>
        <v/>
      </c>
      <c r="Y18">
        <f>HYPERLINK("https://klasma.github.io/Logging_1863/tillsynsmail/A 39540-2022 tillsynsbegäran mail.docx", "A 39540-2022")</f>
        <v/>
      </c>
    </row>
    <row r="19" ht="15" customHeight="1">
      <c r="A19" t="inlineStr">
        <is>
          <t>A 71826-2021</t>
        </is>
      </c>
      <c r="B19" s="1" t="n">
        <v>44543</v>
      </c>
      <c r="C19" s="1" t="n">
        <v>45904</v>
      </c>
      <c r="D19" t="inlineStr">
        <is>
          <t>ÖREBRO LÄN</t>
        </is>
      </c>
      <c r="E19" t="inlineStr">
        <is>
          <t>HÄLLEFORS</t>
        </is>
      </c>
      <c r="F19" t="inlineStr">
        <is>
          <t>Sveaskog</t>
        </is>
      </c>
      <c r="G19" t="n">
        <v>0.2</v>
      </c>
      <c r="H19" t="n">
        <v>1</v>
      </c>
      <c r="I19" t="n">
        <v>0</v>
      </c>
      <c r="J19" t="n">
        <v>0</v>
      </c>
      <c r="K19" t="n">
        <v>0</v>
      </c>
      <c r="L19" t="n">
        <v>0</v>
      </c>
      <c r="M19" t="n">
        <v>0</v>
      </c>
      <c r="N19" t="n">
        <v>0</v>
      </c>
      <c r="O19" t="n">
        <v>0</v>
      </c>
      <c r="P19" t="n">
        <v>0</v>
      </c>
      <c r="Q19" t="n">
        <v>1</v>
      </c>
      <c r="R19" s="2" t="inlineStr">
        <is>
          <t>Gullviva</t>
        </is>
      </c>
      <c r="S19">
        <f>HYPERLINK("https://klasma.github.io/Logging_1863/artfynd/A 71826-2021 artfynd.xlsx", "A 71826-2021")</f>
        <v/>
      </c>
      <c r="T19">
        <f>HYPERLINK("https://klasma.github.io/Logging_1863/kartor/A 71826-2021 karta.png", "A 71826-2021")</f>
        <v/>
      </c>
      <c r="V19">
        <f>HYPERLINK("https://klasma.github.io/Logging_1863/klagomål/A 71826-2021 FSC-klagomål.docx", "A 71826-2021")</f>
        <v/>
      </c>
      <c r="W19">
        <f>HYPERLINK("https://klasma.github.io/Logging_1863/klagomålsmail/A 71826-2021 FSC-klagomål mail.docx", "A 71826-2021")</f>
        <v/>
      </c>
      <c r="X19">
        <f>HYPERLINK("https://klasma.github.io/Logging_1863/tillsyn/A 71826-2021 tillsynsbegäran.docx", "A 71826-2021")</f>
        <v/>
      </c>
      <c r="Y19">
        <f>HYPERLINK("https://klasma.github.io/Logging_1863/tillsynsmail/A 71826-2021 tillsynsbegäran mail.docx", "A 71826-2021")</f>
        <v/>
      </c>
    </row>
    <row r="20" ht="15" customHeight="1">
      <c r="A20" t="inlineStr">
        <is>
          <t>A 128-2021</t>
        </is>
      </c>
      <c r="B20" s="1" t="n">
        <v>44200</v>
      </c>
      <c r="C20" s="1" t="n">
        <v>45904</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18617-2025</t>
        </is>
      </c>
      <c r="B21" s="1" t="n">
        <v>45763.51037037037</v>
      </c>
      <c r="C21" s="1" t="n">
        <v>45904</v>
      </c>
      <c r="D21" t="inlineStr">
        <is>
          <t>ÖREBRO LÄN</t>
        </is>
      </c>
      <c r="E21" t="inlineStr">
        <is>
          <t>HÄLLEFORS</t>
        </is>
      </c>
      <c r="F21" t="inlineStr">
        <is>
          <t>Bergvik skog väst AB</t>
        </is>
      </c>
      <c r="G21" t="n">
        <v>3.5</v>
      </c>
      <c r="H21" t="n">
        <v>1</v>
      </c>
      <c r="I21" t="n">
        <v>0</v>
      </c>
      <c r="J21" t="n">
        <v>0</v>
      </c>
      <c r="K21" t="n">
        <v>0</v>
      </c>
      <c r="L21" t="n">
        <v>0</v>
      </c>
      <c r="M21" t="n">
        <v>0</v>
      </c>
      <c r="N21" t="n">
        <v>0</v>
      </c>
      <c r="O21" t="n">
        <v>0</v>
      </c>
      <c r="P21" t="n">
        <v>0</v>
      </c>
      <c r="Q21" t="n">
        <v>1</v>
      </c>
      <c r="R21" s="2" t="inlineStr">
        <is>
          <t>Blåsippa</t>
        </is>
      </c>
      <c r="S21">
        <f>HYPERLINK("https://klasma.github.io/Logging_1863/artfynd/A 18617-2025 artfynd.xlsx", "A 18617-2025")</f>
        <v/>
      </c>
      <c r="T21">
        <f>HYPERLINK("https://klasma.github.io/Logging_1863/kartor/A 18617-2025 karta.png", "A 18617-2025")</f>
        <v/>
      </c>
      <c r="V21">
        <f>HYPERLINK("https://klasma.github.io/Logging_1863/klagomål/A 18617-2025 FSC-klagomål.docx", "A 18617-2025")</f>
        <v/>
      </c>
      <c r="W21">
        <f>HYPERLINK("https://klasma.github.io/Logging_1863/klagomålsmail/A 18617-2025 FSC-klagomål mail.docx", "A 18617-2025")</f>
        <v/>
      </c>
      <c r="X21">
        <f>HYPERLINK("https://klasma.github.io/Logging_1863/tillsyn/A 18617-2025 tillsynsbegäran.docx", "A 18617-2025")</f>
        <v/>
      </c>
      <c r="Y21">
        <f>HYPERLINK("https://klasma.github.io/Logging_1863/tillsynsmail/A 18617-2025 tillsynsbegäran mail.docx", "A 18617-2025")</f>
        <v/>
      </c>
    </row>
    <row r="22" ht="15" customHeight="1">
      <c r="A22" t="inlineStr">
        <is>
          <t>A 39105-2024</t>
        </is>
      </c>
      <c r="B22" s="1" t="n">
        <v>45548.57174768519</v>
      </c>
      <c r="C22" s="1" t="n">
        <v>45904</v>
      </c>
      <c r="D22" t="inlineStr">
        <is>
          <t>ÖREBRO LÄN</t>
        </is>
      </c>
      <c r="E22" t="inlineStr">
        <is>
          <t>HÄLLEFORS</t>
        </is>
      </c>
      <c r="G22" t="n">
        <v>3.3</v>
      </c>
      <c r="H22" t="n">
        <v>0</v>
      </c>
      <c r="I22" t="n">
        <v>0</v>
      </c>
      <c r="J22" t="n">
        <v>0</v>
      </c>
      <c r="K22" t="n">
        <v>1</v>
      </c>
      <c r="L22" t="n">
        <v>0</v>
      </c>
      <c r="M22" t="n">
        <v>0</v>
      </c>
      <c r="N22" t="n">
        <v>0</v>
      </c>
      <c r="O22" t="n">
        <v>1</v>
      </c>
      <c r="P22" t="n">
        <v>1</v>
      </c>
      <c r="Q22" t="n">
        <v>1</v>
      </c>
      <c r="R22" s="2" t="inlineStr">
        <is>
          <t>Trollsmultron</t>
        </is>
      </c>
      <c r="S22">
        <f>HYPERLINK("https://klasma.github.io/Logging_1863/artfynd/A 39105-2024 artfynd.xlsx", "A 39105-2024")</f>
        <v/>
      </c>
      <c r="T22">
        <f>HYPERLINK("https://klasma.github.io/Logging_1863/kartor/A 39105-2024 karta.png", "A 39105-2024")</f>
        <v/>
      </c>
      <c r="V22">
        <f>HYPERLINK("https://klasma.github.io/Logging_1863/klagomål/A 39105-2024 FSC-klagomål.docx", "A 39105-2024")</f>
        <v/>
      </c>
      <c r="W22">
        <f>HYPERLINK("https://klasma.github.io/Logging_1863/klagomålsmail/A 39105-2024 FSC-klagomål mail.docx", "A 39105-2024")</f>
        <v/>
      </c>
      <c r="X22">
        <f>HYPERLINK("https://klasma.github.io/Logging_1863/tillsyn/A 39105-2024 tillsynsbegäran.docx", "A 39105-2024")</f>
        <v/>
      </c>
      <c r="Y22">
        <f>HYPERLINK("https://klasma.github.io/Logging_1863/tillsynsmail/A 39105-2024 tillsynsbegäran mail.docx", "A 39105-2024")</f>
        <v/>
      </c>
    </row>
    <row r="23" ht="15" customHeight="1">
      <c r="A23" t="inlineStr">
        <is>
          <t>A 421-2025</t>
        </is>
      </c>
      <c r="B23" s="1" t="n">
        <v>45663.949375</v>
      </c>
      <c r="C23" s="1" t="n">
        <v>45904</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55749-2024</t>
        </is>
      </c>
      <c r="B24" s="1" t="n">
        <v>45623.32523148148</v>
      </c>
      <c r="C24" s="1" t="n">
        <v>45904</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45904</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16923-2025</t>
        </is>
      </c>
      <c r="B26" s="1" t="n">
        <v>45755.38237268518</v>
      </c>
      <c r="C26" s="1" t="n">
        <v>45904</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45904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45904</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1585-2025</t>
        </is>
      </c>
      <c r="B29" s="1" t="n">
        <v>45670.57363425926</v>
      </c>
      <c r="C29" s="1" t="n">
        <v>45904</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41834-2023</t>
        </is>
      </c>
      <c r="B30" s="1" t="n">
        <v>45176</v>
      </c>
      <c r="C30" s="1" t="n">
        <v>45904</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45904</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59601-2020</t>
        </is>
      </c>
      <c r="B32" s="1" t="n">
        <v>44149.36918981482</v>
      </c>
      <c r="C32" s="1" t="n">
        <v>45904</v>
      </c>
      <c r="D32" t="inlineStr">
        <is>
          <t>ÖREBRO LÄN</t>
        </is>
      </c>
      <c r="E32" t="inlineStr">
        <is>
          <t>HÄLLEFORS</t>
        </is>
      </c>
      <c r="G32" t="n">
        <v>5.8</v>
      </c>
      <c r="H32" t="n">
        <v>0</v>
      </c>
      <c r="I32" t="n">
        <v>0</v>
      </c>
      <c r="J32" t="n">
        <v>0</v>
      </c>
      <c r="K32" t="n">
        <v>0</v>
      </c>
      <c r="L32" t="n">
        <v>0</v>
      </c>
      <c r="M32" t="n">
        <v>0</v>
      </c>
      <c r="N32" t="n">
        <v>0</v>
      </c>
      <c r="O32" t="n">
        <v>0</v>
      </c>
      <c r="P32" t="n">
        <v>0</v>
      </c>
      <c r="Q32" t="n">
        <v>0</v>
      </c>
      <c r="R32" s="2" t="inlineStr"/>
    </row>
    <row r="33" ht="15" customHeight="1">
      <c r="A33" t="inlineStr">
        <is>
          <t>A 12966-2021</t>
        </is>
      </c>
      <c r="B33" s="1" t="n">
        <v>44271</v>
      </c>
      <c r="C33" s="1" t="n">
        <v>45904</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44924-2020</t>
        </is>
      </c>
      <c r="B34" s="1" t="n">
        <v>44083</v>
      </c>
      <c r="C34" s="1" t="n">
        <v>45904</v>
      </c>
      <c r="D34" t="inlineStr">
        <is>
          <t>ÖREBRO LÄN</t>
        </is>
      </c>
      <c r="E34" t="inlineStr">
        <is>
          <t>HÄLLEFORS</t>
        </is>
      </c>
      <c r="G34" t="n">
        <v>0.7</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45904</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45904</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45904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45904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45904</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45904</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45904</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45904</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45904</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45904</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45904</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45904</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45904</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45904</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45904</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45904</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45904</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45904</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45904</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45904</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45904</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45904</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45904</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45904</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45904</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45904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45904</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45904</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45904</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45904</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45904</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45904</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45904</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47614-2020</t>
        </is>
      </c>
      <c r="B68" s="1" t="n">
        <v>44098</v>
      </c>
      <c r="C68" s="1" t="n">
        <v>45904</v>
      </c>
      <c r="D68" t="inlineStr">
        <is>
          <t>ÖREBRO LÄN</t>
        </is>
      </c>
      <c r="E68" t="inlineStr">
        <is>
          <t>HÄLLEFORS</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45904</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22673-2022</t>
        </is>
      </c>
      <c r="B70" s="1" t="n">
        <v>44714.49141203704</v>
      </c>
      <c r="C70" s="1" t="n">
        <v>45904</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51605-2022</t>
        </is>
      </c>
      <c r="B71" s="1" t="n">
        <v>44871.71204861111</v>
      </c>
      <c r="C71" s="1" t="n">
        <v>45904</v>
      </c>
      <c r="D71" t="inlineStr">
        <is>
          <t>ÖREBRO LÄN</t>
        </is>
      </c>
      <c r="E71" t="inlineStr">
        <is>
          <t>HÄLLEFORS</t>
        </is>
      </c>
      <c r="G71" t="n">
        <v>9.800000000000001</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45904</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45904</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45904</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45904</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45904</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45904</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38245-2022</t>
        </is>
      </c>
      <c r="B78" s="1" t="n">
        <v>44812.48020833333</v>
      </c>
      <c r="C78" s="1" t="n">
        <v>45904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48127-2020</t>
        </is>
      </c>
      <c r="B79" s="1" t="n">
        <v>44102</v>
      </c>
      <c r="C79" s="1" t="n">
        <v>45904</v>
      </c>
      <c r="D79" t="inlineStr">
        <is>
          <t>ÖREBRO LÄN</t>
        </is>
      </c>
      <c r="E79" t="inlineStr">
        <is>
          <t>HÄLLEFORS</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47731-2020</t>
        </is>
      </c>
      <c r="B80" s="1" t="n">
        <v>44098</v>
      </c>
      <c r="C80" s="1" t="n">
        <v>45904</v>
      </c>
      <c r="D80" t="inlineStr">
        <is>
          <t>ÖREBRO LÄN</t>
        </is>
      </c>
      <c r="E80" t="inlineStr">
        <is>
          <t>HÄLLEFORS</t>
        </is>
      </c>
      <c r="F80" t="inlineStr">
        <is>
          <t>Bergvik skog väst AB</t>
        </is>
      </c>
      <c r="G80" t="n">
        <v>0.4</v>
      </c>
      <c r="H80" t="n">
        <v>0</v>
      </c>
      <c r="I80" t="n">
        <v>0</v>
      </c>
      <c r="J80" t="n">
        <v>0</v>
      </c>
      <c r="K80" t="n">
        <v>0</v>
      </c>
      <c r="L80" t="n">
        <v>0</v>
      </c>
      <c r="M80" t="n">
        <v>0</v>
      </c>
      <c r="N80" t="n">
        <v>0</v>
      </c>
      <c r="O80" t="n">
        <v>0</v>
      </c>
      <c r="P80" t="n">
        <v>0</v>
      </c>
      <c r="Q80" t="n">
        <v>0</v>
      </c>
      <c r="R80" s="2" t="inlineStr"/>
    </row>
    <row r="81" ht="15" customHeight="1">
      <c r="A81" t="inlineStr">
        <is>
          <t>A 67446-2020</t>
        </is>
      </c>
      <c r="B81" s="1" t="n">
        <v>44181</v>
      </c>
      <c r="C81" s="1" t="n">
        <v>45904</v>
      </c>
      <c r="D81" t="inlineStr">
        <is>
          <t>ÖREBRO LÄN</t>
        </is>
      </c>
      <c r="E81" t="inlineStr">
        <is>
          <t>HÄLLEFORS</t>
        </is>
      </c>
      <c r="F81" t="inlineStr">
        <is>
          <t>Bergvik skog väst AB</t>
        </is>
      </c>
      <c r="G81" t="n">
        <v>6.7</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45904</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11002-2021</t>
        </is>
      </c>
      <c r="B83" s="1" t="n">
        <v>44260</v>
      </c>
      <c r="C83" s="1" t="n">
        <v>45904</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59294-2020</t>
        </is>
      </c>
      <c r="B84" s="1" t="n">
        <v>44147</v>
      </c>
      <c r="C84" s="1" t="n">
        <v>45904</v>
      </c>
      <c r="D84" t="inlineStr">
        <is>
          <t>ÖREBRO LÄN</t>
        </is>
      </c>
      <c r="E84" t="inlineStr">
        <is>
          <t>HÄLLEFORS</t>
        </is>
      </c>
      <c r="F84" t="inlineStr">
        <is>
          <t>Kyrkan</t>
        </is>
      </c>
      <c r="G84" t="n">
        <v>10.2</v>
      </c>
      <c r="H84" t="n">
        <v>0</v>
      </c>
      <c r="I84" t="n">
        <v>0</v>
      </c>
      <c r="J84" t="n">
        <v>0</v>
      </c>
      <c r="K84" t="n">
        <v>0</v>
      </c>
      <c r="L84" t="n">
        <v>0</v>
      </c>
      <c r="M84" t="n">
        <v>0</v>
      </c>
      <c r="N84" t="n">
        <v>0</v>
      </c>
      <c r="O84" t="n">
        <v>0</v>
      </c>
      <c r="P84" t="n">
        <v>0</v>
      </c>
      <c r="Q84" t="n">
        <v>0</v>
      </c>
      <c r="R84" s="2" t="inlineStr"/>
    </row>
    <row r="85" ht="15" customHeight="1">
      <c r="A85" t="inlineStr">
        <is>
          <t>A 67971-2021</t>
        </is>
      </c>
      <c r="B85" s="1" t="n">
        <v>44525.66660879629</v>
      </c>
      <c r="C85" s="1" t="n">
        <v>45904</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67967-2021</t>
        </is>
      </c>
      <c r="B86" s="1" t="n">
        <v>44525.65945601852</v>
      </c>
      <c r="C86" s="1" t="n">
        <v>45904</v>
      </c>
      <c r="D86" t="inlineStr">
        <is>
          <t>ÖREBRO LÄN</t>
        </is>
      </c>
      <c r="E86" t="inlineStr">
        <is>
          <t>HÄLLEFORS</t>
        </is>
      </c>
      <c r="G86" t="n">
        <v>0.7</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45904</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9424-2022</t>
        </is>
      </c>
      <c r="B88" s="1" t="n">
        <v>44616</v>
      </c>
      <c r="C88" s="1" t="n">
        <v>45904</v>
      </c>
      <c r="D88" t="inlineStr">
        <is>
          <t>ÖREBRO LÄN</t>
        </is>
      </c>
      <c r="E88" t="inlineStr">
        <is>
          <t>HÄLLEFORS</t>
        </is>
      </c>
      <c r="G88" t="n">
        <v>2.9</v>
      </c>
      <c r="H88" t="n">
        <v>0</v>
      </c>
      <c r="I88" t="n">
        <v>0</v>
      </c>
      <c r="J88" t="n">
        <v>0</v>
      </c>
      <c r="K88" t="n">
        <v>0</v>
      </c>
      <c r="L88" t="n">
        <v>0</v>
      </c>
      <c r="M88" t="n">
        <v>0</v>
      </c>
      <c r="N88" t="n">
        <v>0</v>
      </c>
      <c r="O88" t="n">
        <v>0</v>
      </c>
      <c r="P88" t="n">
        <v>0</v>
      </c>
      <c r="Q88" t="n">
        <v>0</v>
      </c>
      <c r="R88" s="2" t="inlineStr"/>
    </row>
    <row r="89" ht="15" customHeight="1">
      <c r="A89" t="inlineStr">
        <is>
          <t>A 21801-2022</t>
        </is>
      </c>
      <c r="B89" s="1" t="n">
        <v>44708.64967592592</v>
      </c>
      <c r="C89" s="1" t="n">
        <v>45904</v>
      </c>
      <c r="D89" t="inlineStr">
        <is>
          <t>ÖREBRO LÄN</t>
        </is>
      </c>
      <c r="E89" t="inlineStr">
        <is>
          <t>HÄLLEFORS</t>
        </is>
      </c>
      <c r="G89" t="n">
        <v>3.3</v>
      </c>
      <c r="H89" t="n">
        <v>0</v>
      </c>
      <c r="I89" t="n">
        <v>0</v>
      </c>
      <c r="J89" t="n">
        <v>0</v>
      </c>
      <c r="K89" t="n">
        <v>0</v>
      </c>
      <c r="L89" t="n">
        <v>0</v>
      </c>
      <c r="M89" t="n">
        <v>0</v>
      </c>
      <c r="N89" t="n">
        <v>0</v>
      </c>
      <c r="O89" t="n">
        <v>0</v>
      </c>
      <c r="P89" t="n">
        <v>0</v>
      </c>
      <c r="Q89" t="n">
        <v>0</v>
      </c>
      <c r="R89" s="2" t="inlineStr"/>
    </row>
    <row r="90" ht="15" customHeight="1">
      <c r="A90" t="inlineStr">
        <is>
          <t>A 67780-2021</t>
        </is>
      </c>
      <c r="B90" s="1" t="n">
        <v>44525</v>
      </c>
      <c r="C90" s="1" t="n">
        <v>45904</v>
      </c>
      <c r="D90" t="inlineStr">
        <is>
          <t>ÖREBRO LÄN</t>
        </is>
      </c>
      <c r="E90" t="inlineStr">
        <is>
          <t>HÄLLEFORS</t>
        </is>
      </c>
      <c r="G90" t="n">
        <v>7.9</v>
      </c>
      <c r="H90" t="n">
        <v>0</v>
      </c>
      <c r="I90" t="n">
        <v>0</v>
      </c>
      <c r="J90" t="n">
        <v>0</v>
      </c>
      <c r="K90" t="n">
        <v>0</v>
      </c>
      <c r="L90" t="n">
        <v>0</v>
      </c>
      <c r="M90" t="n">
        <v>0</v>
      </c>
      <c r="N90" t="n">
        <v>0</v>
      </c>
      <c r="O90" t="n">
        <v>0</v>
      </c>
      <c r="P90" t="n">
        <v>0</v>
      </c>
      <c r="Q90" t="n">
        <v>0</v>
      </c>
      <c r="R90" s="2" t="inlineStr"/>
    </row>
    <row r="91" ht="15" customHeight="1">
      <c r="A91" t="inlineStr">
        <is>
          <t>A 10083-2021</t>
        </is>
      </c>
      <c r="B91" s="1" t="n">
        <v>44256</v>
      </c>
      <c r="C91" s="1" t="n">
        <v>45904</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5025-2022</t>
        </is>
      </c>
      <c r="B92" s="1" t="n">
        <v>44593</v>
      </c>
      <c r="C92" s="1" t="n">
        <v>45904</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30532-2022</t>
        </is>
      </c>
      <c r="B93" s="1" t="n">
        <v>44762</v>
      </c>
      <c r="C93" s="1" t="n">
        <v>45904</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29062-2022</t>
        </is>
      </c>
      <c r="B94" s="1" t="n">
        <v>44750</v>
      </c>
      <c r="C94" s="1" t="n">
        <v>45904</v>
      </c>
      <c r="D94" t="inlineStr">
        <is>
          <t>ÖREBRO LÄN</t>
        </is>
      </c>
      <c r="E94" t="inlineStr">
        <is>
          <t>HÄLLEFORS</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48184-2022</t>
        </is>
      </c>
      <c r="B95" s="1" t="n">
        <v>44858</v>
      </c>
      <c r="C95" s="1" t="n">
        <v>45904</v>
      </c>
      <c r="D95" t="inlineStr">
        <is>
          <t>ÖREBRO LÄN</t>
        </is>
      </c>
      <c r="E95" t="inlineStr">
        <is>
          <t>HÄLLEFORS</t>
        </is>
      </c>
      <c r="F95" t="inlineStr">
        <is>
          <t>Bergvik skog väst AB</t>
        </is>
      </c>
      <c r="G95" t="n">
        <v>5.1</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45904</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35243-2022</t>
        </is>
      </c>
      <c r="B97" s="1" t="n">
        <v>44798</v>
      </c>
      <c r="C97" s="1" t="n">
        <v>45904</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47702-2020</t>
        </is>
      </c>
      <c r="B98" s="1" t="n">
        <v>44098</v>
      </c>
      <c r="C98" s="1" t="n">
        <v>45904</v>
      </c>
      <c r="D98" t="inlineStr">
        <is>
          <t>ÖREBRO LÄN</t>
        </is>
      </c>
      <c r="E98" t="inlineStr">
        <is>
          <t>HÄLLEFORS</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58534-2020</t>
        </is>
      </c>
      <c r="B99" s="1" t="n">
        <v>44145</v>
      </c>
      <c r="C99" s="1" t="n">
        <v>45904</v>
      </c>
      <c r="D99" t="inlineStr">
        <is>
          <t>ÖREBRO LÄN</t>
        </is>
      </c>
      <c r="E99" t="inlineStr">
        <is>
          <t>HÄLLEFORS</t>
        </is>
      </c>
      <c r="G99" t="n">
        <v>3.7</v>
      </c>
      <c r="H99" t="n">
        <v>0</v>
      </c>
      <c r="I99" t="n">
        <v>0</v>
      </c>
      <c r="J99" t="n">
        <v>0</v>
      </c>
      <c r="K99" t="n">
        <v>0</v>
      </c>
      <c r="L99" t="n">
        <v>0</v>
      </c>
      <c r="M99" t="n">
        <v>0</v>
      </c>
      <c r="N99" t="n">
        <v>0</v>
      </c>
      <c r="O99" t="n">
        <v>0</v>
      </c>
      <c r="P99" t="n">
        <v>0</v>
      </c>
      <c r="Q99" t="n">
        <v>0</v>
      </c>
      <c r="R99" s="2" t="inlineStr"/>
    </row>
    <row r="100" ht="15" customHeight="1">
      <c r="A100" t="inlineStr">
        <is>
          <t>A 59485-2022</t>
        </is>
      </c>
      <c r="B100" s="1" t="n">
        <v>44907</v>
      </c>
      <c r="C100" s="1" t="n">
        <v>45904</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56298-2024</t>
        </is>
      </c>
      <c r="B101" s="1" t="n">
        <v>45624.68584490741</v>
      </c>
      <c r="C101" s="1" t="n">
        <v>45904</v>
      </c>
      <c r="D101" t="inlineStr">
        <is>
          <t>ÖREBRO LÄN</t>
        </is>
      </c>
      <c r="E101" t="inlineStr">
        <is>
          <t>HÄLLEFORS</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20951-2025</t>
        </is>
      </c>
      <c r="B102" s="1" t="n">
        <v>45777.43930555556</v>
      </c>
      <c r="C102" s="1" t="n">
        <v>45904</v>
      </c>
      <c r="D102" t="inlineStr">
        <is>
          <t>ÖREBRO LÄN</t>
        </is>
      </c>
      <c r="E102" t="inlineStr">
        <is>
          <t>HÄLLEFORS</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20670-2025</t>
        </is>
      </c>
      <c r="B103" s="1" t="n">
        <v>45776.43351851852</v>
      </c>
      <c r="C103" s="1" t="n">
        <v>45904</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39869-2023</t>
        </is>
      </c>
      <c r="B104" s="1" t="n">
        <v>45168</v>
      </c>
      <c r="C104" s="1" t="n">
        <v>45904</v>
      </c>
      <c r="D104" t="inlineStr">
        <is>
          <t>ÖREBRO LÄN</t>
        </is>
      </c>
      <c r="E104" t="inlineStr">
        <is>
          <t>HÄLLEFORS</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21050-2025</t>
        </is>
      </c>
      <c r="B105" s="1" t="n">
        <v>45777.56322916667</v>
      </c>
      <c r="C105" s="1" t="n">
        <v>45904</v>
      </c>
      <c r="D105" t="inlineStr">
        <is>
          <t>ÖREBRO LÄN</t>
        </is>
      </c>
      <c r="E105" t="inlineStr">
        <is>
          <t>HÄLLEFORS</t>
        </is>
      </c>
      <c r="F105" t="inlineStr">
        <is>
          <t>Kyrkan</t>
        </is>
      </c>
      <c r="G105" t="n">
        <v>0.9</v>
      </c>
      <c r="H105" t="n">
        <v>0</v>
      </c>
      <c r="I105" t="n">
        <v>0</v>
      </c>
      <c r="J105" t="n">
        <v>0</v>
      </c>
      <c r="K105" t="n">
        <v>0</v>
      </c>
      <c r="L105" t="n">
        <v>0</v>
      </c>
      <c r="M105" t="n">
        <v>0</v>
      </c>
      <c r="N105" t="n">
        <v>0</v>
      </c>
      <c r="O105" t="n">
        <v>0</v>
      </c>
      <c r="P105" t="n">
        <v>0</v>
      </c>
      <c r="Q105" t="n">
        <v>0</v>
      </c>
      <c r="R105" s="2" t="inlineStr"/>
    </row>
    <row r="106" ht="15" customHeight="1">
      <c r="A106" t="inlineStr">
        <is>
          <t>A 21099-2025</t>
        </is>
      </c>
      <c r="B106" s="1" t="n">
        <v>45777.64827546296</v>
      </c>
      <c r="C106" s="1" t="n">
        <v>45904</v>
      </c>
      <c r="D106" t="inlineStr">
        <is>
          <t>ÖREBRO LÄN</t>
        </is>
      </c>
      <c r="E106" t="inlineStr">
        <is>
          <t>HÄLLEFORS</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18627-2025</t>
        </is>
      </c>
      <c r="B107" s="1" t="n">
        <v>45763.53284722222</v>
      </c>
      <c r="C107" s="1" t="n">
        <v>45904</v>
      </c>
      <c r="D107" t="inlineStr">
        <is>
          <t>ÖREBRO LÄN</t>
        </is>
      </c>
      <c r="E107" t="inlineStr">
        <is>
          <t>HÄLLEFORS</t>
        </is>
      </c>
      <c r="F107" t="inlineStr">
        <is>
          <t>Bergvik skog väst AB</t>
        </is>
      </c>
      <c r="G107" t="n">
        <v>5.3</v>
      </c>
      <c r="H107" t="n">
        <v>0</v>
      </c>
      <c r="I107" t="n">
        <v>0</v>
      </c>
      <c r="J107" t="n">
        <v>0</v>
      </c>
      <c r="K107" t="n">
        <v>0</v>
      </c>
      <c r="L107" t="n">
        <v>0</v>
      </c>
      <c r="M107" t="n">
        <v>0</v>
      </c>
      <c r="N107" t="n">
        <v>0</v>
      </c>
      <c r="O107" t="n">
        <v>0</v>
      </c>
      <c r="P107" t="n">
        <v>0</v>
      </c>
      <c r="Q107" t="n">
        <v>0</v>
      </c>
      <c r="R107" s="2" t="inlineStr"/>
    </row>
    <row r="108" ht="15" customHeight="1">
      <c r="A108" t="inlineStr">
        <is>
          <t>A 27513-2021</t>
        </is>
      </c>
      <c r="B108" s="1" t="n">
        <v>44351</v>
      </c>
      <c r="C108" s="1" t="n">
        <v>45904</v>
      </c>
      <c r="D108" t="inlineStr">
        <is>
          <t>ÖREBRO LÄN</t>
        </is>
      </c>
      <c r="E108" t="inlineStr">
        <is>
          <t>HÄLLEFORS</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45904</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17112-2025</t>
        </is>
      </c>
      <c r="B110" s="1" t="n">
        <v>45755</v>
      </c>
      <c r="C110" s="1" t="n">
        <v>45904</v>
      </c>
      <c r="D110" t="inlineStr">
        <is>
          <t>ÖREBRO LÄN</t>
        </is>
      </c>
      <c r="E110" t="inlineStr">
        <is>
          <t>HÄLLEFORS</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3057-2024</t>
        </is>
      </c>
      <c r="B111" s="1" t="n">
        <v>45316</v>
      </c>
      <c r="C111" s="1" t="n">
        <v>45904</v>
      </c>
      <c r="D111" t="inlineStr">
        <is>
          <t>ÖREBRO LÄN</t>
        </is>
      </c>
      <c r="E111" t="inlineStr">
        <is>
          <t>HÄLLEFORS</t>
        </is>
      </c>
      <c r="F111" t="inlineStr">
        <is>
          <t>Bergvik skog väst AB</t>
        </is>
      </c>
      <c r="G111" t="n">
        <v>12.2</v>
      </c>
      <c r="H111" t="n">
        <v>0</v>
      </c>
      <c r="I111" t="n">
        <v>0</v>
      </c>
      <c r="J111" t="n">
        <v>0</v>
      </c>
      <c r="K111" t="n">
        <v>0</v>
      </c>
      <c r="L111" t="n">
        <v>0</v>
      </c>
      <c r="M111" t="n">
        <v>0</v>
      </c>
      <c r="N111" t="n">
        <v>0</v>
      </c>
      <c r="O111" t="n">
        <v>0</v>
      </c>
      <c r="P111" t="n">
        <v>0</v>
      </c>
      <c r="Q111" t="n">
        <v>0</v>
      </c>
      <c r="R111" s="2" t="inlineStr"/>
    </row>
    <row r="112" ht="15" customHeight="1">
      <c r="A112" t="inlineStr">
        <is>
          <t>A 18891-2025</t>
        </is>
      </c>
      <c r="B112" s="1" t="n">
        <v>45764</v>
      </c>
      <c r="C112" s="1" t="n">
        <v>45904</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45694-2023</t>
        </is>
      </c>
      <c r="B113" s="1" t="n">
        <v>45195</v>
      </c>
      <c r="C113" s="1" t="n">
        <v>45904</v>
      </c>
      <c r="D113" t="inlineStr">
        <is>
          <t>ÖREBRO LÄN</t>
        </is>
      </c>
      <c r="E113" t="inlineStr">
        <is>
          <t>HÄLLEFORS</t>
        </is>
      </c>
      <c r="G113" t="n">
        <v>10.8</v>
      </c>
      <c r="H113" t="n">
        <v>0</v>
      </c>
      <c r="I113" t="n">
        <v>0</v>
      </c>
      <c r="J113" t="n">
        <v>0</v>
      </c>
      <c r="K113" t="n">
        <v>0</v>
      </c>
      <c r="L113" t="n">
        <v>0</v>
      </c>
      <c r="M113" t="n">
        <v>0</v>
      </c>
      <c r="N113" t="n">
        <v>0</v>
      </c>
      <c r="O113" t="n">
        <v>0</v>
      </c>
      <c r="P113" t="n">
        <v>0</v>
      </c>
      <c r="Q113" t="n">
        <v>0</v>
      </c>
      <c r="R113" s="2" t="inlineStr"/>
    </row>
    <row r="114" ht="15" customHeight="1">
      <c r="A114" t="inlineStr">
        <is>
          <t>A 30307-2024</t>
        </is>
      </c>
      <c r="B114" s="1" t="n">
        <v>45490.70074074074</v>
      </c>
      <c r="C114" s="1" t="n">
        <v>45904</v>
      </c>
      <c r="D114" t="inlineStr">
        <is>
          <t>ÖREBRO LÄN</t>
        </is>
      </c>
      <c r="E114" t="inlineStr">
        <is>
          <t>HÄLLEFORS</t>
        </is>
      </c>
      <c r="G114" t="n">
        <v>2.5</v>
      </c>
      <c r="H114" t="n">
        <v>0</v>
      </c>
      <c r="I114" t="n">
        <v>0</v>
      </c>
      <c r="J114" t="n">
        <v>0</v>
      </c>
      <c r="K114" t="n">
        <v>0</v>
      </c>
      <c r="L114" t="n">
        <v>0</v>
      </c>
      <c r="M114" t="n">
        <v>0</v>
      </c>
      <c r="N114" t="n">
        <v>0</v>
      </c>
      <c r="O114" t="n">
        <v>0</v>
      </c>
      <c r="P114" t="n">
        <v>0</v>
      </c>
      <c r="Q114" t="n">
        <v>0</v>
      </c>
      <c r="R114" s="2" t="inlineStr"/>
    </row>
    <row r="115" ht="15" customHeight="1">
      <c r="A115" t="inlineStr">
        <is>
          <t>A 18168-2024</t>
        </is>
      </c>
      <c r="B115" s="1" t="n">
        <v>45420</v>
      </c>
      <c r="C115" s="1" t="n">
        <v>45904</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18878-2025</t>
        </is>
      </c>
      <c r="B116" s="1" t="n">
        <v>45764</v>
      </c>
      <c r="C116" s="1" t="n">
        <v>45904</v>
      </c>
      <c r="D116" t="inlineStr">
        <is>
          <t>ÖREBRO LÄN</t>
        </is>
      </c>
      <c r="E116" t="inlineStr">
        <is>
          <t>HÄLLEFORS</t>
        </is>
      </c>
      <c r="G116" t="n">
        <v>1.4</v>
      </c>
      <c r="H116" t="n">
        <v>0</v>
      </c>
      <c r="I116" t="n">
        <v>0</v>
      </c>
      <c r="J116" t="n">
        <v>0</v>
      </c>
      <c r="K116" t="n">
        <v>0</v>
      </c>
      <c r="L116" t="n">
        <v>0</v>
      </c>
      <c r="M116" t="n">
        <v>0</v>
      </c>
      <c r="N116" t="n">
        <v>0</v>
      </c>
      <c r="O116" t="n">
        <v>0</v>
      </c>
      <c r="P116" t="n">
        <v>0</v>
      </c>
      <c r="Q116" t="n">
        <v>0</v>
      </c>
      <c r="R116" s="2" t="inlineStr"/>
    </row>
    <row r="117" ht="15" customHeight="1">
      <c r="A117" t="inlineStr">
        <is>
          <t>A 18790-2025</t>
        </is>
      </c>
      <c r="B117" s="1" t="n">
        <v>45764</v>
      </c>
      <c r="C117" s="1" t="n">
        <v>45904</v>
      </c>
      <c r="D117" t="inlineStr">
        <is>
          <t>ÖREBRO LÄN</t>
        </is>
      </c>
      <c r="E117" t="inlineStr">
        <is>
          <t>HÄLLEFORS</t>
        </is>
      </c>
      <c r="G117" t="n">
        <v>14.9</v>
      </c>
      <c r="H117" t="n">
        <v>0</v>
      </c>
      <c r="I117" t="n">
        <v>0</v>
      </c>
      <c r="J117" t="n">
        <v>0</v>
      </c>
      <c r="K117" t="n">
        <v>0</v>
      </c>
      <c r="L117" t="n">
        <v>0</v>
      </c>
      <c r="M117" t="n">
        <v>0</v>
      </c>
      <c r="N117" t="n">
        <v>0</v>
      </c>
      <c r="O117" t="n">
        <v>0</v>
      </c>
      <c r="P117" t="n">
        <v>0</v>
      </c>
      <c r="Q117" t="n">
        <v>0</v>
      </c>
      <c r="R117" s="2" t="inlineStr"/>
    </row>
    <row r="118" ht="15" customHeight="1">
      <c r="A118" t="inlineStr">
        <is>
          <t>A 74464-2021</t>
        </is>
      </c>
      <c r="B118" s="1" t="n">
        <v>44560.52915509259</v>
      </c>
      <c r="C118" s="1" t="n">
        <v>45904</v>
      </c>
      <c r="D118" t="inlineStr">
        <is>
          <t>ÖREBRO LÄN</t>
        </is>
      </c>
      <c r="E118" t="inlineStr">
        <is>
          <t>HÄLLEFORS</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55756-2023</t>
        </is>
      </c>
      <c r="B119" s="1" t="n">
        <v>45239</v>
      </c>
      <c r="C119" s="1" t="n">
        <v>45904</v>
      </c>
      <c r="D119" t="inlineStr">
        <is>
          <t>ÖREBRO LÄN</t>
        </is>
      </c>
      <c r="E119" t="inlineStr">
        <is>
          <t>HÄLLEFORS</t>
        </is>
      </c>
      <c r="G119" t="n">
        <v>1.6</v>
      </c>
      <c r="H119" t="n">
        <v>0</v>
      </c>
      <c r="I119" t="n">
        <v>0</v>
      </c>
      <c r="J119" t="n">
        <v>0</v>
      </c>
      <c r="K119" t="n">
        <v>0</v>
      </c>
      <c r="L119" t="n">
        <v>0</v>
      </c>
      <c r="M119" t="n">
        <v>0</v>
      </c>
      <c r="N119" t="n">
        <v>0</v>
      </c>
      <c r="O119" t="n">
        <v>0</v>
      </c>
      <c r="P119" t="n">
        <v>0</v>
      </c>
      <c r="Q119" t="n">
        <v>0</v>
      </c>
      <c r="R119" s="2" t="inlineStr"/>
    </row>
    <row r="120" ht="15" customHeight="1">
      <c r="A120" t="inlineStr">
        <is>
          <t>A 5762-2024</t>
        </is>
      </c>
      <c r="B120" s="1" t="n">
        <v>45335</v>
      </c>
      <c r="C120" s="1" t="n">
        <v>45904</v>
      </c>
      <c r="D120" t="inlineStr">
        <is>
          <t>ÖREBRO LÄN</t>
        </is>
      </c>
      <c r="E120" t="inlineStr">
        <is>
          <t>HÄLLEFORS</t>
        </is>
      </c>
      <c r="G120" t="n">
        <v>12.1</v>
      </c>
      <c r="H120" t="n">
        <v>0</v>
      </c>
      <c r="I120" t="n">
        <v>0</v>
      </c>
      <c r="J120" t="n">
        <v>0</v>
      </c>
      <c r="K120" t="n">
        <v>0</v>
      </c>
      <c r="L120" t="n">
        <v>0</v>
      </c>
      <c r="M120" t="n">
        <v>0</v>
      </c>
      <c r="N120" t="n">
        <v>0</v>
      </c>
      <c r="O120" t="n">
        <v>0</v>
      </c>
      <c r="P120" t="n">
        <v>0</v>
      </c>
      <c r="Q120" t="n">
        <v>0</v>
      </c>
      <c r="R120" s="2" t="inlineStr"/>
    </row>
    <row r="121" ht="15" customHeight="1">
      <c r="A121" t="inlineStr">
        <is>
          <t>A 53340-2024</t>
        </is>
      </c>
      <c r="B121" s="1" t="n">
        <v>45614.43358796297</v>
      </c>
      <c r="C121" s="1" t="n">
        <v>45904</v>
      </c>
      <c r="D121" t="inlineStr">
        <is>
          <t>ÖREBRO LÄN</t>
        </is>
      </c>
      <c r="E121" t="inlineStr">
        <is>
          <t>HÄLLEFORS</t>
        </is>
      </c>
      <c r="G121" t="n">
        <v>1.3</v>
      </c>
      <c r="H121" t="n">
        <v>0</v>
      </c>
      <c r="I121" t="n">
        <v>0</v>
      </c>
      <c r="J121" t="n">
        <v>0</v>
      </c>
      <c r="K121" t="n">
        <v>0</v>
      </c>
      <c r="L121" t="n">
        <v>0</v>
      </c>
      <c r="M121" t="n">
        <v>0</v>
      </c>
      <c r="N121" t="n">
        <v>0</v>
      </c>
      <c r="O121" t="n">
        <v>0</v>
      </c>
      <c r="P121" t="n">
        <v>0</v>
      </c>
      <c r="Q121" t="n">
        <v>0</v>
      </c>
      <c r="R121" s="2" t="inlineStr"/>
    </row>
    <row r="122" ht="15" customHeight="1">
      <c r="A122" t="inlineStr">
        <is>
          <t>A 18852-2025</t>
        </is>
      </c>
      <c r="B122" s="1" t="n">
        <v>45764</v>
      </c>
      <c r="C122" s="1" t="n">
        <v>45904</v>
      </c>
      <c r="D122" t="inlineStr">
        <is>
          <t>ÖREBRO LÄN</t>
        </is>
      </c>
      <c r="E122" t="inlineStr">
        <is>
          <t>HÄLLEFORS</t>
        </is>
      </c>
      <c r="G122" t="n">
        <v>6.8</v>
      </c>
      <c r="H122" t="n">
        <v>0</v>
      </c>
      <c r="I122" t="n">
        <v>0</v>
      </c>
      <c r="J122" t="n">
        <v>0</v>
      </c>
      <c r="K122" t="n">
        <v>0</v>
      </c>
      <c r="L122" t="n">
        <v>0</v>
      </c>
      <c r="M122" t="n">
        <v>0</v>
      </c>
      <c r="N122" t="n">
        <v>0</v>
      </c>
      <c r="O122" t="n">
        <v>0</v>
      </c>
      <c r="P122" t="n">
        <v>0</v>
      </c>
      <c r="Q122" t="n">
        <v>0</v>
      </c>
      <c r="R122" s="2" t="inlineStr"/>
    </row>
    <row r="123" ht="15" customHeight="1">
      <c r="A123" t="inlineStr">
        <is>
          <t>A 18869-2025</t>
        </is>
      </c>
      <c r="B123" s="1" t="n">
        <v>45764</v>
      </c>
      <c r="C123" s="1" t="n">
        <v>45904</v>
      </c>
      <c r="D123" t="inlineStr">
        <is>
          <t>ÖREBRO LÄN</t>
        </is>
      </c>
      <c r="E123" t="inlineStr">
        <is>
          <t>HÄLLEFORS</t>
        </is>
      </c>
      <c r="G123" t="n">
        <v>3.7</v>
      </c>
      <c r="H123" t="n">
        <v>0</v>
      </c>
      <c r="I123" t="n">
        <v>0</v>
      </c>
      <c r="J123" t="n">
        <v>0</v>
      </c>
      <c r="K123" t="n">
        <v>0</v>
      </c>
      <c r="L123" t="n">
        <v>0</v>
      </c>
      <c r="M123" t="n">
        <v>0</v>
      </c>
      <c r="N123" t="n">
        <v>0</v>
      </c>
      <c r="O123" t="n">
        <v>0</v>
      </c>
      <c r="P123" t="n">
        <v>0</v>
      </c>
      <c r="Q123" t="n">
        <v>0</v>
      </c>
      <c r="R123" s="2" t="inlineStr"/>
    </row>
    <row r="124" ht="15" customHeight="1">
      <c r="A124" t="inlineStr">
        <is>
          <t>A 13758-2023</t>
        </is>
      </c>
      <c r="B124" s="1" t="n">
        <v>45007.42528935185</v>
      </c>
      <c r="C124" s="1" t="n">
        <v>45904</v>
      </c>
      <c r="D124" t="inlineStr">
        <is>
          <t>ÖREBRO LÄN</t>
        </is>
      </c>
      <c r="E124" t="inlineStr">
        <is>
          <t>HÄLLEFORS</t>
        </is>
      </c>
      <c r="F124" t="inlineStr">
        <is>
          <t>Bergvik skog väst AB</t>
        </is>
      </c>
      <c r="G124" t="n">
        <v>3.6</v>
      </c>
      <c r="H124" t="n">
        <v>0</v>
      </c>
      <c r="I124" t="n">
        <v>0</v>
      </c>
      <c r="J124" t="n">
        <v>0</v>
      </c>
      <c r="K124" t="n">
        <v>0</v>
      </c>
      <c r="L124" t="n">
        <v>0</v>
      </c>
      <c r="M124" t="n">
        <v>0</v>
      </c>
      <c r="N124" t="n">
        <v>0</v>
      </c>
      <c r="O124" t="n">
        <v>0</v>
      </c>
      <c r="P124" t="n">
        <v>0</v>
      </c>
      <c r="Q124" t="n">
        <v>0</v>
      </c>
      <c r="R124" s="2" t="inlineStr"/>
    </row>
    <row r="125" ht="15" customHeight="1">
      <c r="A125" t="inlineStr">
        <is>
          <t>A 35106-2023</t>
        </is>
      </c>
      <c r="B125" s="1" t="n">
        <v>45145</v>
      </c>
      <c r="C125" s="1" t="n">
        <v>45904</v>
      </c>
      <c r="D125" t="inlineStr">
        <is>
          <t>ÖREBRO LÄN</t>
        </is>
      </c>
      <c r="E125" t="inlineStr">
        <is>
          <t>HÄLLEFORS</t>
        </is>
      </c>
      <c r="F125" t="inlineStr">
        <is>
          <t>Bergvik skog väst AB</t>
        </is>
      </c>
      <c r="G125" t="n">
        <v>13.9</v>
      </c>
      <c r="H125" t="n">
        <v>0</v>
      </c>
      <c r="I125" t="n">
        <v>0</v>
      </c>
      <c r="J125" t="n">
        <v>0</v>
      </c>
      <c r="K125" t="n">
        <v>0</v>
      </c>
      <c r="L125" t="n">
        <v>0</v>
      </c>
      <c r="M125" t="n">
        <v>0</v>
      </c>
      <c r="N125" t="n">
        <v>0</v>
      </c>
      <c r="O125" t="n">
        <v>0</v>
      </c>
      <c r="P125" t="n">
        <v>0</v>
      </c>
      <c r="Q125" t="n">
        <v>0</v>
      </c>
      <c r="R125" s="2" t="inlineStr"/>
    </row>
    <row r="126" ht="15" customHeight="1">
      <c r="A126" t="inlineStr">
        <is>
          <t>A 18888-2025</t>
        </is>
      </c>
      <c r="B126" s="1" t="n">
        <v>45764.44396990741</v>
      </c>
      <c r="C126" s="1" t="n">
        <v>45904</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21852-2025</t>
        </is>
      </c>
      <c r="B127" s="1" t="n">
        <v>45784</v>
      </c>
      <c r="C127" s="1" t="n">
        <v>45904</v>
      </c>
      <c r="D127" t="inlineStr">
        <is>
          <t>ÖREBRO LÄN</t>
        </is>
      </c>
      <c r="E127" t="inlineStr">
        <is>
          <t>HÄLLEFORS</t>
        </is>
      </c>
      <c r="G127" t="n">
        <v>4.2</v>
      </c>
      <c r="H127" t="n">
        <v>0</v>
      </c>
      <c r="I127" t="n">
        <v>0</v>
      </c>
      <c r="J127" t="n">
        <v>0</v>
      </c>
      <c r="K127" t="n">
        <v>0</v>
      </c>
      <c r="L127" t="n">
        <v>0</v>
      </c>
      <c r="M127" t="n">
        <v>0</v>
      </c>
      <c r="N127" t="n">
        <v>0</v>
      </c>
      <c r="O127" t="n">
        <v>0</v>
      </c>
      <c r="P127" t="n">
        <v>0</v>
      </c>
      <c r="Q127" t="n">
        <v>0</v>
      </c>
      <c r="R127" s="2" t="inlineStr"/>
    </row>
    <row r="128" ht="15" customHeight="1">
      <c r="A128" t="inlineStr">
        <is>
          <t>A 47907-2024</t>
        </is>
      </c>
      <c r="B128" s="1" t="n">
        <v>45589.31677083333</v>
      </c>
      <c r="C128" s="1" t="n">
        <v>45904</v>
      </c>
      <c r="D128" t="inlineStr">
        <is>
          <t>ÖREBRO LÄN</t>
        </is>
      </c>
      <c r="E128" t="inlineStr">
        <is>
          <t>HÄLLEFORS</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59963-2024</t>
        </is>
      </c>
      <c r="B129" s="1" t="n">
        <v>45642.35274305556</v>
      </c>
      <c r="C129" s="1" t="n">
        <v>45904</v>
      </c>
      <c r="D129" t="inlineStr">
        <is>
          <t>ÖREBRO LÄN</t>
        </is>
      </c>
      <c r="E129" t="inlineStr">
        <is>
          <t>HÄLLEFORS</t>
        </is>
      </c>
      <c r="F129" t="inlineStr">
        <is>
          <t>Bergvik skog väst AB</t>
        </is>
      </c>
      <c r="G129" t="n">
        <v>8.4</v>
      </c>
      <c r="H129" t="n">
        <v>0</v>
      </c>
      <c r="I129" t="n">
        <v>0</v>
      </c>
      <c r="J129" t="n">
        <v>0</v>
      </c>
      <c r="K129" t="n">
        <v>0</v>
      </c>
      <c r="L129" t="n">
        <v>0</v>
      </c>
      <c r="M129" t="n">
        <v>0</v>
      </c>
      <c r="N129" t="n">
        <v>0</v>
      </c>
      <c r="O129" t="n">
        <v>0</v>
      </c>
      <c r="P129" t="n">
        <v>0</v>
      </c>
      <c r="Q129" t="n">
        <v>0</v>
      </c>
      <c r="R129" s="2" t="inlineStr"/>
    </row>
    <row r="130" ht="15" customHeight="1">
      <c r="A130" t="inlineStr">
        <is>
          <t>A 36090-2024</t>
        </is>
      </c>
      <c r="B130" s="1" t="n">
        <v>45533.68363425926</v>
      </c>
      <c r="C130" s="1" t="n">
        <v>45904</v>
      </c>
      <c r="D130" t="inlineStr">
        <is>
          <t>ÖREBRO LÄN</t>
        </is>
      </c>
      <c r="E130" t="inlineStr">
        <is>
          <t>HÄLLEFORS</t>
        </is>
      </c>
      <c r="F130" t="inlineStr">
        <is>
          <t>Bergvik skog väst AB</t>
        </is>
      </c>
      <c r="G130" t="n">
        <v>5.2</v>
      </c>
      <c r="H130" t="n">
        <v>0</v>
      </c>
      <c r="I130" t="n">
        <v>0</v>
      </c>
      <c r="J130" t="n">
        <v>0</v>
      </c>
      <c r="K130" t="n">
        <v>0</v>
      </c>
      <c r="L130" t="n">
        <v>0</v>
      </c>
      <c r="M130" t="n">
        <v>0</v>
      </c>
      <c r="N130" t="n">
        <v>0</v>
      </c>
      <c r="O130" t="n">
        <v>0</v>
      </c>
      <c r="P130" t="n">
        <v>0</v>
      </c>
      <c r="Q130" t="n">
        <v>0</v>
      </c>
      <c r="R130" s="2" t="inlineStr"/>
    </row>
    <row r="131" ht="15" customHeight="1">
      <c r="A131" t="inlineStr">
        <is>
          <t>A 21853-2025</t>
        </is>
      </c>
      <c r="B131" s="1" t="n">
        <v>45784.34652777778</v>
      </c>
      <c r="C131" s="1" t="n">
        <v>45904</v>
      </c>
      <c r="D131" t="inlineStr">
        <is>
          <t>ÖREBRO LÄN</t>
        </is>
      </c>
      <c r="E131" t="inlineStr">
        <is>
          <t>HÄLLEFORS</t>
        </is>
      </c>
      <c r="G131" t="n">
        <v>23.4</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45904</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19055-2024</t>
        </is>
      </c>
      <c r="B133" s="1" t="n">
        <v>45427.79534722222</v>
      </c>
      <c r="C133" s="1" t="n">
        <v>45904</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35860-2024</t>
        </is>
      </c>
      <c r="B134" s="1" t="n">
        <v>45533</v>
      </c>
      <c r="C134" s="1" t="n">
        <v>45904</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53344-2024</t>
        </is>
      </c>
      <c r="B135" s="1" t="n">
        <v>45614.44175925926</v>
      </c>
      <c r="C135" s="1" t="n">
        <v>45904</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16928-2025</t>
        </is>
      </c>
      <c r="B136" s="1" t="n">
        <v>45755.39711805555</v>
      </c>
      <c r="C136" s="1" t="n">
        <v>45904</v>
      </c>
      <c r="D136" t="inlineStr">
        <is>
          <t>ÖREBRO LÄN</t>
        </is>
      </c>
      <c r="E136" t="inlineStr">
        <is>
          <t>HÄLLEFORS</t>
        </is>
      </c>
      <c r="F136" t="inlineStr">
        <is>
          <t>Bergvik skog väst AB</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17036-2025</t>
        </is>
      </c>
      <c r="B137" s="1" t="n">
        <v>45755.5740162037</v>
      </c>
      <c r="C137" s="1" t="n">
        <v>45904</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44107-2024</t>
        </is>
      </c>
      <c r="B138" s="1" t="n">
        <v>45572.63357638889</v>
      </c>
      <c r="C138" s="1" t="n">
        <v>45904</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18605-2025</t>
        </is>
      </c>
      <c r="B139" s="1" t="n">
        <v>45763.49344907407</v>
      </c>
      <c r="C139" s="1" t="n">
        <v>45904</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5256-2025</t>
        </is>
      </c>
      <c r="B140" s="1" t="n">
        <v>45692.36032407408</v>
      </c>
      <c r="C140" s="1" t="n">
        <v>45904</v>
      </c>
      <c r="D140" t="inlineStr">
        <is>
          <t>ÖREBRO LÄN</t>
        </is>
      </c>
      <c r="E140" t="inlineStr">
        <is>
          <t>HÄLLEFORS</t>
        </is>
      </c>
      <c r="F140" t="inlineStr">
        <is>
          <t>Bergvik skog väst AB</t>
        </is>
      </c>
      <c r="G140" t="n">
        <v>6.3</v>
      </c>
      <c r="H140" t="n">
        <v>0</v>
      </c>
      <c r="I140" t="n">
        <v>0</v>
      </c>
      <c r="J140" t="n">
        <v>0</v>
      </c>
      <c r="K140" t="n">
        <v>0</v>
      </c>
      <c r="L140" t="n">
        <v>0</v>
      </c>
      <c r="M140" t="n">
        <v>0</v>
      </c>
      <c r="N140" t="n">
        <v>0</v>
      </c>
      <c r="O140" t="n">
        <v>0</v>
      </c>
      <c r="P140" t="n">
        <v>0</v>
      </c>
      <c r="Q140" t="n">
        <v>0</v>
      </c>
      <c r="R140" s="2" t="inlineStr"/>
    </row>
    <row r="141" ht="15" customHeight="1">
      <c r="A141" t="inlineStr">
        <is>
          <t>A 25059-2024</t>
        </is>
      </c>
      <c r="B141" s="1" t="n">
        <v>45462.35787037037</v>
      </c>
      <c r="C141" s="1" t="n">
        <v>45904</v>
      </c>
      <c r="D141" t="inlineStr">
        <is>
          <t>ÖREBRO LÄN</t>
        </is>
      </c>
      <c r="E141" t="inlineStr">
        <is>
          <t>HÄLLEFORS</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51212-2023</t>
        </is>
      </c>
      <c r="B142" s="1" t="n">
        <v>45219.44366898148</v>
      </c>
      <c r="C142" s="1" t="n">
        <v>45904</v>
      </c>
      <c r="D142" t="inlineStr">
        <is>
          <t>ÖREBRO LÄN</t>
        </is>
      </c>
      <c r="E142" t="inlineStr">
        <is>
          <t>HÄLLEFORS</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45710-2023</t>
        </is>
      </c>
      <c r="B143" s="1" t="n">
        <v>45195.35254629629</v>
      </c>
      <c r="C143" s="1" t="n">
        <v>45904</v>
      </c>
      <c r="D143" t="inlineStr">
        <is>
          <t>ÖREBRO LÄN</t>
        </is>
      </c>
      <c r="E143" t="inlineStr">
        <is>
          <t>HÄLLEFORS</t>
        </is>
      </c>
      <c r="G143" t="n">
        <v>5.4</v>
      </c>
      <c r="H143" t="n">
        <v>0</v>
      </c>
      <c r="I143" t="n">
        <v>0</v>
      </c>
      <c r="J143" t="n">
        <v>0</v>
      </c>
      <c r="K143" t="n">
        <v>0</v>
      </c>
      <c r="L143" t="n">
        <v>0</v>
      </c>
      <c r="M143" t="n">
        <v>0</v>
      </c>
      <c r="N143" t="n">
        <v>0</v>
      </c>
      <c r="O143" t="n">
        <v>0</v>
      </c>
      <c r="P143" t="n">
        <v>0</v>
      </c>
      <c r="Q143" t="n">
        <v>0</v>
      </c>
      <c r="R143" s="2" t="inlineStr"/>
    </row>
    <row r="144" ht="15" customHeight="1">
      <c r="A144" t="inlineStr">
        <is>
          <t>A 60306-2024</t>
        </is>
      </c>
      <c r="B144" s="1" t="n">
        <v>45643.34040509259</v>
      </c>
      <c r="C144" s="1" t="n">
        <v>45904</v>
      </c>
      <c r="D144" t="inlineStr">
        <is>
          <t>ÖREBRO LÄN</t>
        </is>
      </c>
      <c r="E144" t="inlineStr">
        <is>
          <t>HÄLLEFORS</t>
        </is>
      </c>
      <c r="F144" t="inlineStr">
        <is>
          <t>Bergvik skog väst AB</t>
        </is>
      </c>
      <c r="G144" t="n">
        <v>4.5</v>
      </c>
      <c r="H144" t="n">
        <v>0</v>
      </c>
      <c r="I144" t="n">
        <v>0</v>
      </c>
      <c r="J144" t="n">
        <v>0</v>
      </c>
      <c r="K144" t="n">
        <v>0</v>
      </c>
      <c r="L144" t="n">
        <v>0</v>
      </c>
      <c r="M144" t="n">
        <v>0</v>
      </c>
      <c r="N144" t="n">
        <v>0</v>
      </c>
      <c r="O144" t="n">
        <v>0</v>
      </c>
      <c r="P144" t="n">
        <v>0</v>
      </c>
      <c r="Q144" t="n">
        <v>0</v>
      </c>
      <c r="R144" s="2" t="inlineStr"/>
    </row>
    <row r="145" ht="15" customHeight="1">
      <c r="A145" t="inlineStr">
        <is>
          <t>A 15941-2023</t>
        </is>
      </c>
      <c r="B145" s="1" t="n">
        <v>45022</v>
      </c>
      <c r="C145" s="1" t="n">
        <v>45904</v>
      </c>
      <c r="D145" t="inlineStr">
        <is>
          <t>ÖREBRO LÄN</t>
        </is>
      </c>
      <c r="E145" t="inlineStr">
        <is>
          <t>HÄLLEFORS</t>
        </is>
      </c>
      <c r="G145" t="n">
        <v>1.9</v>
      </c>
      <c r="H145" t="n">
        <v>0</v>
      </c>
      <c r="I145" t="n">
        <v>0</v>
      </c>
      <c r="J145" t="n">
        <v>0</v>
      </c>
      <c r="K145" t="n">
        <v>0</v>
      </c>
      <c r="L145" t="n">
        <v>0</v>
      </c>
      <c r="M145" t="n">
        <v>0</v>
      </c>
      <c r="N145" t="n">
        <v>0</v>
      </c>
      <c r="O145" t="n">
        <v>0</v>
      </c>
      <c r="P145" t="n">
        <v>0</v>
      </c>
      <c r="Q145" t="n">
        <v>0</v>
      </c>
      <c r="R145" s="2" t="inlineStr"/>
    </row>
    <row r="146" ht="15" customHeight="1">
      <c r="A146" t="inlineStr">
        <is>
          <t>A 18987-2025</t>
        </is>
      </c>
      <c r="B146" s="1" t="n">
        <v>45764.56091435185</v>
      </c>
      <c r="C146" s="1" t="n">
        <v>45904</v>
      </c>
      <c r="D146" t="inlineStr">
        <is>
          <t>ÖREBRO LÄN</t>
        </is>
      </c>
      <c r="E146" t="inlineStr">
        <is>
          <t>HÄLLEFORS</t>
        </is>
      </c>
      <c r="F146" t="inlineStr">
        <is>
          <t>Bergvik skog väst AB</t>
        </is>
      </c>
      <c r="G146" t="n">
        <v>2.8</v>
      </c>
      <c r="H146" t="n">
        <v>0</v>
      </c>
      <c r="I146" t="n">
        <v>0</v>
      </c>
      <c r="J146" t="n">
        <v>0</v>
      </c>
      <c r="K146" t="n">
        <v>0</v>
      </c>
      <c r="L146" t="n">
        <v>0</v>
      </c>
      <c r="M146" t="n">
        <v>0</v>
      </c>
      <c r="N146" t="n">
        <v>0</v>
      </c>
      <c r="O146" t="n">
        <v>0</v>
      </c>
      <c r="P146" t="n">
        <v>0</v>
      </c>
      <c r="Q146" t="n">
        <v>0</v>
      </c>
      <c r="R146" s="2" t="inlineStr"/>
    </row>
    <row r="147" ht="15" customHeight="1">
      <c r="A147" t="inlineStr">
        <is>
          <t>A 28564-2024</t>
        </is>
      </c>
      <c r="B147" s="1" t="n">
        <v>45478.38640046296</v>
      </c>
      <c r="C147" s="1" t="n">
        <v>45904</v>
      </c>
      <c r="D147" t="inlineStr">
        <is>
          <t>ÖREBRO LÄN</t>
        </is>
      </c>
      <c r="E147" t="inlineStr">
        <is>
          <t>HÄLLEFORS</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36114-2024</t>
        </is>
      </c>
      <c r="B148" s="1" t="n">
        <v>45534.30509259259</v>
      </c>
      <c r="C148" s="1" t="n">
        <v>45904</v>
      </c>
      <c r="D148" t="inlineStr">
        <is>
          <t>ÖREBRO LÄN</t>
        </is>
      </c>
      <c r="E148" t="inlineStr">
        <is>
          <t>HÄLLEFORS</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32937-2024</t>
        </is>
      </c>
      <c r="B149" s="1" t="n">
        <v>45517.32866898148</v>
      </c>
      <c r="C149" s="1" t="n">
        <v>45904</v>
      </c>
      <c r="D149" t="inlineStr">
        <is>
          <t>ÖREBRO LÄN</t>
        </is>
      </c>
      <c r="E149" t="inlineStr">
        <is>
          <t>HÄLLEFORS</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47811-2024</t>
        </is>
      </c>
      <c r="B150" s="1" t="n">
        <v>45588.61716435185</v>
      </c>
      <c r="C150" s="1" t="n">
        <v>45904</v>
      </c>
      <c r="D150" t="inlineStr">
        <is>
          <t>ÖREBRO LÄN</t>
        </is>
      </c>
      <c r="E150" t="inlineStr">
        <is>
          <t>HÄLLEFORS</t>
        </is>
      </c>
      <c r="F150" t="inlineStr">
        <is>
          <t>Bergvik skog väst AB</t>
        </is>
      </c>
      <c r="G150" t="n">
        <v>5.9</v>
      </c>
      <c r="H150" t="n">
        <v>0</v>
      </c>
      <c r="I150" t="n">
        <v>0</v>
      </c>
      <c r="J150" t="n">
        <v>0</v>
      </c>
      <c r="K150" t="n">
        <v>0</v>
      </c>
      <c r="L150" t="n">
        <v>0</v>
      </c>
      <c r="M150" t="n">
        <v>0</v>
      </c>
      <c r="N150" t="n">
        <v>0</v>
      </c>
      <c r="O150" t="n">
        <v>0</v>
      </c>
      <c r="P150" t="n">
        <v>0</v>
      </c>
      <c r="Q150" t="n">
        <v>0</v>
      </c>
      <c r="R150" s="2" t="inlineStr"/>
    </row>
    <row r="151" ht="15" customHeight="1">
      <c r="A151" t="inlineStr">
        <is>
          <t>A 53035-2022</t>
        </is>
      </c>
      <c r="B151" s="1" t="n">
        <v>44876.30667824074</v>
      </c>
      <c r="C151" s="1" t="n">
        <v>45904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55745-2024</t>
        </is>
      </c>
      <c r="B152" s="1" t="n">
        <v>45623.3168287037</v>
      </c>
      <c r="C152" s="1" t="n">
        <v>45904</v>
      </c>
      <c r="D152" t="inlineStr">
        <is>
          <t>ÖREBRO LÄN</t>
        </is>
      </c>
      <c r="E152" t="inlineStr">
        <is>
          <t>HÄLLEFORS</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55453-2023</t>
        </is>
      </c>
      <c r="B153" s="1" t="n">
        <v>45238</v>
      </c>
      <c r="C153" s="1" t="n">
        <v>45904</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23649-2025</t>
        </is>
      </c>
      <c r="B154" s="1" t="n">
        <v>45792.69949074074</v>
      </c>
      <c r="C154" s="1" t="n">
        <v>45904</v>
      </c>
      <c r="D154" t="inlineStr">
        <is>
          <t>ÖREBRO LÄN</t>
        </is>
      </c>
      <c r="E154" t="inlineStr">
        <is>
          <t>HÄLLEFORS</t>
        </is>
      </c>
      <c r="G154" t="n">
        <v>4.4</v>
      </c>
      <c r="H154" t="n">
        <v>0</v>
      </c>
      <c r="I154" t="n">
        <v>0</v>
      </c>
      <c r="J154" t="n">
        <v>0</v>
      </c>
      <c r="K154" t="n">
        <v>0</v>
      </c>
      <c r="L154" t="n">
        <v>0</v>
      </c>
      <c r="M154" t="n">
        <v>0</v>
      </c>
      <c r="N154" t="n">
        <v>0</v>
      </c>
      <c r="O154" t="n">
        <v>0</v>
      </c>
      <c r="P154" t="n">
        <v>0</v>
      </c>
      <c r="Q154" t="n">
        <v>0</v>
      </c>
      <c r="R154" s="2" t="inlineStr"/>
    </row>
    <row r="155" ht="15" customHeight="1">
      <c r="A155" t="inlineStr">
        <is>
          <t>A 46912-2023</t>
        </is>
      </c>
      <c r="B155" s="1" t="n">
        <v>45201</v>
      </c>
      <c r="C155" s="1" t="n">
        <v>45904</v>
      </c>
      <c r="D155" t="inlineStr">
        <is>
          <t>ÖREBRO LÄN</t>
        </is>
      </c>
      <c r="E155" t="inlineStr">
        <is>
          <t>HÄLLEFORS</t>
        </is>
      </c>
      <c r="G155" t="n">
        <v>1</v>
      </c>
      <c r="H155" t="n">
        <v>0</v>
      </c>
      <c r="I155" t="n">
        <v>0</v>
      </c>
      <c r="J155" t="n">
        <v>0</v>
      </c>
      <c r="K155" t="n">
        <v>0</v>
      </c>
      <c r="L155" t="n">
        <v>0</v>
      </c>
      <c r="M155" t="n">
        <v>0</v>
      </c>
      <c r="N155" t="n">
        <v>0</v>
      </c>
      <c r="O155" t="n">
        <v>0</v>
      </c>
      <c r="P155" t="n">
        <v>0</v>
      </c>
      <c r="Q155" t="n">
        <v>0</v>
      </c>
      <c r="R155" s="2" t="inlineStr"/>
    </row>
    <row r="156" ht="15" customHeight="1">
      <c r="A156" t="inlineStr">
        <is>
          <t>A 7066-2024</t>
        </is>
      </c>
      <c r="B156" s="1" t="n">
        <v>45343</v>
      </c>
      <c r="C156" s="1" t="n">
        <v>45904</v>
      </c>
      <c r="D156" t="inlineStr">
        <is>
          <t>ÖREBRO LÄN</t>
        </is>
      </c>
      <c r="E156" t="inlineStr">
        <is>
          <t>HÄLLEFORS</t>
        </is>
      </c>
      <c r="G156" t="n">
        <v>1.2</v>
      </c>
      <c r="H156" t="n">
        <v>0</v>
      </c>
      <c r="I156" t="n">
        <v>0</v>
      </c>
      <c r="J156" t="n">
        <v>0</v>
      </c>
      <c r="K156" t="n">
        <v>0</v>
      </c>
      <c r="L156" t="n">
        <v>0</v>
      </c>
      <c r="M156" t="n">
        <v>0</v>
      </c>
      <c r="N156" t="n">
        <v>0</v>
      </c>
      <c r="O156" t="n">
        <v>0</v>
      </c>
      <c r="P156" t="n">
        <v>0</v>
      </c>
      <c r="Q156" t="n">
        <v>0</v>
      </c>
      <c r="R156" s="2" t="inlineStr"/>
    </row>
    <row r="157" ht="15" customHeight="1">
      <c r="A157" t="inlineStr">
        <is>
          <t>A 12648-2025</t>
        </is>
      </c>
      <c r="B157" s="1" t="n">
        <v>45733.39797453704</v>
      </c>
      <c r="C157" s="1" t="n">
        <v>45904</v>
      </c>
      <c r="D157" t="inlineStr">
        <is>
          <t>ÖREBRO LÄN</t>
        </is>
      </c>
      <c r="E157" t="inlineStr">
        <is>
          <t>HÄLLEFORS</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18945-2025</t>
        </is>
      </c>
      <c r="B158" s="1" t="n">
        <v>45764.50498842593</v>
      </c>
      <c r="C158" s="1" t="n">
        <v>45904</v>
      </c>
      <c r="D158" t="inlineStr">
        <is>
          <t>ÖREBRO LÄN</t>
        </is>
      </c>
      <c r="E158" t="inlineStr">
        <is>
          <t>HÄLLEFORS</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35861-2024</t>
        </is>
      </c>
      <c r="B159" s="1" t="n">
        <v>45533.33751157407</v>
      </c>
      <c r="C159" s="1" t="n">
        <v>45904</v>
      </c>
      <c r="D159" t="inlineStr">
        <is>
          <t>ÖREBRO LÄN</t>
        </is>
      </c>
      <c r="E159" t="inlineStr">
        <is>
          <t>HÄLLEFORS</t>
        </is>
      </c>
      <c r="F159" t="inlineStr">
        <is>
          <t>Bergvik skog väst AB</t>
        </is>
      </c>
      <c r="G159" t="n">
        <v>25.9</v>
      </c>
      <c r="H159" t="n">
        <v>0</v>
      </c>
      <c r="I159" t="n">
        <v>0</v>
      </c>
      <c r="J159" t="n">
        <v>0</v>
      </c>
      <c r="K159" t="n">
        <v>0</v>
      </c>
      <c r="L159" t="n">
        <v>0</v>
      </c>
      <c r="M159" t="n">
        <v>0</v>
      </c>
      <c r="N159" t="n">
        <v>0</v>
      </c>
      <c r="O159" t="n">
        <v>0</v>
      </c>
      <c r="P159" t="n">
        <v>0</v>
      </c>
      <c r="Q159" t="n">
        <v>0</v>
      </c>
      <c r="R159" s="2" t="inlineStr"/>
    </row>
    <row r="160" ht="15" customHeight="1">
      <c r="A160" t="inlineStr">
        <is>
          <t>A 44122-2024</t>
        </is>
      </c>
      <c r="B160" s="1" t="n">
        <v>45572.6396875</v>
      </c>
      <c r="C160" s="1" t="n">
        <v>45904</v>
      </c>
      <c r="D160" t="inlineStr">
        <is>
          <t>ÖREBRO LÄN</t>
        </is>
      </c>
      <c r="E160" t="inlineStr">
        <is>
          <t>HÄLLEFORS</t>
        </is>
      </c>
      <c r="F160" t="inlineStr">
        <is>
          <t>Bergvik skog väst AB</t>
        </is>
      </c>
      <c r="G160" t="n">
        <v>2.9</v>
      </c>
      <c r="H160" t="n">
        <v>0</v>
      </c>
      <c r="I160" t="n">
        <v>0</v>
      </c>
      <c r="J160" t="n">
        <v>0</v>
      </c>
      <c r="K160" t="n">
        <v>0</v>
      </c>
      <c r="L160" t="n">
        <v>0</v>
      </c>
      <c r="M160" t="n">
        <v>0</v>
      </c>
      <c r="N160" t="n">
        <v>0</v>
      </c>
      <c r="O160" t="n">
        <v>0</v>
      </c>
      <c r="P160" t="n">
        <v>0</v>
      </c>
      <c r="Q160" t="n">
        <v>0</v>
      </c>
      <c r="R160" s="2" t="inlineStr"/>
    </row>
    <row r="161" ht="15" customHeight="1">
      <c r="A161" t="inlineStr">
        <is>
          <t>A 54995-2024</t>
        </is>
      </c>
      <c r="B161" s="1" t="n">
        <v>45621.28127314815</v>
      </c>
      <c r="C161" s="1" t="n">
        <v>45904</v>
      </c>
      <c r="D161" t="inlineStr">
        <is>
          <t>ÖREBRO LÄN</t>
        </is>
      </c>
      <c r="E161" t="inlineStr">
        <is>
          <t>HÄLLEFORS</t>
        </is>
      </c>
      <c r="F161" t="inlineStr">
        <is>
          <t>Bergvik skog väst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54105-2023</t>
        </is>
      </c>
      <c r="B162" s="1" t="n">
        <v>45232</v>
      </c>
      <c r="C162" s="1" t="n">
        <v>45904</v>
      </c>
      <c r="D162" t="inlineStr">
        <is>
          <t>ÖREBRO LÄN</t>
        </is>
      </c>
      <c r="E162" t="inlineStr">
        <is>
          <t>HÄLLEFORS</t>
        </is>
      </c>
      <c r="F162" t="inlineStr">
        <is>
          <t>Kommuner</t>
        </is>
      </c>
      <c r="G162" t="n">
        <v>0.9</v>
      </c>
      <c r="H162" t="n">
        <v>0</v>
      </c>
      <c r="I162" t="n">
        <v>0</v>
      </c>
      <c r="J162" t="n">
        <v>0</v>
      </c>
      <c r="K162" t="n">
        <v>0</v>
      </c>
      <c r="L162" t="n">
        <v>0</v>
      </c>
      <c r="M162" t="n">
        <v>0</v>
      </c>
      <c r="N162" t="n">
        <v>0</v>
      </c>
      <c r="O162" t="n">
        <v>0</v>
      </c>
      <c r="P162" t="n">
        <v>0</v>
      </c>
      <c r="Q162" t="n">
        <v>0</v>
      </c>
      <c r="R162" s="2" t="inlineStr"/>
    </row>
    <row r="163" ht="15" customHeight="1">
      <c r="A163" t="inlineStr">
        <is>
          <t>A 16930-2025</t>
        </is>
      </c>
      <c r="B163" s="1" t="n">
        <v>45755.40039351852</v>
      </c>
      <c r="C163" s="1" t="n">
        <v>45904</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5237-2025</t>
        </is>
      </c>
      <c r="B164" s="1" t="n">
        <v>45692.30760416666</v>
      </c>
      <c r="C164" s="1" t="n">
        <v>45904</v>
      </c>
      <c r="D164" t="inlineStr">
        <is>
          <t>ÖREBRO LÄN</t>
        </is>
      </c>
      <c r="E164" t="inlineStr">
        <is>
          <t>HÄLLEFORS</t>
        </is>
      </c>
      <c r="F164" t="inlineStr">
        <is>
          <t>Bergvik skog väst AB</t>
        </is>
      </c>
      <c r="G164" t="n">
        <v>4.6</v>
      </c>
      <c r="H164" t="n">
        <v>0</v>
      </c>
      <c r="I164" t="n">
        <v>0</v>
      </c>
      <c r="J164" t="n">
        <v>0</v>
      </c>
      <c r="K164" t="n">
        <v>0</v>
      </c>
      <c r="L164" t="n">
        <v>0</v>
      </c>
      <c r="M164" t="n">
        <v>0</v>
      </c>
      <c r="N164" t="n">
        <v>0</v>
      </c>
      <c r="O164" t="n">
        <v>0</v>
      </c>
      <c r="P164" t="n">
        <v>0</v>
      </c>
      <c r="Q164" t="n">
        <v>0</v>
      </c>
      <c r="R164" s="2" t="inlineStr"/>
    </row>
    <row r="165" ht="15" customHeight="1">
      <c r="A165" t="inlineStr">
        <is>
          <t>A 5042-2025</t>
        </is>
      </c>
      <c r="B165" s="1" t="n">
        <v>45691.43619212963</v>
      </c>
      <c r="C165" s="1" t="n">
        <v>45904</v>
      </c>
      <c r="D165" t="inlineStr">
        <is>
          <t>ÖREBRO LÄN</t>
        </is>
      </c>
      <c r="E165" t="inlineStr">
        <is>
          <t>HÄLLEFORS</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16927-2025</t>
        </is>
      </c>
      <c r="B166" s="1" t="n">
        <v>45755.39212962963</v>
      </c>
      <c r="C166" s="1" t="n">
        <v>45904</v>
      </c>
      <c r="D166" t="inlineStr">
        <is>
          <t>ÖREBRO LÄN</t>
        </is>
      </c>
      <c r="E166" t="inlineStr">
        <is>
          <t>HÄLLEFORS</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16053-2023</t>
        </is>
      </c>
      <c r="B167" s="1" t="n">
        <v>45027</v>
      </c>
      <c r="C167" s="1" t="n">
        <v>45904</v>
      </c>
      <c r="D167" t="inlineStr">
        <is>
          <t>ÖREBRO LÄN</t>
        </is>
      </c>
      <c r="E167" t="inlineStr">
        <is>
          <t>HÄLLEFORS</t>
        </is>
      </c>
      <c r="F167" t="inlineStr">
        <is>
          <t>Bergvik skog väst AB</t>
        </is>
      </c>
      <c r="G167" t="n">
        <v>14.7</v>
      </c>
      <c r="H167" t="n">
        <v>0</v>
      </c>
      <c r="I167" t="n">
        <v>0</v>
      </c>
      <c r="J167" t="n">
        <v>0</v>
      </c>
      <c r="K167" t="n">
        <v>0</v>
      </c>
      <c r="L167" t="n">
        <v>0</v>
      </c>
      <c r="M167" t="n">
        <v>0</v>
      </c>
      <c r="N167" t="n">
        <v>0</v>
      </c>
      <c r="O167" t="n">
        <v>0</v>
      </c>
      <c r="P167" t="n">
        <v>0</v>
      </c>
      <c r="Q167" t="n">
        <v>0</v>
      </c>
      <c r="R167" s="2" t="inlineStr"/>
    </row>
    <row r="168" ht="15" customHeight="1">
      <c r="A168" t="inlineStr">
        <is>
          <t>A 29340-2024</t>
        </is>
      </c>
      <c r="B168" s="1" t="n">
        <v>45483.46465277778</v>
      </c>
      <c r="C168" s="1" t="n">
        <v>45904</v>
      </c>
      <c r="D168" t="inlineStr">
        <is>
          <t>ÖREBRO LÄN</t>
        </is>
      </c>
      <c r="E168" t="inlineStr">
        <is>
          <t>HÄLLEFORS</t>
        </is>
      </c>
      <c r="G168" t="n">
        <v>1.7</v>
      </c>
      <c r="H168" t="n">
        <v>0</v>
      </c>
      <c r="I168" t="n">
        <v>0</v>
      </c>
      <c r="J168" t="n">
        <v>0</v>
      </c>
      <c r="K168" t="n">
        <v>0</v>
      </c>
      <c r="L168" t="n">
        <v>0</v>
      </c>
      <c r="M168" t="n">
        <v>0</v>
      </c>
      <c r="N168" t="n">
        <v>0</v>
      </c>
      <c r="O168" t="n">
        <v>0</v>
      </c>
      <c r="P168" t="n">
        <v>0</v>
      </c>
      <c r="Q168" t="n">
        <v>0</v>
      </c>
      <c r="R168" s="2" t="inlineStr"/>
    </row>
    <row r="169" ht="15" customHeight="1">
      <c r="A169" t="inlineStr">
        <is>
          <t>A 21315-2024</t>
        </is>
      </c>
      <c r="B169" s="1" t="n">
        <v>45440</v>
      </c>
      <c r="C169" s="1" t="n">
        <v>45904</v>
      </c>
      <c r="D169" t="inlineStr">
        <is>
          <t>ÖREBRO LÄN</t>
        </is>
      </c>
      <c r="E169" t="inlineStr">
        <is>
          <t>HÄLLEFORS</t>
        </is>
      </c>
      <c r="G169" t="n">
        <v>3.1</v>
      </c>
      <c r="H169" t="n">
        <v>0</v>
      </c>
      <c r="I169" t="n">
        <v>0</v>
      </c>
      <c r="J169" t="n">
        <v>0</v>
      </c>
      <c r="K169" t="n">
        <v>0</v>
      </c>
      <c r="L169" t="n">
        <v>0</v>
      </c>
      <c r="M169" t="n">
        <v>0</v>
      </c>
      <c r="N169" t="n">
        <v>0</v>
      </c>
      <c r="O169" t="n">
        <v>0</v>
      </c>
      <c r="P169" t="n">
        <v>0</v>
      </c>
      <c r="Q169" t="n">
        <v>0</v>
      </c>
      <c r="R169" s="2" t="inlineStr"/>
    </row>
    <row r="170" ht="15" customHeight="1">
      <c r="A170" t="inlineStr">
        <is>
          <t>A 71766-2021</t>
        </is>
      </c>
      <c r="B170" s="1" t="n">
        <v>44543</v>
      </c>
      <c r="C170" s="1" t="n">
        <v>45904</v>
      </c>
      <c r="D170" t="inlineStr">
        <is>
          <t>ÖREBRO LÄN</t>
        </is>
      </c>
      <c r="E170" t="inlineStr">
        <is>
          <t>HÄLLEFORS</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13757-2023</t>
        </is>
      </c>
      <c r="B171" s="1" t="n">
        <v>45007.42442129629</v>
      </c>
      <c r="C171" s="1" t="n">
        <v>45904</v>
      </c>
      <c r="D171" t="inlineStr">
        <is>
          <t>ÖREBRO LÄN</t>
        </is>
      </c>
      <c r="E171" t="inlineStr">
        <is>
          <t>HÄLLEFORS</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30591-2024</t>
        </is>
      </c>
      <c r="B172" s="1" t="n">
        <v>45493.3153125</v>
      </c>
      <c r="C172" s="1" t="n">
        <v>45904</v>
      </c>
      <c r="D172" t="inlineStr">
        <is>
          <t>ÖREBRO LÄN</t>
        </is>
      </c>
      <c r="E172" t="inlineStr">
        <is>
          <t>HÄLLEFORS</t>
        </is>
      </c>
      <c r="G172" t="n">
        <v>12.5</v>
      </c>
      <c r="H172" t="n">
        <v>0</v>
      </c>
      <c r="I172" t="n">
        <v>0</v>
      </c>
      <c r="J172" t="n">
        <v>0</v>
      </c>
      <c r="K172" t="n">
        <v>0</v>
      </c>
      <c r="L172" t="n">
        <v>0</v>
      </c>
      <c r="M172" t="n">
        <v>0</v>
      </c>
      <c r="N172" t="n">
        <v>0</v>
      </c>
      <c r="O172" t="n">
        <v>0</v>
      </c>
      <c r="P172" t="n">
        <v>0</v>
      </c>
      <c r="Q172" t="n">
        <v>0</v>
      </c>
      <c r="R172" s="2" t="inlineStr"/>
    </row>
    <row r="173" ht="15" customHeight="1">
      <c r="A173" t="inlineStr">
        <is>
          <t>A 44123-2024</t>
        </is>
      </c>
      <c r="B173" s="1" t="n">
        <v>45572.64509259259</v>
      </c>
      <c r="C173" s="1" t="n">
        <v>45904</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37027-2022</t>
        </is>
      </c>
      <c r="B174" s="1" t="n">
        <v>44806</v>
      </c>
      <c r="C174" s="1" t="n">
        <v>45904</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12545-2023</t>
        </is>
      </c>
      <c r="B175" s="1" t="n">
        <v>45000</v>
      </c>
      <c r="C175" s="1" t="n">
        <v>45904</v>
      </c>
      <c r="D175" t="inlineStr">
        <is>
          <t>ÖREBRO LÄN</t>
        </is>
      </c>
      <c r="E175" t="inlineStr">
        <is>
          <t>HÄLLEFORS</t>
        </is>
      </c>
      <c r="F175" t="inlineStr">
        <is>
          <t>Bergvik skog väst AB</t>
        </is>
      </c>
      <c r="G175" t="n">
        <v>5.6</v>
      </c>
      <c r="H175" t="n">
        <v>0</v>
      </c>
      <c r="I175" t="n">
        <v>0</v>
      </c>
      <c r="J175" t="n">
        <v>0</v>
      </c>
      <c r="K175" t="n">
        <v>0</v>
      </c>
      <c r="L175" t="n">
        <v>0</v>
      </c>
      <c r="M175" t="n">
        <v>0</v>
      </c>
      <c r="N175" t="n">
        <v>0</v>
      </c>
      <c r="O175" t="n">
        <v>0</v>
      </c>
      <c r="P175" t="n">
        <v>0</v>
      </c>
      <c r="Q175" t="n">
        <v>0</v>
      </c>
      <c r="R175" s="2" t="inlineStr"/>
    </row>
    <row r="176" ht="15" customHeight="1">
      <c r="A176" t="inlineStr">
        <is>
          <t>A 6281-2025</t>
        </is>
      </c>
      <c r="B176" s="1" t="n">
        <v>45698</v>
      </c>
      <c r="C176" s="1" t="n">
        <v>45904</v>
      </c>
      <c r="D176" t="inlineStr">
        <is>
          <t>ÖREBRO LÄN</t>
        </is>
      </c>
      <c r="E176" t="inlineStr">
        <is>
          <t>HÄLLEFORS</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38010-2024</t>
        </is>
      </c>
      <c r="B177" s="1" t="n">
        <v>45544.62276620371</v>
      </c>
      <c r="C177" s="1" t="n">
        <v>45904</v>
      </c>
      <c r="D177" t="inlineStr">
        <is>
          <t>ÖREBRO LÄN</t>
        </is>
      </c>
      <c r="E177" t="inlineStr">
        <is>
          <t>HÄLLEFORS</t>
        </is>
      </c>
      <c r="G177" t="n">
        <v>22.7</v>
      </c>
      <c r="H177" t="n">
        <v>0</v>
      </c>
      <c r="I177" t="n">
        <v>0</v>
      </c>
      <c r="J177" t="n">
        <v>0</v>
      </c>
      <c r="K177" t="n">
        <v>0</v>
      </c>
      <c r="L177" t="n">
        <v>0</v>
      </c>
      <c r="M177" t="n">
        <v>0</v>
      </c>
      <c r="N177" t="n">
        <v>0</v>
      </c>
      <c r="O177" t="n">
        <v>0</v>
      </c>
      <c r="P177" t="n">
        <v>0</v>
      </c>
      <c r="Q177" t="n">
        <v>0</v>
      </c>
      <c r="R177" s="2" t="inlineStr"/>
    </row>
    <row r="178" ht="15" customHeight="1">
      <c r="A178" t="inlineStr">
        <is>
          <t>A 5045-2025</t>
        </is>
      </c>
      <c r="B178" s="1" t="n">
        <v>45691.44689814815</v>
      </c>
      <c r="C178" s="1" t="n">
        <v>45904</v>
      </c>
      <c r="D178" t="inlineStr">
        <is>
          <t>ÖREBRO LÄN</t>
        </is>
      </c>
      <c r="E178" t="inlineStr">
        <is>
          <t>HÄLLEFORS</t>
        </is>
      </c>
      <c r="F178" t="inlineStr">
        <is>
          <t>Bergvik skog väst AB</t>
        </is>
      </c>
      <c r="G178" t="n">
        <v>6.4</v>
      </c>
      <c r="H178" t="n">
        <v>0</v>
      </c>
      <c r="I178" t="n">
        <v>0</v>
      </c>
      <c r="J178" t="n">
        <v>0</v>
      </c>
      <c r="K178" t="n">
        <v>0</v>
      </c>
      <c r="L178" t="n">
        <v>0</v>
      </c>
      <c r="M178" t="n">
        <v>0</v>
      </c>
      <c r="N178" t="n">
        <v>0</v>
      </c>
      <c r="O178" t="n">
        <v>0</v>
      </c>
      <c r="P178" t="n">
        <v>0</v>
      </c>
      <c r="Q178" t="n">
        <v>0</v>
      </c>
      <c r="R178" s="2" t="inlineStr"/>
    </row>
    <row r="179" ht="15" customHeight="1">
      <c r="A179" t="inlineStr">
        <is>
          <t>A 35191-2023</t>
        </is>
      </c>
      <c r="B179" s="1" t="n">
        <v>45145.61096064815</v>
      </c>
      <c r="C179" s="1" t="n">
        <v>45904</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23037-2024</t>
        </is>
      </c>
      <c r="B180" s="1" t="n">
        <v>45450.3955787037</v>
      </c>
      <c r="C180" s="1" t="n">
        <v>45904</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19245-2025</t>
        </is>
      </c>
      <c r="B181" s="1" t="n">
        <v>45769</v>
      </c>
      <c r="C181" s="1" t="n">
        <v>45904</v>
      </c>
      <c r="D181" t="inlineStr">
        <is>
          <t>ÖREBRO LÄN</t>
        </is>
      </c>
      <c r="E181" t="inlineStr">
        <is>
          <t>HÄLLEFORS</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38908-2021</t>
        </is>
      </c>
      <c r="B182" s="1" t="n">
        <v>44411</v>
      </c>
      <c r="C182" s="1" t="n">
        <v>45904</v>
      </c>
      <c r="D182" t="inlineStr">
        <is>
          <t>ÖREBRO LÄN</t>
        </is>
      </c>
      <c r="E182" t="inlineStr">
        <is>
          <t>HÄLLEFORS</t>
        </is>
      </c>
      <c r="G182" t="n">
        <v>3.9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45904</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28004-2022</t>
        </is>
      </c>
      <c r="B184" s="1" t="n">
        <v>44746.34457175926</v>
      </c>
      <c r="C184" s="1" t="n">
        <v>45904</v>
      </c>
      <c r="D184" t="inlineStr">
        <is>
          <t>ÖREBRO LÄN</t>
        </is>
      </c>
      <c r="E184" t="inlineStr">
        <is>
          <t>HÄLLEFORS</t>
        </is>
      </c>
      <c r="G184" t="n">
        <v>2.9</v>
      </c>
      <c r="H184" t="n">
        <v>0</v>
      </c>
      <c r="I184" t="n">
        <v>0</v>
      </c>
      <c r="J184" t="n">
        <v>0</v>
      </c>
      <c r="K184" t="n">
        <v>0</v>
      </c>
      <c r="L184" t="n">
        <v>0</v>
      </c>
      <c r="M184" t="n">
        <v>0</v>
      </c>
      <c r="N184" t="n">
        <v>0</v>
      </c>
      <c r="O184" t="n">
        <v>0</v>
      </c>
      <c r="P184" t="n">
        <v>0</v>
      </c>
      <c r="Q184" t="n">
        <v>0</v>
      </c>
      <c r="R184" s="2" t="inlineStr"/>
    </row>
    <row r="185" ht="15" customHeight="1">
      <c r="A185" t="inlineStr">
        <is>
          <t>A 67953-2021</t>
        </is>
      </c>
      <c r="B185" s="1" t="n">
        <v>44525.63929398148</v>
      </c>
      <c r="C185" s="1" t="n">
        <v>45904</v>
      </c>
      <c r="D185" t="inlineStr">
        <is>
          <t>ÖREBRO LÄN</t>
        </is>
      </c>
      <c r="E185" t="inlineStr">
        <is>
          <t>HÄLLEFORS</t>
        </is>
      </c>
      <c r="G185" t="n">
        <v>2</v>
      </c>
      <c r="H185" t="n">
        <v>0</v>
      </c>
      <c r="I185" t="n">
        <v>0</v>
      </c>
      <c r="J185" t="n">
        <v>0</v>
      </c>
      <c r="K185" t="n">
        <v>0</v>
      </c>
      <c r="L185" t="n">
        <v>0</v>
      </c>
      <c r="M185" t="n">
        <v>0</v>
      </c>
      <c r="N185" t="n">
        <v>0</v>
      </c>
      <c r="O185" t="n">
        <v>0</v>
      </c>
      <c r="P185" t="n">
        <v>0</v>
      </c>
      <c r="Q185" t="n">
        <v>0</v>
      </c>
      <c r="R185" s="2" t="inlineStr"/>
    </row>
    <row r="186" ht="15" customHeight="1">
      <c r="A186" t="inlineStr">
        <is>
          <t>A 44088-2024</t>
        </is>
      </c>
      <c r="B186" s="1" t="n">
        <v>45572.61984953703</v>
      </c>
      <c r="C186" s="1" t="n">
        <v>45904</v>
      </c>
      <c r="D186" t="inlineStr">
        <is>
          <t>ÖREBRO LÄN</t>
        </is>
      </c>
      <c r="E186" t="inlineStr">
        <is>
          <t>HÄLLEFORS</t>
        </is>
      </c>
      <c r="G186" t="n">
        <v>4</v>
      </c>
      <c r="H186" t="n">
        <v>0</v>
      </c>
      <c r="I186" t="n">
        <v>0</v>
      </c>
      <c r="J186" t="n">
        <v>0</v>
      </c>
      <c r="K186" t="n">
        <v>0</v>
      </c>
      <c r="L186" t="n">
        <v>0</v>
      </c>
      <c r="M186" t="n">
        <v>0</v>
      </c>
      <c r="N186" t="n">
        <v>0</v>
      </c>
      <c r="O186" t="n">
        <v>0</v>
      </c>
      <c r="P186" t="n">
        <v>0</v>
      </c>
      <c r="Q186" t="n">
        <v>0</v>
      </c>
      <c r="R186" s="2" t="inlineStr"/>
    </row>
    <row r="187" ht="15" customHeight="1">
      <c r="A187" t="inlineStr">
        <is>
          <t>A 39031-2022</t>
        </is>
      </c>
      <c r="B187" s="1" t="n">
        <v>44817.34144675926</v>
      </c>
      <c r="C187" s="1" t="n">
        <v>45904</v>
      </c>
      <c r="D187" t="inlineStr">
        <is>
          <t>ÖREBRO LÄN</t>
        </is>
      </c>
      <c r="E187" t="inlineStr">
        <is>
          <t>HÄLLEFORS</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41822-2023</t>
        </is>
      </c>
      <c r="B188" s="1" t="n">
        <v>45176.56863425926</v>
      </c>
      <c r="C188" s="1" t="n">
        <v>45904</v>
      </c>
      <c r="D188" t="inlineStr">
        <is>
          <t>ÖREBRO LÄN</t>
        </is>
      </c>
      <c r="E188" t="inlineStr">
        <is>
          <t>HÄLLEFORS</t>
        </is>
      </c>
      <c r="F188" t="inlineStr">
        <is>
          <t>Bergvik skog väst AB</t>
        </is>
      </c>
      <c r="G188" t="n">
        <v>5.6</v>
      </c>
      <c r="H188" t="n">
        <v>0</v>
      </c>
      <c r="I188" t="n">
        <v>0</v>
      </c>
      <c r="J188" t="n">
        <v>0</v>
      </c>
      <c r="K188" t="n">
        <v>0</v>
      </c>
      <c r="L188" t="n">
        <v>0</v>
      </c>
      <c r="M188" t="n">
        <v>0</v>
      </c>
      <c r="N188" t="n">
        <v>0</v>
      </c>
      <c r="O188" t="n">
        <v>0</v>
      </c>
      <c r="P188" t="n">
        <v>0</v>
      </c>
      <c r="Q188" t="n">
        <v>0</v>
      </c>
      <c r="R188" s="2" t="inlineStr"/>
    </row>
    <row r="189" ht="15" customHeight="1">
      <c r="A189" t="inlineStr">
        <is>
          <t>A 35188-2023</t>
        </is>
      </c>
      <c r="B189" s="1" t="n">
        <v>45145.60365740741</v>
      </c>
      <c r="C189" s="1" t="n">
        <v>45904</v>
      </c>
      <c r="D189" t="inlineStr">
        <is>
          <t>ÖREBRO LÄN</t>
        </is>
      </c>
      <c r="E189" t="inlineStr">
        <is>
          <t>HÄLLEFORS</t>
        </is>
      </c>
      <c r="F189" t="inlineStr">
        <is>
          <t>Bergvik skog väst AB</t>
        </is>
      </c>
      <c r="G189" t="n">
        <v>12.9</v>
      </c>
      <c r="H189" t="n">
        <v>0</v>
      </c>
      <c r="I189" t="n">
        <v>0</v>
      </c>
      <c r="J189" t="n">
        <v>0</v>
      </c>
      <c r="K189" t="n">
        <v>0</v>
      </c>
      <c r="L189" t="n">
        <v>0</v>
      </c>
      <c r="M189" t="n">
        <v>0</v>
      </c>
      <c r="N189" t="n">
        <v>0</v>
      </c>
      <c r="O189" t="n">
        <v>0</v>
      </c>
      <c r="P189" t="n">
        <v>0</v>
      </c>
      <c r="Q189" t="n">
        <v>0</v>
      </c>
      <c r="R189" s="2" t="inlineStr"/>
    </row>
    <row r="190" ht="15" customHeight="1">
      <c r="A190" t="inlineStr">
        <is>
          <t>A 41089-2022</t>
        </is>
      </c>
      <c r="B190" s="1" t="n">
        <v>44825.64613425926</v>
      </c>
      <c r="C190" s="1" t="n">
        <v>45904</v>
      </c>
      <c r="D190" t="inlineStr">
        <is>
          <t>ÖREBRO LÄN</t>
        </is>
      </c>
      <c r="E190" t="inlineStr">
        <is>
          <t>HÄLLEFORS</t>
        </is>
      </c>
      <c r="F190" t="inlineStr">
        <is>
          <t>Sveaskog</t>
        </is>
      </c>
      <c r="G190" t="n">
        <v>3.6</v>
      </c>
      <c r="H190" t="n">
        <v>0</v>
      </c>
      <c r="I190" t="n">
        <v>0</v>
      </c>
      <c r="J190" t="n">
        <v>0</v>
      </c>
      <c r="K190" t="n">
        <v>0</v>
      </c>
      <c r="L190" t="n">
        <v>0</v>
      </c>
      <c r="M190" t="n">
        <v>0</v>
      </c>
      <c r="N190" t="n">
        <v>0</v>
      </c>
      <c r="O190" t="n">
        <v>0</v>
      </c>
      <c r="P190" t="n">
        <v>0</v>
      </c>
      <c r="Q190" t="n">
        <v>0</v>
      </c>
      <c r="R190" s="2" t="inlineStr"/>
    </row>
    <row r="191" ht="15" customHeight="1">
      <c r="A191" t="inlineStr">
        <is>
          <t>A 29662-2022</t>
        </is>
      </c>
      <c r="B191" s="1" t="n">
        <v>44754</v>
      </c>
      <c r="C191" s="1" t="n">
        <v>45904</v>
      </c>
      <c r="D191" t="inlineStr">
        <is>
          <t>ÖREBRO LÄN</t>
        </is>
      </c>
      <c r="E191" t="inlineStr">
        <is>
          <t>HÄLLEFORS</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49709-2023</t>
        </is>
      </c>
      <c r="B192" s="1" t="n">
        <v>45212</v>
      </c>
      <c r="C192" s="1" t="n">
        <v>45904</v>
      </c>
      <c r="D192" t="inlineStr">
        <is>
          <t>ÖREBRO LÄN</t>
        </is>
      </c>
      <c r="E192" t="inlineStr">
        <is>
          <t>HÄLLEFORS</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20170-2023</t>
        </is>
      </c>
      <c r="B193" s="1" t="n">
        <v>45055</v>
      </c>
      <c r="C193" s="1" t="n">
        <v>45904</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14120-2023</t>
        </is>
      </c>
      <c r="B194" s="1" t="n">
        <v>45009</v>
      </c>
      <c r="C194" s="1" t="n">
        <v>45904</v>
      </c>
      <c r="D194" t="inlineStr">
        <is>
          <t>ÖREBRO LÄN</t>
        </is>
      </c>
      <c r="E194" t="inlineStr">
        <is>
          <t>HÄLLEFORS</t>
        </is>
      </c>
      <c r="F194" t="inlineStr">
        <is>
          <t>Bergvik skog väst AB</t>
        </is>
      </c>
      <c r="G194" t="n">
        <v>4.2</v>
      </c>
      <c r="H194" t="n">
        <v>0</v>
      </c>
      <c r="I194" t="n">
        <v>0</v>
      </c>
      <c r="J194" t="n">
        <v>0</v>
      </c>
      <c r="K194" t="n">
        <v>0</v>
      </c>
      <c r="L194" t="n">
        <v>0</v>
      </c>
      <c r="M194" t="n">
        <v>0</v>
      </c>
      <c r="N194" t="n">
        <v>0</v>
      </c>
      <c r="O194" t="n">
        <v>0</v>
      </c>
      <c r="P194" t="n">
        <v>0</v>
      </c>
      <c r="Q194" t="n">
        <v>0</v>
      </c>
      <c r="R194" s="2" t="inlineStr"/>
    </row>
    <row r="195" ht="15" customHeight="1">
      <c r="A195" t="inlineStr">
        <is>
          <t>A 44105-2024</t>
        </is>
      </c>
      <c r="B195" s="1" t="n">
        <v>45572.62980324074</v>
      </c>
      <c r="C195" s="1" t="n">
        <v>45904</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50571-2024</t>
        </is>
      </c>
      <c r="B196" s="1" t="n">
        <v>45601.60576388889</v>
      </c>
      <c r="C196" s="1" t="n">
        <v>45904</v>
      </c>
      <c r="D196" t="inlineStr">
        <is>
          <t>ÖREBRO LÄN</t>
        </is>
      </c>
      <c r="E196" t="inlineStr">
        <is>
          <t>HÄLLEFORS</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3643-2025</t>
        </is>
      </c>
      <c r="B197" s="1" t="n">
        <v>45681</v>
      </c>
      <c r="C197" s="1" t="n">
        <v>45904</v>
      </c>
      <c r="D197" t="inlineStr">
        <is>
          <t>ÖREBRO LÄN</t>
        </is>
      </c>
      <c r="E197" t="inlineStr">
        <is>
          <t>HÄLLEFORS</t>
        </is>
      </c>
      <c r="G197" t="n">
        <v>20.8</v>
      </c>
      <c r="H197" t="n">
        <v>0</v>
      </c>
      <c r="I197" t="n">
        <v>0</v>
      </c>
      <c r="J197" t="n">
        <v>0</v>
      </c>
      <c r="K197" t="n">
        <v>0</v>
      </c>
      <c r="L197" t="n">
        <v>0</v>
      </c>
      <c r="M197" t="n">
        <v>0</v>
      </c>
      <c r="N197" t="n">
        <v>0</v>
      </c>
      <c r="O197" t="n">
        <v>0</v>
      </c>
      <c r="P197" t="n">
        <v>0</v>
      </c>
      <c r="Q197" t="n">
        <v>0</v>
      </c>
      <c r="R197" s="2" t="inlineStr"/>
    </row>
    <row r="198" ht="15" customHeight="1">
      <c r="A198" t="inlineStr">
        <is>
          <t>A 15073-2022</t>
        </is>
      </c>
      <c r="B198" s="1" t="n">
        <v>44657</v>
      </c>
      <c r="C198" s="1" t="n">
        <v>45904</v>
      </c>
      <c r="D198" t="inlineStr">
        <is>
          <t>ÖREBRO LÄN</t>
        </is>
      </c>
      <c r="E198" t="inlineStr">
        <is>
          <t>HÄLLEFORS</t>
        </is>
      </c>
      <c r="G198" t="n">
        <v>2.3</v>
      </c>
      <c r="H198" t="n">
        <v>0</v>
      </c>
      <c r="I198" t="n">
        <v>0</v>
      </c>
      <c r="J198" t="n">
        <v>0</v>
      </c>
      <c r="K198" t="n">
        <v>0</v>
      </c>
      <c r="L198" t="n">
        <v>0</v>
      </c>
      <c r="M198" t="n">
        <v>0</v>
      </c>
      <c r="N198" t="n">
        <v>0</v>
      </c>
      <c r="O198" t="n">
        <v>0</v>
      </c>
      <c r="P198" t="n">
        <v>0</v>
      </c>
      <c r="Q198" t="n">
        <v>0</v>
      </c>
      <c r="R198" s="2" t="inlineStr"/>
    </row>
    <row r="199" ht="15" customHeight="1">
      <c r="A199" t="inlineStr">
        <is>
          <t>A 62501-2022</t>
        </is>
      </c>
      <c r="B199" s="1" t="n">
        <v>44924.593125</v>
      </c>
      <c r="C199" s="1" t="n">
        <v>45904</v>
      </c>
      <c r="D199" t="inlineStr">
        <is>
          <t>ÖREBRO LÄN</t>
        </is>
      </c>
      <c r="E199" t="inlineStr">
        <is>
          <t>HÄLLEFORS</t>
        </is>
      </c>
      <c r="G199" t="n">
        <v>3</v>
      </c>
      <c r="H199" t="n">
        <v>0</v>
      </c>
      <c r="I199" t="n">
        <v>0</v>
      </c>
      <c r="J199" t="n">
        <v>0</v>
      </c>
      <c r="K199" t="n">
        <v>0</v>
      </c>
      <c r="L199" t="n">
        <v>0</v>
      </c>
      <c r="M199" t="n">
        <v>0</v>
      </c>
      <c r="N199" t="n">
        <v>0</v>
      </c>
      <c r="O199" t="n">
        <v>0</v>
      </c>
      <c r="P199" t="n">
        <v>0</v>
      </c>
      <c r="Q199" t="n">
        <v>0</v>
      </c>
      <c r="R199" s="2" t="inlineStr"/>
    </row>
    <row r="200" ht="15" customHeight="1">
      <c r="A200" t="inlineStr">
        <is>
          <t>A 33617-2022</t>
        </is>
      </c>
      <c r="B200" s="1" t="n">
        <v>44782</v>
      </c>
      <c r="C200" s="1" t="n">
        <v>45904</v>
      </c>
      <c r="D200" t="inlineStr">
        <is>
          <t>ÖREBRO LÄN</t>
        </is>
      </c>
      <c r="E200" t="inlineStr">
        <is>
          <t>HÄLLEFORS</t>
        </is>
      </c>
      <c r="G200" t="n">
        <v>8.6</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44525.47178240741</v>
      </c>
      <c r="C201" s="1" t="n">
        <v>45904</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27925-2025</t>
        </is>
      </c>
      <c r="B202" s="1" t="n">
        <v>45817.48951388889</v>
      </c>
      <c r="C202" s="1" t="n">
        <v>45904</v>
      </c>
      <c r="D202" t="inlineStr">
        <is>
          <t>ÖREBRO LÄN</t>
        </is>
      </c>
      <c r="E202" t="inlineStr">
        <is>
          <t>HÄLLEFORS</t>
        </is>
      </c>
      <c r="G202" t="n">
        <v>1.2</v>
      </c>
      <c r="H202" t="n">
        <v>0</v>
      </c>
      <c r="I202" t="n">
        <v>0</v>
      </c>
      <c r="J202" t="n">
        <v>0</v>
      </c>
      <c r="K202" t="n">
        <v>0</v>
      </c>
      <c r="L202" t="n">
        <v>0</v>
      </c>
      <c r="M202" t="n">
        <v>0</v>
      </c>
      <c r="N202" t="n">
        <v>0</v>
      </c>
      <c r="O202" t="n">
        <v>0</v>
      </c>
      <c r="P202" t="n">
        <v>0</v>
      </c>
      <c r="Q202" t="n">
        <v>0</v>
      </c>
      <c r="R202" s="2" t="inlineStr"/>
    </row>
    <row r="203" ht="15" customHeight="1">
      <c r="A203" t="inlineStr">
        <is>
          <t>A 28024-2025</t>
        </is>
      </c>
      <c r="B203" s="1" t="n">
        <v>45817.62070601852</v>
      </c>
      <c r="C203" s="1" t="n">
        <v>45904</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12511-2025</t>
        </is>
      </c>
      <c r="B204" s="1" t="n">
        <v>45730.6371412037</v>
      </c>
      <c r="C204" s="1" t="n">
        <v>45904</v>
      </c>
      <c r="D204" t="inlineStr">
        <is>
          <t>ÖREBRO LÄN</t>
        </is>
      </c>
      <c r="E204" t="inlineStr">
        <is>
          <t>HÄLLEFORS</t>
        </is>
      </c>
      <c r="G204" t="n">
        <v>0.7</v>
      </c>
      <c r="H204" t="n">
        <v>0</v>
      </c>
      <c r="I204" t="n">
        <v>0</v>
      </c>
      <c r="J204" t="n">
        <v>0</v>
      </c>
      <c r="K204" t="n">
        <v>0</v>
      </c>
      <c r="L204" t="n">
        <v>0</v>
      </c>
      <c r="M204" t="n">
        <v>0</v>
      </c>
      <c r="N204" t="n">
        <v>0</v>
      </c>
      <c r="O204" t="n">
        <v>0</v>
      </c>
      <c r="P204" t="n">
        <v>0</v>
      </c>
      <c r="Q204" t="n">
        <v>0</v>
      </c>
      <c r="R204" s="2" t="inlineStr"/>
    </row>
    <row r="205" ht="15" customHeight="1">
      <c r="A205" t="inlineStr">
        <is>
          <t>A 12558-2025</t>
        </is>
      </c>
      <c r="B205" s="1" t="n">
        <v>45731.46960648148</v>
      </c>
      <c r="C205" s="1" t="n">
        <v>45904</v>
      </c>
      <c r="D205" t="inlineStr">
        <is>
          <t>ÖREBRO LÄN</t>
        </is>
      </c>
      <c r="E205" t="inlineStr">
        <is>
          <t>HÄLLEFORS</t>
        </is>
      </c>
      <c r="G205" t="n">
        <v>2.2</v>
      </c>
      <c r="H205" t="n">
        <v>0</v>
      </c>
      <c r="I205" t="n">
        <v>0</v>
      </c>
      <c r="J205" t="n">
        <v>0</v>
      </c>
      <c r="K205" t="n">
        <v>0</v>
      </c>
      <c r="L205" t="n">
        <v>0</v>
      </c>
      <c r="M205" t="n">
        <v>0</v>
      </c>
      <c r="N205" t="n">
        <v>0</v>
      </c>
      <c r="O205" t="n">
        <v>0</v>
      </c>
      <c r="P205" t="n">
        <v>0</v>
      </c>
      <c r="Q205" t="n">
        <v>0</v>
      </c>
      <c r="R205" s="2" t="inlineStr"/>
    </row>
    <row r="206" ht="15" customHeight="1">
      <c r="A206" t="inlineStr">
        <is>
          <t>A 28975-2025</t>
        </is>
      </c>
      <c r="B206" s="1" t="n">
        <v>45821</v>
      </c>
      <c r="C206" s="1" t="n">
        <v>45904</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17764-2023</t>
        </is>
      </c>
      <c r="B207" s="1" t="n">
        <v>45037.50085648148</v>
      </c>
      <c r="C207" s="1" t="n">
        <v>45904</v>
      </c>
      <c r="D207" t="inlineStr">
        <is>
          <t>ÖREBRO LÄN</t>
        </is>
      </c>
      <c r="E207" t="inlineStr">
        <is>
          <t>HÄLLEFORS</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48429-2024</t>
        </is>
      </c>
      <c r="B208" s="1" t="n">
        <v>45590</v>
      </c>
      <c r="C208" s="1" t="n">
        <v>45904</v>
      </c>
      <c r="D208" t="inlineStr">
        <is>
          <t>ÖREBRO LÄN</t>
        </is>
      </c>
      <c r="E208" t="inlineStr">
        <is>
          <t>HÄLLEFORS</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65054-2021</t>
        </is>
      </c>
      <c r="B209" s="1" t="n">
        <v>44515.35802083334</v>
      </c>
      <c r="C209" s="1" t="n">
        <v>45904</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28979-2025</t>
        </is>
      </c>
      <c r="B210" s="1" t="n">
        <v>45821.35136574074</v>
      </c>
      <c r="C210" s="1" t="n">
        <v>45904</v>
      </c>
      <c r="D210" t="inlineStr">
        <is>
          <t>ÖREBRO LÄN</t>
        </is>
      </c>
      <c r="E210" t="inlineStr">
        <is>
          <t>HÄLLEFORS</t>
        </is>
      </c>
      <c r="G210" t="n">
        <v>2.9</v>
      </c>
      <c r="H210" t="n">
        <v>0</v>
      </c>
      <c r="I210" t="n">
        <v>0</v>
      </c>
      <c r="J210" t="n">
        <v>0</v>
      </c>
      <c r="K210" t="n">
        <v>0</v>
      </c>
      <c r="L210" t="n">
        <v>0</v>
      </c>
      <c r="M210" t="n">
        <v>0</v>
      </c>
      <c r="N210" t="n">
        <v>0</v>
      </c>
      <c r="O210" t="n">
        <v>0</v>
      </c>
      <c r="P210" t="n">
        <v>0</v>
      </c>
      <c r="Q210" t="n">
        <v>0</v>
      </c>
      <c r="R210" s="2" t="inlineStr"/>
    </row>
    <row r="211" ht="15" customHeight="1">
      <c r="A211" t="inlineStr">
        <is>
          <t>A 43941-2023</t>
        </is>
      </c>
      <c r="B211" s="1" t="n">
        <v>45187</v>
      </c>
      <c r="C211" s="1" t="n">
        <v>45904</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29280-2025</t>
        </is>
      </c>
      <c r="B212" s="1" t="n">
        <v>45824</v>
      </c>
      <c r="C212" s="1" t="n">
        <v>45904</v>
      </c>
      <c r="D212" t="inlineStr">
        <is>
          <t>ÖREBRO LÄN</t>
        </is>
      </c>
      <c r="E212" t="inlineStr">
        <is>
          <t>HÄLLEFORS</t>
        </is>
      </c>
      <c r="F212" t="inlineStr">
        <is>
          <t>Bergvik skog väst AB</t>
        </is>
      </c>
      <c r="G212" t="n">
        <v>2.9</v>
      </c>
      <c r="H212" t="n">
        <v>0</v>
      </c>
      <c r="I212" t="n">
        <v>0</v>
      </c>
      <c r="J212" t="n">
        <v>0</v>
      </c>
      <c r="K212" t="n">
        <v>0</v>
      </c>
      <c r="L212" t="n">
        <v>0</v>
      </c>
      <c r="M212" t="n">
        <v>0</v>
      </c>
      <c r="N212" t="n">
        <v>0</v>
      </c>
      <c r="O212" t="n">
        <v>0</v>
      </c>
      <c r="P212" t="n">
        <v>0</v>
      </c>
      <c r="Q212" t="n">
        <v>0</v>
      </c>
      <c r="R212" s="2" t="inlineStr"/>
    </row>
    <row r="213" ht="15" customHeight="1">
      <c r="A213" t="inlineStr">
        <is>
          <t>A 4716-2022</t>
        </is>
      </c>
      <c r="B213" s="1" t="n">
        <v>44592</v>
      </c>
      <c r="C213" s="1" t="n">
        <v>45904</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9906-2024</t>
        </is>
      </c>
      <c r="B214" s="1" t="n">
        <v>45363.53322916666</v>
      </c>
      <c r="C214" s="1" t="n">
        <v>45904</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50754-2023</t>
        </is>
      </c>
      <c r="B215" s="1" t="n">
        <v>45217</v>
      </c>
      <c r="C215" s="1" t="n">
        <v>45904</v>
      </c>
      <c r="D215" t="inlineStr">
        <is>
          <t>ÖREBRO LÄN</t>
        </is>
      </c>
      <c r="E215" t="inlineStr">
        <is>
          <t>HÄLLEFORS</t>
        </is>
      </c>
      <c r="F215" t="inlineStr">
        <is>
          <t>Bergvik skog väst AB</t>
        </is>
      </c>
      <c r="G215" t="n">
        <v>5.8</v>
      </c>
      <c r="H215" t="n">
        <v>0</v>
      </c>
      <c r="I215" t="n">
        <v>0</v>
      </c>
      <c r="J215" t="n">
        <v>0</v>
      </c>
      <c r="K215" t="n">
        <v>0</v>
      </c>
      <c r="L215" t="n">
        <v>0</v>
      </c>
      <c r="M215" t="n">
        <v>0</v>
      </c>
      <c r="N215" t="n">
        <v>0</v>
      </c>
      <c r="O215" t="n">
        <v>0</v>
      </c>
      <c r="P215" t="n">
        <v>0</v>
      </c>
      <c r="Q215" t="n">
        <v>0</v>
      </c>
      <c r="R215" s="2" t="inlineStr"/>
    </row>
    <row r="216" ht="15" customHeight="1">
      <c r="A216" t="inlineStr">
        <is>
          <t>A 42918-2024</t>
        </is>
      </c>
      <c r="B216" s="1" t="n">
        <v>45567.27908564815</v>
      </c>
      <c r="C216" s="1" t="n">
        <v>45904</v>
      </c>
      <c r="D216" t="inlineStr">
        <is>
          <t>ÖREBRO LÄN</t>
        </is>
      </c>
      <c r="E216" t="inlineStr">
        <is>
          <t>HÄLLEFORS</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38429-2023</t>
        </is>
      </c>
      <c r="B217" s="1" t="n">
        <v>45162</v>
      </c>
      <c r="C217" s="1" t="n">
        <v>45904</v>
      </c>
      <c r="D217" t="inlineStr">
        <is>
          <t>ÖREBRO LÄN</t>
        </is>
      </c>
      <c r="E217" t="inlineStr">
        <is>
          <t>HÄLLEFORS</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45904</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30747-2025</t>
        </is>
      </c>
      <c r="B219" s="1" t="n">
        <v>45831.58487268518</v>
      </c>
      <c r="C219" s="1" t="n">
        <v>45904</v>
      </c>
      <c r="D219" t="inlineStr">
        <is>
          <t>ÖREBRO LÄN</t>
        </is>
      </c>
      <c r="E219" t="inlineStr">
        <is>
          <t>HÄLLEFORS</t>
        </is>
      </c>
      <c r="G219" t="n">
        <v>2.9</v>
      </c>
      <c r="H219" t="n">
        <v>0</v>
      </c>
      <c r="I219" t="n">
        <v>0</v>
      </c>
      <c r="J219" t="n">
        <v>0</v>
      </c>
      <c r="K219" t="n">
        <v>0</v>
      </c>
      <c r="L219" t="n">
        <v>0</v>
      </c>
      <c r="M219" t="n">
        <v>0</v>
      </c>
      <c r="N219" t="n">
        <v>0</v>
      </c>
      <c r="O219" t="n">
        <v>0</v>
      </c>
      <c r="P219" t="n">
        <v>0</v>
      </c>
      <c r="Q219" t="n">
        <v>0</v>
      </c>
      <c r="R219" s="2" t="inlineStr"/>
    </row>
    <row r="220" ht="15" customHeight="1">
      <c r="A220" t="inlineStr">
        <is>
          <t>A 50714-2022</t>
        </is>
      </c>
      <c r="B220" s="1" t="n">
        <v>44867.35501157407</v>
      </c>
      <c r="C220" s="1" t="n">
        <v>45904</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42863-2022</t>
        </is>
      </c>
      <c r="B221" s="1" t="n">
        <v>44832.73646990741</v>
      </c>
      <c r="C221" s="1" t="n">
        <v>45904</v>
      </c>
      <c r="D221" t="inlineStr">
        <is>
          <t>ÖREBRO LÄN</t>
        </is>
      </c>
      <c r="E221" t="inlineStr">
        <is>
          <t>HÄLLEFORS</t>
        </is>
      </c>
      <c r="G221" t="n">
        <v>7.2</v>
      </c>
      <c r="H221" t="n">
        <v>0</v>
      </c>
      <c r="I221" t="n">
        <v>0</v>
      </c>
      <c r="J221" t="n">
        <v>0</v>
      </c>
      <c r="K221" t="n">
        <v>0</v>
      </c>
      <c r="L221" t="n">
        <v>0</v>
      </c>
      <c r="M221" t="n">
        <v>0</v>
      </c>
      <c r="N221" t="n">
        <v>0</v>
      </c>
      <c r="O221" t="n">
        <v>0</v>
      </c>
      <c r="P221" t="n">
        <v>0</v>
      </c>
      <c r="Q221" t="n">
        <v>0</v>
      </c>
      <c r="R221" s="2" t="inlineStr"/>
    </row>
    <row r="222" ht="15" customHeight="1">
      <c r="A222" t="inlineStr">
        <is>
          <t>A 4353-2023</t>
        </is>
      </c>
      <c r="B222" s="1" t="n">
        <v>44954.27407407408</v>
      </c>
      <c r="C222" s="1" t="n">
        <v>45904</v>
      </c>
      <c r="D222" t="inlineStr">
        <is>
          <t>ÖREBRO LÄN</t>
        </is>
      </c>
      <c r="E222" t="inlineStr">
        <is>
          <t>HÄLLEFORS</t>
        </is>
      </c>
      <c r="G222" t="n">
        <v>0.5</v>
      </c>
      <c r="H222" t="n">
        <v>0</v>
      </c>
      <c r="I222" t="n">
        <v>0</v>
      </c>
      <c r="J222" t="n">
        <v>0</v>
      </c>
      <c r="K222" t="n">
        <v>0</v>
      </c>
      <c r="L222" t="n">
        <v>0</v>
      </c>
      <c r="M222" t="n">
        <v>0</v>
      </c>
      <c r="N222" t="n">
        <v>0</v>
      </c>
      <c r="O222" t="n">
        <v>0</v>
      </c>
      <c r="P222" t="n">
        <v>0</v>
      </c>
      <c r="Q222" t="n">
        <v>0</v>
      </c>
      <c r="R222" s="2" t="inlineStr"/>
    </row>
    <row r="223" ht="15" customHeight="1">
      <c r="A223" t="inlineStr">
        <is>
          <t>A 30282-2023</t>
        </is>
      </c>
      <c r="B223" s="1" t="n">
        <v>45110.90550925926</v>
      </c>
      <c r="C223" s="1" t="n">
        <v>45904</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18555-2025</t>
        </is>
      </c>
      <c r="B224" s="1" t="n">
        <v>45763</v>
      </c>
      <c r="C224" s="1" t="n">
        <v>45904</v>
      </c>
      <c r="D224" t="inlineStr">
        <is>
          <t>ÖREBRO LÄN</t>
        </is>
      </c>
      <c r="E224" t="inlineStr">
        <is>
          <t>HÄLLEFORS</t>
        </is>
      </c>
      <c r="F224" t="inlineStr">
        <is>
          <t>Bergvik skog väst AB</t>
        </is>
      </c>
      <c r="G224" t="n">
        <v>4.5</v>
      </c>
      <c r="H224" t="n">
        <v>0</v>
      </c>
      <c r="I224" t="n">
        <v>0</v>
      </c>
      <c r="J224" t="n">
        <v>0</v>
      </c>
      <c r="K224" t="n">
        <v>0</v>
      </c>
      <c r="L224" t="n">
        <v>0</v>
      </c>
      <c r="M224" t="n">
        <v>0</v>
      </c>
      <c r="N224" t="n">
        <v>0</v>
      </c>
      <c r="O224" t="n">
        <v>0</v>
      </c>
      <c r="P224" t="n">
        <v>0</v>
      </c>
      <c r="Q224" t="n">
        <v>0</v>
      </c>
      <c r="R224" s="2" t="inlineStr"/>
    </row>
    <row r="225" ht="15" customHeight="1">
      <c r="A225" t="inlineStr">
        <is>
          <t>A 16135-2025</t>
        </is>
      </c>
      <c r="B225" s="1" t="n">
        <v>45750.44355324074</v>
      </c>
      <c r="C225" s="1" t="n">
        <v>45904</v>
      </c>
      <c r="D225" t="inlineStr">
        <is>
          <t>ÖREBRO LÄN</t>
        </is>
      </c>
      <c r="E225" t="inlineStr">
        <is>
          <t>HÄLLEFORS</t>
        </is>
      </c>
      <c r="F225" t="inlineStr">
        <is>
          <t>Kyrkan</t>
        </is>
      </c>
      <c r="G225" t="n">
        <v>4.6</v>
      </c>
      <c r="H225" t="n">
        <v>0</v>
      </c>
      <c r="I225" t="n">
        <v>0</v>
      </c>
      <c r="J225" t="n">
        <v>0</v>
      </c>
      <c r="K225" t="n">
        <v>0</v>
      </c>
      <c r="L225" t="n">
        <v>0</v>
      </c>
      <c r="M225" t="n">
        <v>0</v>
      </c>
      <c r="N225" t="n">
        <v>0</v>
      </c>
      <c r="O225" t="n">
        <v>0</v>
      </c>
      <c r="P225" t="n">
        <v>0</v>
      </c>
      <c r="Q225" t="n">
        <v>0</v>
      </c>
      <c r="R225" s="2" t="inlineStr"/>
    </row>
    <row r="226" ht="15" customHeight="1">
      <c r="A226" t="inlineStr">
        <is>
          <t>A 52367-2022</t>
        </is>
      </c>
      <c r="B226" s="1" t="n">
        <v>44874</v>
      </c>
      <c r="C226" s="1" t="n">
        <v>45904</v>
      </c>
      <c r="D226" t="inlineStr">
        <is>
          <t>ÖREBRO LÄN</t>
        </is>
      </c>
      <c r="E226" t="inlineStr">
        <is>
          <t>HÄLLEFORS</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16999-2024</t>
        </is>
      </c>
      <c r="B227" s="1" t="n">
        <v>45412.35543981481</v>
      </c>
      <c r="C227" s="1" t="n">
        <v>45904</v>
      </c>
      <c r="D227" t="inlineStr">
        <is>
          <t>ÖREBRO LÄN</t>
        </is>
      </c>
      <c r="E227" t="inlineStr">
        <is>
          <t>HÄLLEFORS</t>
        </is>
      </c>
      <c r="G227" t="n">
        <v>3.5</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45904</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19033-2021</t>
        </is>
      </c>
      <c r="B229" s="1" t="n">
        <v>44308</v>
      </c>
      <c r="C229" s="1" t="n">
        <v>45904</v>
      </c>
      <c r="D229" t="inlineStr">
        <is>
          <t>ÖREBRO LÄN</t>
        </is>
      </c>
      <c r="E229" t="inlineStr">
        <is>
          <t>HÄLLEFORS</t>
        </is>
      </c>
      <c r="G229" t="n">
        <v>7.8</v>
      </c>
      <c r="H229" t="n">
        <v>0</v>
      </c>
      <c r="I229" t="n">
        <v>0</v>
      </c>
      <c r="J229" t="n">
        <v>0</v>
      </c>
      <c r="K229" t="n">
        <v>0</v>
      </c>
      <c r="L229" t="n">
        <v>0</v>
      </c>
      <c r="M229" t="n">
        <v>0</v>
      </c>
      <c r="N229" t="n">
        <v>0</v>
      </c>
      <c r="O229" t="n">
        <v>0</v>
      </c>
      <c r="P229" t="n">
        <v>0</v>
      </c>
      <c r="Q229" t="n">
        <v>0</v>
      </c>
      <c r="R229" s="2" t="inlineStr"/>
    </row>
    <row r="230" ht="15" customHeight="1">
      <c r="A230" t="inlineStr">
        <is>
          <t>A 39327-2022</t>
        </is>
      </c>
      <c r="B230" s="1" t="n">
        <v>44817</v>
      </c>
      <c r="C230" s="1" t="n">
        <v>45904</v>
      </c>
      <c r="D230" t="inlineStr">
        <is>
          <t>ÖREBRO LÄN</t>
        </is>
      </c>
      <c r="E230" t="inlineStr">
        <is>
          <t>HÄLLEFORS</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32217-2025</t>
        </is>
      </c>
      <c r="B231" s="1" t="n">
        <v>45835.58846064815</v>
      </c>
      <c r="C231" s="1" t="n">
        <v>45904</v>
      </c>
      <c r="D231" t="inlineStr">
        <is>
          <t>ÖREBRO LÄN</t>
        </is>
      </c>
      <c r="E231" t="inlineStr">
        <is>
          <t>HÄLLEFORS</t>
        </is>
      </c>
      <c r="F231" t="inlineStr">
        <is>
          <t>Bergvik skog väst AB</t>
        </is>
      </c>
      <c r="G231" t="n">
        <v>4.4</v>
      </c>
      <c r="H231" t="n">
        <v>0</v>
      </c>
      <c r="I231" t="n">
        <v>0</v>
      </c>
      <c r="J231" t="n">
        <v>0</v>
      </c>
      <c r="K231" t="n">
        <v>0</v>
      </c>
      <c r="L231" t="n">
        <v>0</v>
      </c>
      <c r="M231" t="n">
        <v>0</v>
      </c>
      <c r="N231" t="n">
        <v>0</v>
      </c>
      <c r="O231" t="n">
        <v>0</v>
      </c>
      <c r="P231" t="n">
        <v>0</v>
      </c>
      <c r="Q231" t="n">
        <v>0</v>
      </c>
      <c r="R231" s="2" t="inlineStr"/>
    </row>
    <row r="232" ht="15" customHeight="1">
      <c r="A232" t="inlineStr">
        <is>
          <t>A 36276-2024</t>
        </is>
      </c>
      <c r="B232" s="1" t="n">
        <v>45534.58140046296</v>
      </c>
      <c r="C232" s="1" t="n">
        <v>45904</v>
      </c>
      <c r="D232" t="inlineStr">
        <is>
          <t>ÖREBRO LÄN</t>
        </is>
      </c>
      <c r="E232" t="inlineStr">
        <is>
          <t>HÄLLEFORS</t>
        </is>
      </c>
      <c r="F232" t="inlineStr">
        <is>
          <t>Bergvik skog väst AB</t>
        </is>
      </c>
      <c r="G232" t="n">
        <v>2.5</v>
      </c>
      <c r="H232" t="n">
        <v>0</v>
      </c>
      <c r="I232" t="n">
        <v>0</v>
      </c>
      <c r="J232" t="n">
        <v>0</v>
      </c>
      <c r="K232" t="n">
        <v>0</v>
      </c>
      <c r="L232" t="n">
        <v>0</v>
      </c>
      <c r="M232" t="n">
        <v>0</v>
      </c>
      <c r="N232" t="n">
        <v>0</v>
      </c>
      <c r="O232" t="n">
        <v>0</v>
      </c>
      <c r="P232" t="n">
        <v>0</v>
      </c>
      <c r="Q232" t="n">
        <v>0</v>
      </c>
      <c r="R232" s="2" t="inlineStr"/>
    </row>
    <row r="233" ht="15" customHeight="1">
      <c r="A233" t="inlineStr">
        <is>
          <t>A 9518-2023</t>
        </is>
      </c>
      <c r="B233" s="1" t="n">
        <v>44981</v>
      </c>
      <c r="C233" s="1" t="n">
        <v>45904</v>
      </c>
      <c r="D233" t="inlineStr">
        <is>
          <t>ÖREBRO LÄN</t>
        </is>
      </c>
      <c r="E233" t="inlineStr">
        <is>
          <t>HÄLLEFORS</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45904</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18889-2024</t>
        </is>
      </c>
      <c r="B235" s="1" t="n">
        <v>45427.26467592592</v>
      </c>
      <c r="C235" s="1" t="n">
        <v>45904</v>
      </c>
      <c r="D235" t="inlineStr">
        <is>
          <t>ÖREBRO LÄN</t>
        </is>
      </c>
      <c r="E235" t="inlineStr">
        <is>
          <t>HÄLLEFORS</t>
        </is>
      </c>
      <c r="G235" t="n">
        <v>8.5</v>
      </c>
      <c r="H235" t="n">
        <v>0</v>
      </c>
      <c r="I235" t="n">
        <v>0</v>
      </c>
      <c r="J235" t="n">
        <v>0</v>
      </c>
      <c r="K235" t="n">
        <v>0</v>
      </c>
      <c r="L235" t="n">
        <v>0</v>
      </c>
      <c r="M235" t="n">
        <v>0</v>
      </c>
      <c r="N235" t="n">
        <v>0</v>
      </c>
      <c r="O235" t="n">
        <v>0</v>
      </c>
      <c r="P235" t="n">
        <v>0</v>
      </c>
      <c r="Q235" t="n">
        <v>0</v>
      </c>
      <c r="R235" s="2" t="inlineStr"/>
    </row>
    <row r="236" ht="15" customHeight="1">
      <c r="A236" t="inlineStr">
        <is>
          <t>A 51488-2021</t>
        </is>
      </c>
      <c r="B236" s="1" t="n">
        <v>44460</v>
      </c>
      <c r="C236" s="1" t="n">
        <v>45904</v>
      </c>
      <c r="D236" t="inlineStr">
        <is>
          <t>ÖREBRO LÄN</t>
        </is>
      </c>
      <c r="E236" t="inlineStr">
        <is>
          <t>HÄLLEFORS</t>
        </is>
      </c>
      <c r="G236" t="n">
        <v>2.8</v>
      </c>
      <c r="H236" t="n">
        <v>0</v>
      </c>
      <c r="I236" t="n">
        <v>0</v>
      </c>
      <c r="J236" t="n">
        <v>0</v>
      </c>
      <c r="K236" t="n">
        <v>0</v>
      </c>
      <c r="L236" t="n">
        <v>0</v>
      </c>
      <c r="M236" t="n">
        <v>0</v>
      </c>
      <c r="N236" t="n">
        <v>0</v>
      </c>
      <c r="O236" t="n">
        <v>0</v>
      </c>
      <c r="P236" t="n">
        <v>0</v>
      </c>
      <c r="Q236" t="n">
        <v>0</v>
      </c>
      <c r="R236" s="2" t="inlineStr"/>
    </row>
    <row r="237" ht="15" customHeight="1">
      <c r="A237" t="inlineStr">
        <is>
          <t>A 28788-2022</t>
        </is>
      </c>
      <c r="B237" s="1" t="n">
        <v>44749.39806712963</v>
      </c>
      <c r="C237" s="1" t="n">
        <v>45904</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32808-2025</t>
        </is>
      </c>
      <c r="B238" s="1" t="n">
        <v>45839.50719907408</v>
      </c>
      <c r="C238" s="1" t="n">
        <v>45904</v>
      </c>
      <c r="D238" t="inlineStr">
        <is>
          <t>ÖREBRO LÄN</t>
        </is>
      </c>
      <c r="E238" t="inlineStr">
        <is>
          <t>HÄLLEFORS</t>
        </is>
      </c>
      <c r="G238" t="n">
        <v>4.3</v>
      </c>
      <c r="H238" t="n">
        <v>0</v>
      </c>
      <c r="I238" t="n">
        <v>0</v>
      </c>
      <c r="J238" t="n">
        <v>0</v>
      </c>
      <c r="K238" t="n">
        <v>0</v>
      </c>
      <c r="L238" t="n">
        <v>0</v>
      </c>
      <c r="M238" t="n">
        <v>0</v>
      </c>
      <c r="N238" t="n">
        <v>0</v>
      </c>
      <c r="O238" t="n">
        <v>0</v>
      </c>
      <c r="P238" t="n">
        <v>0</v>
      </c>
      <c r="Q238" t="n">
        <v>0</v>
      </c>
      <c r="R238" s="2" t="inlineStr"/>
    </row>
    <row r="239" ht="15" customHeight="1">
      <c r="A239" t="inlineStr">
        <is>
          <t>A 32813-2025</t>
        </is>
      </c>
      <c r="B239" s="1" t="n">
        <v>45839.51949074074</v>
      </c>
      <c r="C239" s="1" t="n">
        <v>45904</v>
      </c>
      <c r="D239" t="inlineStr">
        <is>
          <t>ÖREBRO LÄN</t>
        </is>
      </c>
      <c r="E239" t="inlineStr">
        <is>
          <t>HÄLLEFORS</t>
        </is>
      </c>
      <c r="G239" t="n">
        <v>3.5</v>
      </c>
      <c r="H239" t="n">
        <v>0</v>
      </c>
      <c r="I239" t="n">
        <v>0</v>
      </c>
      <c r="J239" t="n">
        <v>0</v>
      </c>
      <c r="K239" t="n">
        <v>0</v>
      </c>
      <c r="L239" t="n">
        <v>0</v>
      </c>
      <c r="M239" t="n">
        <v>0</v>
      </c>
      <c r="N239" t="n">
        <v>0</v>
      </c>
      <c r="O239" t="n">
        <v>0</v>
      </c>
      <c r="P239" t="n">
        <v>0</v>
      </c>
      <c r="Q239" t="n">
        <v>0</v>
      </c>
      <c r="R239" s="2" t="inlineStr"/>
    </row>
    <row r="240" ht="15" customHeight="1">
      <c r="A240" t="inlineStr">
        <is>
          <t>A 55477-2023</t>
        </is>
      </c>
      <c r="B240" s="1" t="n">
        <v>45238</v>
      </c>
      <c r="C240" s="1" t="n">
        <v>45904</v>
      </c>
      <c r="D240" t="inlineStr">
        <is>
          <t>ÖREBRO LÄN</t>
        </is>
      </c>
      <c r="E240" t="inlineStr">
        <is>
          <t>HÄLLEFORS</t>
        </is>
      </c>
      <c r="F240" t="inlineStr">
        <is>
          <t>Bergvik skog väst AB</t>
        </is>
      </c>
      <c r="G240" t="n">
        <v>6.6</v>
      </c>
      <c r="H240" t="n">
        <v>0</v>
      </c>
      <c r="I240" t="n">
        <v>0</v>
      </c>
      <c r="J240" t="n">
        <v>0</v>
      </c>
      <c r="K240" t="n">
        <v>0</v>
      </c>
      <c r="L240" t="n">
        <v>0</v>
      </c>
      <c r="M240" t="n">
        <v>0</v>
      </c>
      <c r="N240" t="n">
        <v>0</v>
      </c>
      <c r="O240" t="n">
        <v>0</v>
      </c>
      <c r="P240" t="n">
        <v>0</v>
      </c>
      <c r="Q240" t="n">
        <v>0</v>
      </c>
      <c r="R240" s="2" t="inlineStr"/>
    </row>
    <row r="241" ht="15" customHeight="1">
      <c r="A241" t="inlineStr">
        <is>
          <t>A 9537-2025</t>
        </is>
      </c>
      <c r="B241" s="1" t="n">
        <v>45715.57903935185</v>
      </c>
      <c r="C241" s="1" t="n">
        <v>45904</v>
      </c>
      <c r="D241" t="inlineStr">
        <is>
          <t>ÖREBRO LÄN</t>
        </is>
      </c>
      <c r="E241" t="inlineStr">
        <is>
          <t>HÄLLEFORS</t>
        </is>
      </c>
      <c r="G241" t="n">
        <v>2.7</v>
      </c>
      <c r="H241" t="n">
        <v>0</v>
      </c>
      <c r="I241" t="n">
        <v>0</v>
      </c>
      <c r="J241" t="n">
        <v>0</v>
      </c>
      <c r="K241" t="n">
        <v>0</v>
      </c>
      <c r="L241" t="n">
        <v>0</v>
      </c>
      <c r="M241" t="n">
        <v>0</v>
      </c>
      <c r="N241" t="n">
        <v>0</v>
      </c>
      <c r="O241" t="n">
        <v>0</v>
      </c>
      <c r="P241" t="n">
        <v>0</v>
      </c>
      <c r="Q241" t="n">
        <v>0</v>
      </c>
      <c r="R241" s="2" t="inlineStr"/>
    </row>
    <row r="242" ht="15" customHeight="1">
      <c r="A242" t="inlineStr">
        <is>
          <t>A 20128-2024</t>
        </is>
      </c>
      <c r="B242" s="1" t="n">
        <v>45434.5571412037</v>
      </c>
      <c r="C242" s="1" t="n">
        <v>45904</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15771-2022</t>
        </is>
      </c>
      <c r="B243" s="1" t="n">
        <v>44663.63033564815</v>
      </c>
      <c r="C243" s="1" t="n">
        <v>45904</v>
      </c>
      <c r="D243" t="inlineStr">
        <is>
          <t>ÖREBRO LÄN</t>
        </is>
      </c>
      <c r="E243" t="inlineStr">
        <is>
          <t>HÄLLEFORS</t>
        </is>
      </c>
      <c r="F243" t="inlineStr">
        <is>
          <t>Bergvik skog väst AB</t>
        </is>
      </c>
      <c r="G243" t="n">
        <v>4.4</v>
      </c>
      <c r="H243" t="n">
        <v>0</v>
      </c>
      <c r="I243" t="n">
        <v>0</v>
      </c>
      <c r="J243" t="n">
        <v>0</v>
      </c>
      <c r="K243" t="n">
        <v>0</v>
      </c>
      <c r="L243" t="n">
        <v>0</v>
      </c>
      <c r="M243" t="n">
        <v>0</v>
      </c>
      <c r="N243" t="n">
        <v>0</v>
      </c>
      <c r="O243" t="n">
        <v>0</v>
      </c>
      <c r="P243" t="n">
        <v>0</v>
      </c>
      <c r="Q243" t="n">
        <v>0</v>
      </c>
      <c r="R243" s="2" t="inlineStr"/>
    </row>
    <row r="244" ht="15" customHeight="1">
      <c r="A244" t="inlineStr">
        <is>
          <t>A 58768-2024</t>
        </is>
      </c>
      <c r="B244" s="1" t="n">
        <v>45635</v>
      </c>
      <c r="C244" s="1" t="n">
        <v>45904</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38148-2025</t>
        </is>
      </c>
      <c r="B245" s="1" t="n">
        <v>45882.58855324074</v>
      </c>
      <c r="C245" s="1" t="n">
        <v>45904</v>
      </c>
      <c r="D245" t="inlineStr">
        <is>
          <t>ÖREBRO LÄN</t>
        </is>
      </c>
      <c r="E245" t="inlineStr">
        <is>
          <t>HÄLLEFORS</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51159-2023</t>
        </is>
      </c>
      <c r="B246" s="1" t="n">
        <v>45219.37791666666</v>
      </c>
      <c r="C246" s="1" t="n">
        <v>45904</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34033-2025</t>
        </is>
      </c>
      <c r="B247" s="1" t="n">
        <v>45845.36700231482</v>
      </c>
      <c r="C247" s="1" t="n">
        <v>45904</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34037-2025</t>
        </is>
      </c>
      <c r="B248" s="1" t="n">
        <v>45845.37002314815</v>
      </c>
      <c r="C248" s="1" t="n">
        <v>45904</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34018-2025</t>
        </is>
      </c>
      <c r="B249" s="1" t="n">
        <v>45845.34341435185</v>
      </c>
      <c r="C249" s="1" t="n">
        <v>45904</v>
      </c>
      <c r="D249" t="inlineStr">
        <is>
          <t>ÖREBRO LÄN</t>
        </is>
      </c>
      <c r="E249" t="inlineStr">
        <is>
          <t>HÄLLEFORS</t>
        </is>
      </c>
      <c r="G249" t="n">
        <v>6.4</v>
      </c>
      <c r="H249" t="n">
        <v>0</v>
      </c>
      <c r="I249" t="n">
        <v>0</v>
      </c>
      <c r="J249" t="n">
        <v>0</v>
      </c>
      <c r="K249" t="n">
        <v>0</v>
      </c>
      <c r="L249" t="n">
        <v>0</v>
      </c>
      <c r="M249" t="n">
        <v>0</v>
      </c>
      <c r="N249" t="n">
        <v>0</v>
      </c>
      <c r="O249" t="n">
        <v>0</v>
      </c>
      <c r="P249" t="n">
        <v>0</v>
      </c>
      <c r="Q249" t="n">
        <v>0</v>
      </c>
      <c r="R249" s="2" t="inlineStr"/>
    </row>
    <row r="250" ht="15" customHeight="1">
      <c r="A250" t="inlineStr">
        <is>
          <t>A 34020-2025</t>
        </is>
      </c>
      <c r="B250" s="1" t="n">
        <v>45845.34695601852</v>
      </c>
      <c r="C250" s="1" t="n">
        <v>45904</v>
      </c>
      <c r="D250" t="inlineStr">
        <is>
          <t>ÖREBRO LÄN</t>
        </is>
      </c>
      <c r="E250" t="inlineStr">
        <is>
          <t>HÄLLEFORS</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34042-2025</t>
        </is>
      </c>
      <c r="B251" s="1" t="n">
        <v>45845.37733796296</v>
      </c>
      <c r="C251" s="1" t="n">
        <v>45904</v>
      </c>
      <c r="D251" t="inlineStr">
        <is>
          <t>ÖREBRO LÄN</t>
        </is>
      </c>
      <c r="E251" t="inlineStr">
        <is>
          <t>HÄLLEFORS</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34045-2025</t>
        </is>
      </c>
      <c r="B252" s="1" t="n">
        <v>45845.38480324074</v>
      </c>
      <c r="C252" s="1" t="n">
        <v>45904</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34052-2025</t>
        </is>
      </c>
      <c r="B253" s="1" t="n">
        <v>45845.40813657407</v>
      </c>
      <c r="C253" s="1" t="n">
        <v>45904</v>
      </c>
      <c r="D253" t="inlineStr">
        <is>
          <t>ÖREBRO LÄN</t>
        </is>
      </c>
      <c r="E253" t="inlineStr">
        <is>
          <t>HÄLLEFORS</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34059-2025</t>
        </is>
      </c>
      <c r="B254" s="1" t="n">
        <v>45845.41988425926</v>
      </c>
      <c r="C254" s="1" t="n">
        <v>45904</v>
      </c>
      <c r="D254" t="inlineStr">
        <is>
          <t>ÖREBRO LÄN</t>
        </is>
      </c>
      <c r="E254" t="inlineStr">
        <is>
          <t>HÄLLEFORS</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39513-2024</t>
        </is>
      </c>
      <c r="B255" s="1" t="n">
        <v>45551</v>
      </c>
      <c r="C255" s="1" t="n">
        <v>45904</v>
      </c>
      <c r="D255" t="inlineStr">
        <is>
          <t>ÖREBRO LÄN</t>
        </is>
      </c>
      <c r="E255" t="inlineStr">
        <is>
          <t>HÄLLEFORS</t>
        </is>
      </c>
      <c r="G255" t="n">
        <v>0.7</v>
      </c>
      <c r="H255" t="n">
        <v>0</v>
      </c>
      <c r="I255" t="n">
        <v>0</v>
      </c>
      <c r="J255" t="n">
        <v>0</v>
      </c>
      <c r="K255" t="n">
        <v>0</v>
      </c>
      <c r="L255" t="n">
        <v>0</v>
      </c>
      <c r="M255" t="n">
        <v>0</v>
      </c>
      <c r="N255" t="n">
        <v>0</v>
      </c>
      <c r="O255" t="n">
        <v>0</v>
      </c>
      <c r="P255" t="n">
        <v>0</v>
      </c>
      <c r="Q255" t="n">
        <v>0</v>
      </c>
      <c r="R255" s="2" t="inlineStr"/>
    </row>
    <row r="256" ht="15" customHeight="1">
      <c r="A256" t="inlineStr">
        <is>
          <t>A 34023-2025</t>
        </is>
      </c>
      <c r="B256" s="1" t="n">
        <v>45845.35355324074</v>
      </c>
      <c r="C256" s="1" t="n">
        <v>45904</v>
      </c>
      <c r="D256" t="inlineStr">
        <is>
          <t>ÖREBRO LÄN</t>
        </is>
      </c>
      <c r="E256" t="inlineStr">
        <is>
          <t>HÄLLEFORS</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34057-2025</t>
        </is>
      </c>
      <c r="B257" s="1" t="n">
        <v>45845.41581018519</v>
      </c>
      <c r="C257" s="1" t="n">
        <v>45904</v>
      </c>
      <c r="D257" t="inlineStr">
        <is>
          <t>ÖREBRO LÄN</t>
        </is>
      </c>
      <c r="E257" t="inlineStr">
        <is>
          <t>HÄLLEFORS</t>
        </is>
      </c>
      <c r="G257" t="n">
        <v>2.1</v>
      </c>
      <c r="H257" t="n">
        <v>0</v>
      </c>
      <c r="I257" t="n">
        <v>0</v>
      </c>
      <c r="J257" t="n">
        <v>0</v>
      </c>
      <c r="K257" t="n">
        <v>0</v>
      </c>
      <c r="L257" t="n">
        <v>0</v>
      </c>
      <c r="M257" t="n">
        <v>0</v>
      </c>
      <c r="N257" t="n">
        <v>0</v>
      </c>
      <c r="O257" t="n">
        <v>0</v>
      </c>
      <c r="P257" t="n">
        <v>0</v>
      </c>
      <c r="Q257" t="n">
        <v>0</v>
      </c>
      <c r="R257" s="2" t="inlineStr"/>
    </row>
    <row r="258" ht="15" customHeight="1">
      <c r="A258" t="inlineStr">
        <is>
          <t>A 34054-2025</t>
        </is>
      </c>
      <c r="B258" s="1" t="n">
        <v>45845.40930555556</v>
      </c>
      <c r="C258" s="1" t="n">
        <v>45904</v>
      </c>
      <c r="D258" t="inlineStr">
        <is>
          <t>ÖREBRO LÄN</t>
        </is>
      </c>
      <c r="E258" t="inlineStr">
        <is>
          <t>HÄLLEFORS</t>
        </is>
      </c>
      <c r="F258" t="inlineStr">
        <is>
          <t>Bergvik skog väst AB</t>
        </is>
      </c>
      <c r="G258" t="n">
        <v>12.8</v>
      </c>
      <c r="H258" t="n">
        <v>0</v>
      </c>
      <c r="I258" t="n">
        <v>0</v>
      </c>
      <c r="J258" t="n">
        <v>0</v>
      </c>
      <c r="K258" t="n">
        <v>0</v>
      </c>
      <c r="L258" t="n">
        <v>0</v>
      </c>
      <c r="M258" t="n">
        <v>0</v>
      </c>
      <c r="N258" t="n">
        <v>0</v>
      </c>
      <c r="O258" t="n">
        <v>0</v>
      </c>
      <c r="P258" t="n">
        <v>0</v>
      </c>
      <c r="Q258" t="n">
        <v>0</v>
      </c>
      <c r="R258" s="2" t="inlineStr"/>
    </row>
    <row r="259" ht="15" customHeight="1">
      <c r="A259" t="inlineStr">
        <is>
          <t>A 34029-2025</t>
        </is>
      </c>
      <c r="B259" s="1" t="n">
        <v>45845.36309027778</v>
      </c>
      <c r="C259" s="1" t="n">
        <v>45904</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1018-2025</t>
        </is>
      </c>
      <c r="B260" s="1" t="n">
        <v>45666.49185185185</v>
      </c>
      <c r="C260" s="1" t="n">
        <v>45904</v>
      </c>
      <c r="D260" t="inlineStr">
        <is>
          <t>ÖREBRO LÄN</t>
        </is>
      </c>
      <c r="E260" t="inlineStr">
        <is>
          <t>HÄLLEFORS</t>
        </is>
      </c>
      <c r="G260" t="n">
        <v>0.8</v>
      </c>
      <c r="H260" t="n">
        <v>0</v>
      </c>
      <c r="I260" t="n">
        <v>0</v>
      </c>
      <c r="J260" t="n">
        <v>0</v>
      </c>
      <c r="K260" t="n">
        <v>0</v>
      </c>
      <c r="L260" t="n">
        <v>0</v>
      </c>
      <c r="M260" t="n">
        <v>0</v>
      </c>
      <c r="N260" t="n">
        <v>0</v>
      </c>
      <c r="O260" t="n">
        <v>0</v>
      </c>
      <c r="P260" t="n">
        <v>0</v>
      </c>
      <c r="Q260" t="n">
        <v>0</v>
      </c>
      <c r="R260" s="2" t="inlineStr"/>
    </row>
    <row r="261" ht="15" customHeight="1">
      <c r="A261" t="inlineStr">
        <is>
          <t>A 43966-2024</t>
        </is>
      </c>
      <c r="B261" s="1" t="n">
        <v>45572.48516203704</v>
      </c>
      <c r="C261" s="1" t="n">
        <v>45904</v>
      </c>
      <c r="D261" t="inlineStr">
        <is>
          <t>ÖREBRO LÄN</t>
        </is>
      </c>
      <c r="E261" t="inlineStr">
        <is>
          <t>HÄLLEFORS</t>
        </is>
      </c>
      <c r="F261" t="inlineStr">
        <is>
          <t>Bergvik skog väst AB</t>
        </is>
      </c>
      <c r="G261" t="n">
        <v>1.2</v>
      </c>
      <c r="H261" t="n">
        <v>0</v>
      </c>
      <c r="I261" t="n">
        <v>0</v>
      </c>
      <c r="J261" t="n">
        <v>0</v>
      </c>
      <c r="K261" t="n">
        <v>0</v>
      </c>
      <c r="L261" t="n">
        <v>0</v>
      </c>
      <c r="M261" t="n">
        <v>0</v>
      </c>
      <c r="N261" t="n">
        <v>0</v>
      </c>
      <c r="O261" t="n">
        <v>0</v>
      </c>
      <c r="P261" t="n">
        <v>0</v>
      </c>
      <c r="Q261" t="n">
        <v>0</v>
      </c>
      <c r="R261" s="2" t="inlineStr"/>
    </row>
    <row r="262" ht="15" customHeight="1">
      <c r="A262" t="inlineStr">
        <is>
          <t>A 34022-2025</t>
        </is>
      </c>
      <c r="B262" s="1" t="n">
        <v>45845.34983796296</v>
      </c>
      <c r="C262" s="1" t="n">
        <v>45904</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34025-2025</t>
        </is>
      </c>
      <c r="B263" s="1" t="n">
        <v>45845.35546296297</v>
      </c>
      <c r="C263" s="1" t="n">
        <v>45904</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34093-2025</t>
        </is>
      </c>
      <c r="B264" s="1" t="n">
        <v>45845.47775462963</v>
      </c>
      <c r="C264" s="1" t="n">
        <v>45904</v>
      </c>
      <c r="D264" t="inlineStr">
        <is>
          <t>ÖREBRO LÄN</t>
        </is>
      </c>
      <c r="E264" t="inlineStr">
        <is>
          <t>HÄLLEFORS</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38532-2025</t>
        </is>
      </c>
      <c r="B265" s="1" t="n">
        <v>45884</v>
      </c>
      <c r="C265" s="1" t="n">
        <v>45904</v>
      </c>
      <c r="D265" t="inlineStr">
        <is>
          <t>ÖREBRO LÄN</t>
        </is>
      </c>
      <c r="E265" t="inlineStr">
        <is>
          <t>HÄLLEFORS</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34062-2025</t>
        </is>
      </c>
      <c r="B266" s="1" t="n">
        <v>45845.4264699074</v>
      </c>
      <c r="C266" s="1" t="n">
        <v>45904</v>
      </c>
      <c r="D266" t="inlineStr">
        <is>
          <t>ÖREBRO LÄN</t>
        </is>
      </c>
      <c r="E266" t="inlineStr">
        <is>
          <t>HÄLLEFORS</t>
        </is>
      </c>
      <c r="G266" t="n">
        <v>1.3</v>
      </c>
      <c r="H266" t="n">
        <v>0</v>
      </c>
      <c r="I266" t="n">
        <v>0</v>
      </c>
      <c r="J266" t="n">
        <v>0</v>
      </c>
      <c r="K266" t="n">
        <v>0</v>
      </c>
      <c r="L266" t="n">
        <v>0</v>
      </c>
      <c r="M266" t="n">
        <v>0</v>
      </c>
      <c r="N266" t="n">
        <v>0</v>
      </c>
      <c r="O266" t="n">
        <v>0</v>
      </c>
      <c r="P266" t="n">
        <v>0</v>
      </c>
      <c r="Q266" t="n">
        <v>0</v>
      </c>
      <c r="R266" s="2" t="inlineStr"/>
    </row>
    <row r="267" ht="15" customHeight="1">
      <c r="A267" t="inlineStr">
        <is>
          <t>A 39183-2025</t>
        </is>
      </c>
      <c r="B267" s="1" t="n">
        <v>45888.6637962963</v>
      </c>
      <c r="C267" s="1" t="n">
        <v>45904</v>
      </c>
      <c r="D267" t="inlineStr">
        <is>
          <t>ÖREBRO LÄN</t>
        </is>
      </c>
      <c r="E267" t="inlineStr">
        <is>
          <t>HÄLLEFORS</t>
        </is>
      </c>
      <c r="F267" t="inlineStr">
        <is>
          <t>Bergvik skog väst AB</t>
        </is>
      </c>
      <c r="G267" t="n">
        <v>6</v>
      </c>
      <c r="H267" t="n">
        <v>0</v>
      </c>
      <c r="I267" t="n">
        <v>0</v>
      </c>
      <c r="J267" t="n">
        <v>0</v>
      </c>
      <c r="K267" t="n">
        <v>0</v>
      </c>
      <c r="L267" t="n">
        <v>0</v>
      </c>
      <c r="M267" t="n">
        <v>0</v>
      </c>
      <c r="N267" t="n">
        <v>0</v>
      </c>
      <c r="O267" t="n">
        <v>0</v>
      </c>
      <c r="P267" t="n">
        <v>0</v>
      </c>
      <c r="Q267" t="n">
        <v>0</v>
      </c>
      <c r="R267" s="2" t="inlineStr"/>
    </row>
    <row r="268" ht="15" customHeight="1">
      <c r="A268" t="inlineStr">
        <is>
          <t>A 62265-2022</t>
        </is>
      </c>
      <c r="B268" s="1" t="n">
        <v>44923</v>
      </c>
      <c r="C268" s="1" t="n">
        <v>45904</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4583-2025</t>
        </is>
      </c>
      <c r="B269" s="1" t="n">
        <v>45687.51539351852</v>
      </c>
      <c r="C269" s="1" t="n">
        <v>45904</v>
      </c>
      <c r="D269" t="inlineStr">
        <is>
          <t>ÖREBRO LÄN</t>
        </is>
      </c>
      <c r="E269" t="inlineStr">
        <is>
          <t>HÄLLEFORS</t>
        </is>
      </c>
      <c r="G269" t="n">
        <v>3.3</v>
      </c>
      <c r="H269" t="n">
        <v>0</v>
      </c>
      <c r="I269" t="n">
        <v>0</v>
      </c>
      <c r="J269" t="n">
        <v>0</v>
      </c>
      <c r="K269" t="n">
        <v>0</v>
      </c>
      <c r="L269" t="n">
        <v>0</v>
      </c>
      <c r="M269" t="n">
        <v>0</v>
      </c>
      <c r="N269" t="n">
        <v>0</v>
      </c>
      <c r="O269" t="n">
        <v>0</v>
      </c>
      <c r="P269" t="n">
        <v>0</v>
      </c>
      <c r="Q269" t="n">
        <v>0</v>
      </c>
      <c r="R269" s="2" t="inlineStr"/>
    </row>
    <row r="270" ht="15" customHeight="1">
      <c r="A270" t="inlineStr">
        <is>
          <t>A 39926-2025</t>
        </is>
      </c>
      <c r="B270" s="1" t="n">
        <v>45891.68451388889</v>
      </c>
      <c r="C270" s="1" t="n">
        <v>45904</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17072-2025</t>
        </is>
      </c>
      <c r="B271" s="1" t="n">
        <v>45755.61793981482</v>
      </c>
      <c r="C271" s="1" t="n">
        <v>45904</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17075-2025</t>
        </is>
      </c>
      <c r="B272" s="1" t="n">
        <v>45755.62278935185</v>
      </c>
      <c r="C272" s="1" t="n">
        <v>45904</v>
      </c>
      <c r="D272" t="inlineStr">
        <is>
          <t>ÖREBRO LÄN</t>
        </is>
      </c>
      <c r="E272" t="inlineStr">
        <is>
          <t>HÄLLEFORS</t>
        </is>
      </c>
      <c r="F272" t="inlineStr">
        <is>
          <t>Bergvik skog väst AB</t>
        </is>
      </c>
      <c r="G272" t="n">
        <v>3.2</v>
      </c>
      <c r="H272" t="n">
        <v>0</v>
      </c>
      <c r="I272" t="n">
        <v>0</v>
      </c>
      <c r="J272" t="n">
        <v>0</v>
      </c>
      <c r="K272" t="n">
        <v>0</v>
      </c>
      <c r="L272" t="n">
        <v>0</v>
      </c>
      <c r="M272" t="n">
        <v>0</v>
      </c>
      <c r="N272" t="n">
        <v>0</v>
      </c>
      <c r="O272" t="n">
        <v>0</v>
      </c>
      <c r="P272" t="n">
        <v>0</v>
      </c>
      <c r="Q272" t="n">
        <v>0</v>
      </c>
      <c r="R272" s="2" t="inlineStr"/>
    </row>
    <row r="273" ht="15" customHeight="1">
      <c r="A273" t="inlineStr">
        <is>
          <t>A 12082-2025</t>
        </is>
      </c>
      <c r="B273" s="1" t="n">
        <v>45728</v>
      </c>
      <c r="C273" s="1" t="n">
        <v>45904</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40485-2025</t>
        </is>
      </c>
      <c r="B274" s="1" t="n">
        <v>45895.85320601852</v>
      </c>
      <c r="C274" s="1" t="n">
        <v>45904</v>
      </c>
      <c r="D274" t="inlineStr">
        <is>
          <t>ÖREBRO LÄN</t>
        </is>
      </c>
      <c r="E274" t="inlineStr">
        <is>
          <t>HÄLLEFORS</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5033-2025</t>
        </is>
      </c>
      <c r="B275" s="1" t="n">
        <v>45691.425625</v>
      </c>
      <c r="C275" s="1" t="n">
        <v>45904</v>
      </c>
      <c r="D275" t="inlineStr">
        <is>
          <t>ÖREBRO LÄN</t>
        </is>
      </c>
      <c r="E275" t="inlineStr">
        <is>
          <t>HÄLLEFORS</t>
        </is>
      </c>
      <c r="F275" t="inlineStr">
        <is>
          <t>Bergvik skog väst AB</t>
        </is>
      </c>
      <c r="G275" t="n">
        <v>5.6</v>
      </c>
      <c r="H275" t="n">
        <v>0</v>
      </c>
      <c r="I275" t="n">
        <v>0</v>
      </c>
      <c r="J275" t="n">
        <v>0</v>
      </c>
      <c r="K275" t="n">
        <v>0</v>
      </c>
      <c r="L275" t="n">
        <v>0</v>
      </c>
      <c r="M275" t="n">
        <v>0</v>
      </c>
      <c r="N275" t="n">
        <v>0</v>
      </c>
      <c r="O275" t="n">
        <v>0</v>
      </c>
      <c r="P275" t="n">
        <v>0</v>
      </c>
      <c r="Q275" t="n">
        <v>0</v>
      </c>
      <c r="R275" s="2" t="inlineStr"/>
    </row>
    <row r="276" ht="15" customHeight="1">
      <c r="A276" t="inlineStr">
        <is>
          <t>A 60518-2021</t>
        </is>
      </c>
      <c r="B276" s="1" t="n">
        <v>44496.5028125</v>
      </c>
      <c r="C276" s="1" t="n">
        <v>45904</v>
      </c>
      <c r="D276" t="inlineStr">
        <is>
          <t>ÖREBRO LÄN</t>
        </is>
      </c>
      <c r="E276" t="inlineStr">
        <is>
          <t>HÄLLEFORS</t>
        </is>
      </c>
      <c r="G276" t="n">
        <v>1.9</v>
      </c>
      <c r="H276" t="n">
        <v>0</v>
      </c>
      <c r="I276" t="n">
        <v>0</v>
      </c>
      <c r="J276" t="n">
        <v>0</v>
      </c>
      <c r="K276" t="n">
        <v>0</v>
      </c>
      <c r="L276" t="n">
        <v>0</v>
      </c>
      <c r="M276" t="n">
        <v>0</v>
      </c>
      <c r="N276" t="n">
        <v>0</v>
      </c>
      <c r="O276" t="n">
        <v>0</v>
      </c>
      <c r="P276" t="n">
        <v>0</v>
      </c>
      <c r="Q276" t="n">
        <v>0</v>
      </c>
      <c r="R276" s="2" t="inlineStr"/>
    </row>
    <row r="277" ht="15" customHeight="1">
      <c r="A277" t="inlineStr">
        <is>
          <t>A 17350-2025</t>
        </is>
      </c>
      <c r="B277" s="1" t="n">
        <v>45756.68074074074</v>
      </c>
      <c r="C277" s="1" t="n">
        <v>45904</v>
      </c>
      <c r="D277" t="inlineStr">
        <is>
          <t>ÖREBRO LÄN</t>
        </is>
      </c>
      <c r="E277" t="inlineStr">
        <is>
          <t>HÄLLEFORS</t>
        </is>
      </c>
      <c r="F277" t="inlineStr">
        <is>
          <t>Bergvik skog väst AB</t>
        </is>
      </c>
      <c r="G277" t="n">
        <v>6.9</v>
      </c>
      <c r="H277" t="n">
        <v>0</v>
      </c>
      <c r="I277" t="n">
        <v>0</v>
      </c>
      <c r="J277" t="n">
        <v>0</v>
      </c>
      <c r="K277" t="n">
        <v>0</v>
      </c>
      <c r="L277" t="n">
        <v>0</v>
      </c>
      <c r="M277" t="n">
        <v>0</v>
      </c>
      <c r="N277" t="n">
        <v>0</v>
      </c>
      <c r="O277" t="n">
        <v>0</v>
      </c>
      <c r="P277" t="n">
        <v>0</v>
      </c>
      <c r="Q277" t="n">
        <v>0</v>
      </c>
      <c r="R277" s="2" t="inlineStr"/>
    </row>
    <row r="278" ht="15" customHeight="1">
      <c r="A278" t="inlineStr">
        <is>
          <t>A 21901-2023</t>
        </is>
      </c>
      <c r="B278" s="1" t="n">
        <v>45068.53265046296</v>
      </c>
      <c r="C278" s="1" t="n">
        <v>45904</v>
      </c>
      <c r="D278" t="inlineStr">
        <is>
          <t>ÖREBRO LÄN</t>
        </is>
      </c>
      <c r="E278" t="inlineStr">
        <is>
          <t>HÄLLEFORS</t>
        </is>
      </c>
      <c r="G278" t="n">
        <v>1.3</v>
      </c>
      <c r="H278" t="n">
        <v>0</v>
      </c>
      <c r="I278" t="n">
        <v>0</v>
      </c>
      <c r="J278" t="n">
        <v>0</v>
      </c>
      <c r="K278" t="n">
        <v>0</v>
      </c>
      <c r="L278" t="n">
        <v>0</v>
      </c>
      <c r="M278" t="n">
        <v>0</v>
      </c>
      <c r="N278" t="n">
        <v>0</v>
      </c>
      <c r="O278" t="n">
        <v>0</v>
      </c>
      <c r="P278" t="n">
        <v>0</v>
      </c>
      <c r="Q278" t="n">
        <v>0</v>
      </c>
      <c r="R278" s="2" t="inlineStr"/>
    </row>
    <row r="279" ht="15" customHeight="1">
      <c r="A279" t="inlineStr">
        <is>
          <t>A 9411-2022</t>
        </is>
      </c>
      <c r="B279" s="1" t="n">
        <v>44616</v>
      </c>
      <c r="C279" s="1" t="n">
        <v>45904</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29027-2024</t>
        </is>
      </c>
      <c r="B280" s="1" t="n">
        <v>45481.58833333333</v>
      </c>
      <c r="C280" s="1" t="n">
        <v>45904</v>
      </c>
      <c r="D280" t="inlineStr">
        <is>
          <t>ÖREBRO LÄN</t>
        </is>
      </c>
      <c r="E280" t="inlineStr">
        <is>
          <t>HÄLLEFORS</t>
        </is>
      </c>
      <c r="G280" t="n">
        <v>1.5</v>
      </c>
      <c r="H280" t="n">
        <v>0</v>
      </c>
      <c r="I280" t="n">
        <v>0</v>
      </c>
      <c r="J280" t="n">
        <v>0</v>
      </c>
      <c r="K280" t="n">
        <v>0</v>
      </c>
      <c r="L280" t="n">
        <v>0</v>
      </c>
      <c r="M280" t="n">
        <v>0</v>
      </c>
      <c r="N280" t="n">
        <v>0</v>
      </c>
      <c r="O280" t="n">
        <v>0</v>
      </c>
      <c r="P280" t="n">
        <v>0</v>
      </c>
      <c r="Q280" t="n">
        <v>0</v>
      </c>
      <c r="R280" s="2" t="inlineStr"/>
    </row>
    <row r="281" ht="15" customHeight="1">
      <c r="A281" t="inlineStr">
        <is>
          <t>A 5684-2025</t>
        </is>
      </c>
      <c r="B281" s="1" t="n">
        <v>45694</v>
      </c>
      <c r="C281" s="1" t="n">
        <v>45904</v>
      </c>
      <c r="D281" t="inlineStr">
        <is>
          <t>ÖREBRO LÄN</t>
        </is>
      </c>
      <c r="E281" t="inlineStr">
        <is>
          <t>HÄLLEFORS</t>
        </is>
      </c>
      <c r="F281" t="inlineStr">
        <is>
          <t>Bergvik skog väst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17104-2025</t>
        </is>
      </c>
      <c r="B282" s="1" t="n">
        <v>45755.66199074074</v>
      </c>
      <c r="C282" s="1" t="n">
        <v>45904</v>
      </c>
      <c r="D282" t="inlineStr">
        <is>
          <t>ÖREBRO LÄN</t>
        </is>
      </c>
      <c r="E282" t="inlineStr">
        <is>
          <t>HÄLLEFORS</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9539-2025</t>
        </is>
      </c>
      <c r="B283" s="1" t="n">
        <v>45715.57984953704</v>
      </c>
      <c r="C283" s="1" t="n">
        <v>45904</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5245-2025</t>
        </is>
      </c>
      <c r="B284" s="1" t="n">
        <v>45692</v>
      </c>
      <c r="C284" s="1" t="n">
        <v>45904</v>
      </c>
      <c r="D284" t="inlineStr">
        <is>
          <t>ÖREBRO LÄN</t>
        </is>
      </c>
      <c r="E284" t="inlineStr">
        <is>
          <t>HÄLLEFORS</t>
        </is>
      </c>
      <c r="F284" t="inlineStr">
        <is>
          <t>Bergvik skog väst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44905-2021</t>
        </is>
      </c>
      <c r="B285" s="1" t="n">
        <v>44438.65045138889</v>
      </c>
      <c r="C285" s="1" t="n">
        <v>45904</v>
      </c>
      <c r="D285" t="inlineStr">
        <is>
          <t>ÖREBRO LÄN</t>
        </is>
      </c>
      <c r="E285" t="inlineStr">
        <is>
          <t>HÄLLEFORS</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27935-2023</t>
        </is>
      </c>
      <c r="B286" s="1" t="n">
        <v>45098.65641203704</v>
      </c>
      <c r="C286" s="1" t="n">
        <v>45904</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56697-2024</t>
        </is>
      </c>
      <c r="B287" s="1" t="n">
        <v>45627.78466435185</v>
      </c>
      <c r="C287" s="1" t="n">
        <v>45904</v>
      </c>
      <c r="D287" t="inlineStr">
        <is>
          <t>ÖREBRO LÄN</t>
        </is>
      </c>
      <c r="E287" t="inlineStr">
        <is>
          <t>HÄLLEFORS</t>
        </is>
      </c>
      <c r="G287" t="n">
        <v>6.2</v>
      </c>
      <c r="H287" t="n">
        <v>0</v>
      </c>
      <c r="I287" t="n">
        <v>0</v>
      </c>
      <c r="J287" t="n">
        <v>0</v>
      </c>
      <c r="K287" t="n">
        <v>0</v>
      </c>
      <c r="L287" t="n">
        <v>0</v>
      </c>
      <c r="M287" t="n">
        <v>0</v>
      </c>
      <c r="N287" t="n">
        <v>0</v>
      </c>
      <c r="O287" t="n">
        <v>0</v>
      </c>
      <c r="P287" t="n">
        <v>0</v>
      </c>
      <c r="Q287" t="n">
        <v>0</v>
      </c>
      <c r="R287" s="2" t="inlineStr"/>
    </row>
    <row r="288" ht="15" customHeight="1">
      <c r="A288" t="inlineStr">
        <is>
          <t>A 23036-2024</t>
        </is>
      </c>
      <c r="B288" s="1" t="n">
        <v>45450.39145833333</v>
      </c>
      <c r="C288" s="1" t="n">
        <v>45904</v>
      </c>
      <c r="D288" t="inlineStr">
        <is>
          <t>ÖREBRO LÄN</t>
        </is>
      </c>
      <c r="E288" t="inlineStr">
        <is>
          <t>HÄLLEFORS</t>
        </is>
      </c>
      <c r="G288" t="n">
        <v>1.5</v>
      </c>
      <c r="H288" t="n">
        <v>0</v>
      </c>
      <c r="I288" t="n">
        <v>0</v>
      </c>
      <c r="J288" t="n">
        <v>0</v>
      </c>
      <c r="K288" t="n">
        <v>0</v>
      </c>
      <c r="L288" t="n">
        <v>0</v>
      </c>
      <c r="M288" t="n">
        <v>0</v>
      </c>
      <c r="N288" t="n">
        <v>0</v>
      </c>
      <c r="O288" t="n">
        <v>0</v>
      </c>
      <c r="P288" t="n">
        <v>0</v>
      </c>
      <c r="Q288" t="n">
        <v>0</v>
      </c>
      <c r="R288" s="2" t="inlineStr"/>
    </row>
    <row r="289" ht="15" customHeight="1">
      <c r="A289" t="inlineStr">
        <is>
          <t>A 60312-2024</t>
        </is>
      </c>
      <c r="B289" s="1" t="n">
        <v>45643</v>
      </c>
      <c r="C289" s="1" t="n">
        <v>45904</v>
      </c>
      <c r="D289" t="inlineStr">
        <is>
          <t>ÖREBRO LÄN</t>
        </is>
      </c>
      <c r="E289" t="inlineStr">
        <is>
          <t>HÄLLEFORS</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33944-2024</t>
        </is>
      </c>
      <c r="B290" s="1" t="n">
        <v>45523</v>
      </c>
      <c r="C290" s="1" t="n">
        <v>45904</v>
      </c>
      <c r="D290" t="inlineStr">
        <is>
          <t>ÖREBRO LÄN</t>
        </is>
      </c>
      <c r="E290" t="inlineStr">
        <is>
          <t>HÄLLEFORS</t>
        </is>
      </c>
      <c r="G290" t="n">
        <v>5.9</v>
      </c>
      <c r="H290" t="n">
        <v>0</v>
      </c>
      <c r="I290" t="n">
        <v>0</v>
      </c>
      <c r="J290" t="n">
        <v>0</v>
      </c>
      <c r="K290" t="n">
        <v>0</v>
      </c>
      <c r="L290" t="n">
        <v>0</v>
      </c>
      <c r="M290" t="n">
        <v>0</v>
      </c>
      <c r="N290" t="n">
        <v>0</v>
      </c>
      <c r="O290" t="n">
        <v>0</v>
      </c>
      <c r="P290" t="n">
        <v>0</v>
      </c>
      <c r="Q290" t="n">
        <v>0</v>
      </c>
      <c r="R290" s="2" t="inlineStr"/>
    </row>
    <row r="291" ht="15" customHeight="1">
      <c r="A291" t="inlineStr">
        <is>
          <t>A 29884-2022</t>
        </is>
      </c>
      <c r="B291" s="1" t="n">
        <v>44756</v>
      </c>
      <c r="C291" s="1" t="n">
        <v>45904</v>
      </c>
      <c r="D291" t="inlineStr">
        <is>
          <t>ÖREBRO LÄN</t>
        </is>
      </c>
      <c r="E291" t="inlineStr">
        <is>
          <t>HÄLLEFORS</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67027-2021</t>
        </is>
      </c>
      <c r="B292" s="1" t="n">
        <v>44522.66836805556</v>
      </c>
      <c r="C292" s="1" t="n">
        <v>45904</v>
      </c>
      <c r="D292" t="inlineStr">
        <is>
          <t>ÖREBRO LÄN</t>
        </is>
      </c>
      <c r="E292" t="inlineStr">
        <is>
          <t>HÄLLEFORS</t>
        </is>
      </c>
      <c r="G292" t="n">
        <v>1.7</v>
      </c>
      <c r="H292" t="n">
        <v>0</v>
      </c>
      <c r="I292" t="n">
        <v>0</v>
      </c>
      <c r="J292" t="n">
        <v>0</v>
      </c>
      <c r="K292" t="n">
        <v>0</v>
      </c>
      <c r="L292" t="n">
        <v>0</v>
      </c>
      <c r="M292" t="n">
        <v>0</v>
      </c>
      <c r="N292" t="n">
        <v>0</v>
      </c>
      <c r="O292" t="n">
        <v>0</v>
      </c>
      <c r="P292" t="n">
        <v>0</v>
      </c>
      <c r="Q292" t="n">
        <v>0</v>
      </c>
      <c r="R292" s="2" t="inlineStr"/>
    </row>
    <row r="293" ht="15" customHeight="1">
      <c r="A293" t="inlineStr">
        <is>
          <t>A 51213-2023</t>
        </is>
      </c>
      <c r="B293" s="1" t="n">
        <v>45219.44515046296</v>
      </c>
      <c r="C293" s="1" t="n">
        <v>45904</v>
      </c>
      <c r="D293" t="inlineStr">
        <is>
          <t>ÖREBRO LÄN</t>
        </is>
      </c>
      <c r="E293" t="inlineStr">
        <is>
          <t>HÄLLEFORS</t>
        </is>
      </c>
      <c r="F293" t="inlineStr">
        <is>
          <t>Bergvik skog väst AB</t>
        </is>
      </c>
      <c r="G293" t="n">
        <v>3.5</v>
      </c>
      <c r="H293" t="n">
        <v>0</v>
      </c>
      <c r="I293" t="n">
        <v>0</v>
      </c>
      <c r="J293" t="n">
        <v>0</v>
      </c>
      <c r="K293" t="n">
        <v>0</v>
      </c>
      <c r="L293" t="n">
        <v>0</v>
      </c>
      <c r="M293" t="n">
        <v>0</v>
      </c>
      <c r="N293" t="n">
        <v>0</v>
      </c>
      <c r="O293" t="n">
        <v>0</v>
      </c>
      <c r="P293" t="n">
        <v>0</v>
      </c>
      <c r="Q293" t="n">
        <v>0</v>
      </c>
      <c r="R293" s="2" t="inlineStr"/>
    </row>
    <row r="294" ht="15" customHeight="1">
      <c r="A294" t="inlineStr">
        <is>
          <t>A 18715-2025</t>
        </is>
      </c>
      <c r="B294" s="1" t="n">
        <v>45763.64383101852</v>
      </c>
      <c r="C294" s="1" t="n">
        <v>45904</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41152-2025</t>
        </is>
      </c>
      <c r="B295" s="1" t="n">
        <v>45898.5128587963</v>
      </c>
      <c r="C295" s="1" t="n">
        <v>45904</v>
      </c>
      <c r="D295" t="inlineStr">
        <is>
          <t>ÖREBRO LÄN</t>
        </is>
      </c>
      <c r="E295" t="inlineStr">
        <is>
          <t>HÄLLEFORS</t>
        </is>
      </c>
      <c r="F295" t="inlineStr">
        <is>
          <t>Bergvik skog väst AB</t>
        </is>
      </c>
      <c r="G295" t="n">
        <v>2.9</v>
      </c>
      <c r="H295" t="n">
        <v>0</v>
      </c>
      <c r="I295" t="n">
        <v>0</v>
      </c>
      <c r="J295" t="n">
        <v>0</v>
      </c>
      <c r="K295" t="n">
        <v>0</v>
      </c>
      <c r="L295" t="n">
        <v>0</v>
      </c>
      <c r="M295" t="n">
        <v>0</v>
      </c>
      <c r="N295" t="n">
        <v>0</v>
      </c>
      <c r="O295" t="n">
        <v>0</v>
      </c>
      <c r="P295" t="n">
        <v>0</v>
      </c>
      <c r="Q295" t="n">
        <v>0</v>
      </c>
      <c r="R295" s="2" t="inlineStr"/>
    </row>
    <row r="296" ht="15" customHeight="1">
      <c r="A296" t="inlineStr">
        <is>
          <t>A 41193-2023</t>
        </is>
      </c>
      <c r="B296" s="1" t="n">
        <v>45174</v>
      </c>
      <c r="C296" s="1" t="n">
        <v>45904</v>
      </c>
      <c r="D296" t="inlineStr">
        <is>
          <t>ÖREBRO LÄN</t>
        </is>
      </c>
      <c r="E296" t="inlineStr">
        <is>
          <t>HÄLLEFORS</t>
        </is>
      </c>
      <c r="F296" t="inlineStr">
        <is>
          <t>Bergvik skog väst AB</t>
        </is>
      </c>
      <c r="G296" t="n">
        <v>10.9</v>
      </c>
      <c r="H296" t="n">
        <v>0</v>
      </c>
      <c r="I296" t="n">
        <v>0</v>
      </c>
      <c r="J296" t="n">
        <v>0</v>
      </c>
      <c r="K296" t="n">
        <v>0</v>
      </c>
      <c r="L296" t="n">
        <v>0</v>
      </c>
      <c r="M296" t="n">
        <v>0</v>
      </c>
      <c r="N296" t="n">
        <v>0</v>
      </c>
      <c r="O296" t="n">
        <v>0</v>
      </c>
      <c r="P296" t="n">
        <v>0</v>
      </c>
      <c r="Q296" t="n">
        <v>0</v>
      </c>
      <c r="R296" s="2" t="inlineStr"/>
    </row>
    <row r="297" ht="15" customHeight="1">
      <c r="A297" t="inlineStr">
        <is>
          <t>A 41810-2023</t>
        </is>
      </c>
      <c r="B297" s="1" t="n">
        <v>45176</v>
      </c>
      <c r="C297" s="1" t="n">
        <v>45904</v>
      </c>
      <c r="D297" t="inlineStr">
        <is>
          <t>ÖREBRO LÄN</t>
        </is>
      </c>
      <c r="E297" t="inlineStr">
        <is>
          <t>HÄLLEFORS</t>
        </is>
      </c>
      <c r="F297" t="inlineStr">
        <is>
          <t>Bergvik skog väst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55300-2023</t>
        </is>
      </c>
      <c r="B298" s="1" t="n">
        <v>45237.83621527778</v>
      </c>
      <c r="C298" s="1" t="n">
        <v>45904</v>
      </c>
      <c r="D298" t="inlineStr">
        <is>
          <t>ÖREBRO LÄN</t>
        </is>
      </c>
      <c r="E298" t="inlineStr">
        <is>
          <t>HÄLLEFORS</t>
        </is>
      </c>
      <c r="F298" t="inlineStr">
        <is>
          <t>Bergvik skog väst AB</t>
        </is>
      </c>
      <c r="G298" t="n">
        <v>5.1</v>
      </c>
      <c r="H298" t="n">
        <v>0</v>
      </c>
      <c r="I298" t="n">
        <v>0</v>
      </c>
      <c r="J298" t="n">
        <v>0</v>
      </c>
      <c r="K298" t="n">
        <v>0</v>
      </c>
      <c r="L298" t="n">
        <v>0</v>
      </c>
      <c r="M298" t="n">
        <v>0</v>
      </c>
      <c r="N298" t="n">
        <v>0</v>
      </c>
      <c r="O298" t="n">
        <v>0</v>
      </c>
      <c r="P298" t="n">
        <v>0</v>
      </c>
      <c r="Q298" t="n">
        <v>0</v>
      </c>
      <c r="R298" s="2" t="inlineStr"/>
    </row>
    <row r="299" ht="15" customHeight="1">
      <c r="A299" t="inlineStr">
        <is>
          <t>A 18535-2025</t>
        </is>
      </c>
      <c r="B299" s="1" t="n">
        <v>45763</v>
      </c>
      <c r="C299" s="1" t="n">
        <v>45904</v>
      </c>
      <c r="D299" t="inlineStr">
        <is>
          <t>ÖREBRO LÄN</t>
        </is>
      </c>
      <c r="E299" t="inlineStr">
        <is>
          <t>HÄLLEFORS</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18590-2025</t>
        </is>
      </c>
      <c r="B300" s="1" t="n">
        <v>45763.47677083333</v>
      </c>
      <c r="C300" s="1" t="n">
        <v>45904</v>
      </c>
      <c r="D300" t="inlineStr">
        <is>
          <t>ÖREBRO LÄN</t>
        </is>
      </c>
      <c r="E300" t="inlineStr">
        <is>
          <t>HÄLLEFORS</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2079-2024</t>
        </is>
      </c>
      <c r="B301" s="1" t="n">
        <v>45309</v>
      </c>
      <c r="C301" s="1" t="n">
        <v>45904</v>
      </c>
      <c r="D301" t="inlineStr">
        <is>
          <t>ÖREBRO LÄN</t>
        </is>
      </c>
      <c r="E301" t="inlineStr">
        <is>
          <t>HÄLLEFORS</t>
        </is>
      </c>
      <c r="G301" t="n">
        <v>0.4</v>
      </c>
      <c r="H301" t="n">
        <v>0</v>
      </c>
      <c r="I301" t="n">
        <v>0</v>
      </c>
      <c r="J301" t="n">
        <v>0</v>
      </c>
      <c r="K301" t="n">
        <v>0</v>
      </c>
      <c r="L301" t="n">
        <v>0</v>
      </c>
      <c r="M301" t="n">
        <v>0</v>
      </c>
      <c r="N301" t="n">
        <v>0</v>
      </c>
      <c r="O301" t="n">
        <v>0</v>
      </c>
      <c r="P301" t="n">
        <v>0</v>
      </c>
      <c r="Q301" t="n">
        <v>0</v>
      </c>
      <c r="R301" s="2" t="inlineStr"/>
    </row>
    <row r="302" ht="15" customHeight="1">
      <c r="A302" t="inlineStr">
        <is>
          <t>A 59976-2024</t>
        </is>
      </c>
      <c r="B302" s="1" t="n">
        <v>45642.37226851852</v>
      </c>
      <c r="C302" s="1" t="n">
        <v>45904</v>
      </c>
      <c r="D302" t="inlineStr">
        <is>
          <t>ÖREBRO LÄN</t>
        </is>
      </c>
      <c r="E302" t="inlineStr">
        <is>
          <t>HÄLLEFORS</t>
        </is>
      </c>
      <c r="F302" t="inlineStr">
        <is>
          <t>Bergvik skog väst AB</t>
        </is>
      </c>
      <c r="G302" t="n">
        <v>8.9</v>
      </c>
      <c r="H302" t="n">
        <v>0</v>
      </c>
      <c r="I302" t="n">
        <v>0</v>
      </c>
      <c r="J302" t="n">
        <v>0</v>
      </c>
      <c r="K302" t="n">
        <v>0</v>
      </c>
      <c r="L302" t="n">
        <v>0</v>
      </c>
      <c r="M302" t="n">
        <v>0</v>
      </c>
      <c r="N302" t="n">
        <v>0</v>
      </c>
      <c r="O302" t="n">
        <v>0</v>
      </c>
      <c r="P302" t="n">
        <v>0</v>
      </c>
      <c r="Q302" t="n">
        <v>0</v>
      </c>
      <c r="R302" s="2" t="inlineStr"/>
    </row>
    <row r="303" ht="15" customHeight="1">
      <c r="A303" t="inlineStr">
        <is>
          <t>A 6761-2025</t>
        </is>
      </c>
      <c r="B303" s="1" t="n">
        <v>45700.62762731482</v>
      </c>
      <c r="C303" s="1" t="n">
        <v>45904</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23561-2023</t>
        </is>
      </c>
      <c r="B304" s="1" t="n">
        <v>45077.39368055556</v>
      </c>
      <c r="C304" s="1" t="n">
        <v>45904</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67439-2021</t>
        </is>
      </c>
      <c r="B305" s="1" t="n">
        <v>44523</v>
      </c>
      <c r="C305" s="1" t="n">
        <v>45904</v>
      </c>
      <c r="D305" t="inlineStr">
        <is>
          <t>ÖREBRO LÄN</t>
        </is>
      </c>
      <c r="E305" t="inlineStr">
        <is>
          <t>HÄLLEFORS</t>
        </is>
      </c>
      <c r="G305" t="n">
        <v>1.9</v>
      </c>
      <c r="H305" t="n">
        <v>0</v>
      </c>
      <c r="I305" t="n">
        <v>0</v>
      </c>
      <c r="J305" t="n">
        <v>0</v>
      </c>
      <c r="K305" t="n">
        <v>0</v>
      </c>
      <c r="L305" t="n">
        <v>0</v>
      </c>
      <c r="M305" t="n">
        <v>0</v>
      </c>
      <c r="N305" t="n">
        <v>0</v>
      </c>
      <c r="O305" t="n">
        <v>0</v>
      </c>
      <c r="P305" t="n">
        <v>0</v>
      </c>
      <c r="Q305" t="n">
        <v>0</v>
      </c>
      <c r="R305" s="2" t="inlineStr"/>
    </row>
    <row r="306" ht="15" customHeight="1">
      <c r="A306" t="inlineStr">
        <is>
          <t>A 18979-2025</t>
        </is>
      </c>
      <c r="B306" s="1" t="n">
        <v>45764.55017361111</v>
      </c>
      <c r="C306" s="1" t="n">
        <v>45904</v>
      </c>
      <c r="D306" t="inlineStr">
        <is>
          <t>ÖREBRO LÄN</t>
        </is>
      </c>
      <c r="E306" t="inlineStr">
        <is>
          <t>HÄLLEFORS</t>
        </is>
      </c>
      <c r="G306" t="n">
        <v>0.9</v>
      </c>
      <c r="H306" t="n">
        <v>0</v>
      </c>
      <c r="I306" t="n">
        <v>0</v>
      </c>
      <c r="J306" t="n">
        <v>0</v>
      </c>
      <c r="K306" t="n">
        <v>0</v>
      </c>
      <c r="L306" t="n">
        <v>0</v>
      </c>
      <c r="M306" t="n">
        <v>0</v>
      </c>
      <c r="N306" t="n">
        <v>0</v>
      </c>
      <c r="O306" t="n">
        <v>0</v>
      </c>
      <c r="P306" t="n">
        <v>0</v>
      </c>
      <c r="Q306" t="n">
        <v>0</v>
      </c>
      <c r="R306" s="2" t="inlineStr"/>
    </row>
    <row r="307" ht="15" customHeight="1">
      <c r="A307" t="inlineStr">
        <is>
          <t>A 51088-2022</t>
        </is>
      </c>
      <c r="B307" s="1" t="n">
        <v>44868.3935300926</v>
      </c>
      <c r="C307" s="1" t="n">
        <v>45904</v>
      </c>
      <c r="D307" t="inlineStr">
        <is>
          <t>ÖREBRO LÄN</t>
        </is>
      </c>
      <c r="E307" t="inlineStr">
        <is>
          <t>HÄLLEFORS</t>
        </is>
      </c>
      <c r="F307" t="inlineStr">
        <is>
          <t>Bergvik skog väst AB</t>
        </is>
      </c>
      <c r="G307" t="n">
        <v>3.1</v>
      </c>
      <c r="H307" t="n">
        <v>0</v>
      </c>
      <c r="I307" t="n">
        <v>0</v>
      </c>
      <c r="J307" t="n">
        <v>0</v>
      </c>
      <c r="K307" t="n">
        <v>0</v>
      </c>
      <c r="L307" t="n">
        <v>0</v>
      </c>
      <c r="M307" t="n">
        <v>0</v>
      </c>
      <c r="N307" t="n">
        <v>0</v>
      </c>
      <c r="O307" t="n">
        <v>0</v>
      </c>
      <c r="P307" t="n">
        <v>0</v>
      </c>
      <c r="Q307" t="n">
        <v>0</v>
      </c>
      <c r="R307" s="2" t="inlineStr"/>
    </row>
    <row r="308" ht="15" customHeight="1">
      <c r="A308" t="inlineStr">
        <is>
          <t>A 35862-2024</t>
        </is>
      </c>
      <c r="B308" s="1" t="n">
        <v>45533.33909722222</v>
      </c>
      <c r="C308" s="1" t="n">
        <v>45904</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54843-2023</t>
        </is>
      </c>
      <c r="B309" s="1" t="n">
        <v>45236.58434027778</v>
      </c>
      <c r="C309" s="1" t="n">
        <v>45904</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3619-2021</t>
        </is>
      </c>
      <c r="B310" s="1" t="n">
        <v>44221</v>
      </c>
      <c r="C310" s="1" t="n">
        <v>45904</v>
      </c>
      <c r="D310" t="inlineStr">
        <is>
          <t>ÖREBRO LÄN</t>
        </is>
      </c>
      <c r="E310" t="inlineStr">
        <is>
          <t>HÄLLEFORS</t>
        </is>
      </c>
      <c r="F310" t="inlineStr">
        <is>
          <t>Kyrkan</t>
        </is>
      </c>
      <c r="G310" t="n">
        <v>0.6</v>
      </c>
      <c r="H310" t="n">
        <v>0</v>
      </c>
      <c r="I310" t="n">
        <v>0</v>
      </c>
      <c r="J310" t="n">
        <v>0</v>
      </c>
      <c r="K310" t="n">
        <v>0</v>
      </c>
      <c r="L310" t="n">
        <v>0</v>
      </c>
      <c r="M310" t="n">
        <v>0</v>
      </c>
      <c r="N310" t="n">
        <v>0</v>
      </c>
      <c r="O310" t="n">
        <v>0</v>
      </c>
      <c r="P310" t="n">
        <v>0</v>
      </c>
      <c r="Q310" t="n">
        <v>0</v>
      </c>
      <c r="R310" s="2" t="inlineStr"/>
    </row>
    <row r="311" ht="15" customHeight="1">
      <c r="A311" t="inlineStr">
        <is>
          <t>A 37542-2024</t>
        </is>
      </c>
      <c r="B311" s="1" t="n">
        <v>45541.42298611111</v>
      </c>
      <c r="C311" s="1" t="n">
        <v>45904</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5583-2023</t>
        </is>
      </c>
      <c r="B312" s="1" t="n">
        <v>44960.50733796296</v>
      </c>
      <c r="C312" s="1" t="n">
        <v>45904</v>
      </c>
      <c r="D312" t="inlineStr">
        <is>
          <t>ÖREBRO LÄN</t>
        </is>
      </c>
      <c r="E312" t="inlineStr">
        <is>
          <t>HÄLLEFORS</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8615-2025</t>
        </is>
      </c>
      <c r="B313" s="1" t="n">
        <v>45710.81305555555</v>
      </c>
      <c r="C313" s="1" t="n">
        <v>45904</v>
      </c>
      <c r="D313" t="inlineStr">
        <is>
          <t>ÖREBRO LÄN</t>
        </is>
      </c>
      <c r="E313" t="inlineStr">
        <is>
          <t>HÄLLEFORS</t>
        </is>
      </c>
      <c r="G313" t="n">
        <v>6.2</v>
      </c>
      <c r="H313" t="n">
        <v>0</v>
      </c>
      <c r="I313" t="n">
        <v>0</v>
      </c>
      <c r="J313" t="n">
        <v>0</v>
      </c>
      <c r="K313" t="n">
        <v>0</v>
      </c>
      <c r="L313" t="n">
        <v>0</v>
      </c>
      <c r="M313" t="n">
        <v>0</v>
      </c>
      <c r="N313" t="n">
        <v>0</v>
      </c>
      <c r="O313" t="n">
        <v>0</v>
      </c>
      <c r="P313" t="n">
        <v>0</v>
      </c>
      <c r="Q313" t="n">
        <v>0</v>
      </c>
      <c r="R313" s="2" t="inlineStr"/>
    </row>
    <row r="314" ht="15" customHeight="1">
      <c r="A314" t="inlineStr">
        <is>
          <t>A 44091-2024</t>
        </is>
      </c>
      <c r="B314" s="1" t="n">
        <v>45572.6216087963</v>
      </c>
      <c r="C314" s="1" t="n">
        <v>45904</v>
      </c>
      <c r="D314" t="inlineStr">
        <is>
          <t>ÖREBRO LÄN</t>
        </is>
      </c>
      <c r="E314" t="inlineStr">
        <is>
          <t>HÄLLEFORS</t>
        </is>
      </c>
      <c r="G314" t="n">
        <v>1</v>
      </c>
      <c r="H314" t="n">
        <v>0</v>
      </c>
      <c r="I314" t="n">
        <v>0</v>
      </c>
      <c r="J314" t="n">
        <v>0</v>
      </c>
      <c r="K314" t="n">
        <v>0</v>
      </c>
      <c r="L314" t="n">
        <v>0</v>
      </c>
      <c r="M314" t="n">
        <v>0</v>
      </c>
      <c r="N314" t="n">
        <v>0</v>
      </c>
      <c r="O314" t="n">
        <v>0</v>
      </c>
      <c r="P314" t="n">
        <v>0</v>
      </c>
      <c r="Q314" t="n">
        <v>0</v>
      </c>
      <c r="R314" s="2" t="inlineStr"/>
    </row>
    <row r="315" ht="15" customHeight="1">
      <c r="A315" t="inlineStr">
        <is>
          <t>A 46642-2024</t>
        </is>
      </c>
      <c r="B315" s="1" t="n">
        <v>45583.34902777777</v>
      </c>
      <c r="C315" s="1" t="n">
        <v>45904</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24359-2023</t>
        </is>
      </c>
      <c r="B316" s="1" t="n">
        <v>45082</v>
      </c>
      <c r="C316" s="1" t="n">
        <v>45904</v>
      </c>
      <c r="D316" t="inlineStr">
        <is>
          <t>ÖREBRO LÄN</t>
        </is>
      </c>
      <c r="E316" t="inlineStr">
        <is>
          <t>HÄLLEFORS</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18503-2025</t>
        </is>
      </c>
      <c r="B317" s="1" t="n">
        <v>45763.37480324074</v>
      </c>
      <c r="C317" s="1" t="n">
        <v>45904</v>
      </c>
      <c r="D317" t="inlineStr">
        <is>
          <t>ÖREBRO LÄN</t>
        </is>
      </c>
      <c r="E317" t="inlineStr">
        <is>
          <t>HÄLLEFORS</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1288-2024</t>
        </is>
      </c>
      <c r="B318" s="1" t="n">
        <v>45303</v>
      </c>
      <c r="C318" s="1" t="n">
        <v>45904</v>
      </c>
      <c r="D318" t="inlineStr">
        <is>
          <t>ÖREBRO LÄN</t>
        </is>
      </c>
      <c r="E318" t="inlineStr">
        <is>
          <t>HÄLLEFORS</t>
        </is>
      </c>
      <c r="G318" t="n">
        <v>1.2</v>
      </c>
      <c r="H318" t="n">
        <v>0</v>
      </c>
      <c r="I318" t="n">
        <v>0</v>
      </c>
      <c r="J318" t="n">
        <v>0</v>
      </c>
      <c r="K318" t="n">
        <v>0</v>
      </c>
      <c r="L318" t="n">
        <v>0</v>
      </c>
      <c r="M318" t="n">
        <v>0</v>
      </c>
      <c r="N318" t="n">
        <v>0</v>
      </c>
      <c r="O318" t="n">
        <v>0</v>
      </c>
      <c r="P318" t="n">
        <v>0</v>
      </c>
      <c r="Q318" t="n">
        <v>0</v>
      </c>
      <c r="R318" s="2" t="inlineStr"/>
    </row>
    <row r="319" ht="15" customHeight="1">
      <c r="A319" t="inlineStr">
        <is>
          <t>A 55099-2024</t>
        </is>
      </c>
      <c r="B319" s="1" t="n">
        <v>45621</v>
      </c>
      <c r="C319" s="1" t="n">
        <v>45904</v>
      </c>
      <c r="D319" t="inlineStr">
        <is>
          <t>ÖREBRO LÄN</t>
        </is>
      </c>
      <c r="E319" t="inlineStr">
        <is>
          <t>HÄLLEFORS</t>
        </is>
      </c>
      <c r="G319" t="n">
        <v>0.8</v>
      </c>
      <c r="H319" t="n">
        <v>0</v>
      </c>
      <c r="I319" t="n">
        <v>0</v>
      </c>
      <c r="J319" t="n">
        <v>0</v>
      </c>
      <c r="K319" t="n">
        <v>0</v>
      </c>
      <c r="L319" t="n">
        <v>0</v>
      </c>
      <c r="M319" t="n">
        <v>0</v>
      </c>
      <c r="N319" t="n">
        <v>0</v>
      </c>
      <c r="O319" t="n">
        <v>0</v>
      </c>
      <c r="P319" t="n">
        <v>0</v>
      </c>
      <c r="Q319" t="n">
        <v>0</v>
      </c>
      <c r="R319" s="2" t="inlineStr"/>
    </row>
    <row r="320" ht="15" customHeight="1">
      <c r="A320" t="inlineStr">
        <is>
          <t>A 58499-2022</t>
        </is>
      </c>
      <c r="B320" s="1" t="n">
        <v>44902.3759375</v>
      </c>
      <c r="C320" s="1" t="n">
        <v>45904</v>
      </c>
      <c r="D320" t="inlineStr">
        <is>
          <t>ÖREBRO LÄN</t>
        </is>
      </c>
      <c r="E320" t="inlineStr">
        <is>
          <t>HÄLLEFORS</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36635-2022</t>
        </is>
      </c>
      <c r="B321" s="1" t="n">
        <v>44804.70893518518</v>
      </c>
      <c r="C321" s="1" t="n">
        <v>45904</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9009-2023</t>
        </is>
      </c>
      <c r="B322" s="1" t="n">
        <v>44979</v>
      </c>
      <c r="C322" s="1" t="n">
        <v>45904</v>
      </c>
      <c r="D322" t="inlineStr">
        <is>
          <t>ÖREBRO LÄN</t>
        </is>
      </c>
      <c r="E322" t="inlineStr">
        <is>
          <t>HÄLLEFORS</t>
        </is>
      </c>
      <c r="G322" t="n">
        <v>0.6</v>
      </c>
      <c r="H322" t="n">
        <v>0</v>
      </c>
      <c r="I322" t="n">
        <v>0</v>
      </c>
      <c r="J322" t="n">
        <v>0</v>
      </c>
      <c r="K322" t="n">
        <v>0</v>
      </c>
      <c r="L322" t="n">
        <v>0</v>
      </c>
      <c r="M322" t="n">
        <v>0</v>
      </c>
      <c r="N322" t="n">
        <v>0</v>
      </c>
      <c r="O322" t="n">
        <v>0</v>
      </c>
      <c r="P322" t="n">
        <v>0</v>
      </c>
      <c r="Q322" t="n">
        <v>0</v>
      </c>
      <c r="R322" s="2" t="inlineStr"/>
    </row>
    <row r="323" ht="15" customHeight="1">
      <c r="A323" t="inlineStr">
        <is>
          <t>A 5657-2024</t>
        </is>
      </c>
      <c r="B323" s="1" t="n">
        <v>45334</v>
      </c>
      <c r="C323" s="1" t="n">
        <v>45904</v>
      </c>
      <c r="D323" t="inlineStr">
        <is>
          <t>ÖREBRO LÄN</t>
        </is>
      </c>
      <c r="E323" t="inlineStr">
        <is>
          <t>HÄLLEFORS</t>
        </is>
      </c>
      <c r="G323" t="n">
        <v>0.3</v>
      </c>
      <c r="H323" t="n">
        <v>0</v>
      </c>
      <c r="I323" t="n">
        <v>0</v>
      </c>
      <c r="J323" t="n">
        <v>0</v>
      </c>
      <c r="K323" t="n">
        <v>0</v>
      </c>
      <c r="L323" t="n">
        <v>0</v>
      </c>
      <c r="M323" t="n">
        <v>0</v>
      </c>
      <c r="N323" t="n">
        <v>0</v>
      </c>
      <c r="O323" t="n">
        <v>0</v>
      </c>
      <c r="P323" t="n">
        <v>0</v>
      </c>
      <c r="Q323" t="n">
        <v>0</v>
      </c>
      <c r="R323" s="2" t="inlineStr"/>
    </row>
    <row r="324" ht="15" customHeight="1">
      <c r="A324" t="inlineStr">
        <is>
          <t>A 18927-2025</t>
        </is>
      </c>
      <c r="B324" s="1" t="n">
        <v>45764.4846412037</v>
      </c>
      <c r="C324" s="1" t="n">
        <v>45904</v>
      </c>
      <c r="D324" t="inlineStr">
        <is>
          <t>ÖREBRO LÄN</t>
        </is>
      </c>
      <c r="E324" t="inlineStr">
        <is>
          <t>HÄLLEFORS</t>
        </is>
      </c>
      <c r="F324" t="inlineStr">
        <is>
          <t>Bergvik skog väst AB</t>
        </is>
      </c>
      <c r="G324" t="n">
        <v>2.3</v>
      </c>
      <c r="H324" t="n">
        <v>0</v>
      </c>
      <c r="I324" t="n">
        <v>0</v>
      </c>
      <c r="J324" t="n">
        <v>0</v>
      </c>
      <c r="K324" t="n">
        <v>0</v>
      </c>
      <c r="L324" t="n">
        <v>0</v>
      </c>
      <c r="M324" t="n">
        <v>0</v>
      </c>
      <c r="N324" t="n">
        <v>0</v>
      </c>
      <c r="O324" t="n">
        <v>0</v>
      </c>
      <c r="P324" t="n">
        <v>0</v>
      </c>
      <c r="Q324" t="n">
        <v>0</v>
      </c>
      <c r="R324" s="2" t="inlineStr"/>
    </row>
    <row r="325" ht="15" customHeight="1">
      <c r="A325" t="inlineStr">
        <is>
          <t>A 18941-2025</t>
        </is>
      </c>
      <c r="B325" s="1" t="n">
        <v>45764.495625</v>
      </c>
      <c r="C325" s="1" t="n">
        <v>45904</v>
      </c>
      <c r="D325" t="inlineStr">
        <is>
          <t>ÖREBRO LÄN</t>
        </is>
      </c>
      <c r="E325" t="inlineStr">
        <is>
          <t>HÄLLEFORS</t>
        </is>
      </c>
      <c r="F325" t="inlineStr">
        <is>
          <t>Bergvik skog väst AB</t>
        </is>
      </c>
      <c r="G325" t="n">
        <v>3.7</v>
      </c>
      <c r="H325" t="n">
        <v>0</v>
      </c>
      <c r="I325" t="n">
        <v>0</v>
      </c>
      <c r="J325" t="n">
        <v>0</v>
      </c>
      <c r="K325" t="n">
        <v>0</v>
      </c>
      <c r="L325" t="n">
        <v>0</v>
      </c>
      <c r="M325" t="n">
        <v>0</v>
      </c>
      <c r="N325" t="n">
        <v>0</v>
      </c>
      <c r="O325" t="n">
        <v>0</v>
      </c>
      <c r="P325" t="n">
        <v>0</v>
      </c>
      <c r="Q325" t="n">
        <v>0</v>
      </c>
      <c r="R325" s="2" t="inlineStr"/>
    </row>
    <row r="326" ht="15" customHeight="1">
      <c r="A326" t="inlineStr">
        <is>
          <t>A 38402-2023</t>
        </is>
      </c>
      <c r="B326" s="1" t="n">
        <v>45162</v>
      </c>
      <c r="C326" s="1" t="n">
        <v>45904</v>
      </c>
      <c r="D326" t="inlineStr">
        <is>
          <t>ÖREBRO LÄN</t>
        </is>
      </c>
      <c r="E326" t="inlineStr">
        <is>
          <t>HÄLLEFORS</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11459-2024</t>
        </is>
      </c>
      <c r="B327" s="1" t="n">
        <v>45372.58425925926</v>
      </c>
      <c r="C327" s="1" t="n">
        <v>45904</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12555-2025</t>
        </is>
      </c>
      <c r="B328" s="1" t="n">
        <v>45731.4425462963</v>
      </c>
      <c r="C328" s="1" t="n">
        <v>45904</v>
      </c>
      <c r="D328" t="inlineStr">
        <is>
          <t>ÖREBRO LÄN</t>
        </is>
      </c>
      <c r="E328" t="inlineStr">
        <is>
          <t>HÄLLEFORS</t>
        </is>
      </c>
      <c r="G328" t="n">
        <v>4</v>
      </c>
      <c r="H328" t="n">
        <v>0</v>
      </c>
      <c r="I328" t="n">
        <v>0</v>
      </c>
      <c r="J328" t="n">
        <v>0</v>
      </c>
      <c r="K328" t="n">
        <v>0</v>
      </c>
      <c r="L328" t="n">
        <v>0</v>
      </c>
      <c r="M328" t="n">
        <v>0</v>
      </c>
      <c r="N328" t="n">
        <v>0</v>
      </c>
      <c r="O328" t="n">
        <v>0</v>
      </c>
      <c r="P328" t="n">
        <v>0</v>
      </c>
      <c r="Q328" t="n">
        <v>0</v>
      </c>
      <c r="R328" s="2" t="inlineStr"/>
    </row>
    <row r="329" ht="15" customHeight="1">
      <c r="A329" t="inlineStr">
        <is>
          <t>A 12559-2025</t>
        </is>
      </c>
      <c r="B329" s="1" t="n">
        <v>45731.47399305556</v>
      </c>
      <c r="C329" s="1" t="n">
        <v>45904</v>
      </c>
      <c r="D329" t="inlineStr">
        <is>
          <t>ÖREBRO LÄN</t>
        </is>
      </c>
      <c r="E329" t="inlineStr">
        <is>
          <t>HÄLLEFORS</t>
        </is>
      </c>
      <c r="G329" t="n">
        <v>2.4</v>
      </c>
      <c r="H329" t="n">
        <v>0</v>
      </c>
      <c r="I329" t="n">
        <v>0</v>
      </c>
      <c r="J329" t="n">
        <v>0</v>
      </c>
      <c r="K329" t="n">
        <v>0</v>
      </c>
      <c r="L329" t="n">
        <v>0</v>
      </c>
      <c r="M329" t="n">
        <v>0</v>
      </c>
      <c r="N329" t="n">
        <v>0</v>
      </c>
      <c r="O329" t="n">
        <v>0</v>
      </c>
      <c r="P329" t="n">
        <v>0</v>
      </c>
      <c r="Q329" t="n">
        <v>0</v>
      </c>
      <c r="R329" s="2" t="inlineStr"/>
    </row>
    <row r="330" ht="15" customHeight="1">
      <c r="A330" t="inlineStr">
        <is>
          <t>A 17045-2025</t>
        </is>
      </c>
      <c r="B330" s="1" t="n">
        <v>45755.59307870371</v>
      </c>
      <c r="C330" s="1" t="n">
        <v>45904</v>
      </c>
      <c r="D330" t="inlineStr">
        <is>
          <t>ÖREBRO LÄN</t>
        </is>
      </c>
      <c r="E330" t="inlineStr">
        <is>
          <t>HÄLLEFORS</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17811-2025</t>
        </is>
      </c>
      <c r="B331" s="1" t="n">
        <v>45758.5594212963</v>
      </c>
      <c r="C331" s="1" t="n">
        <v>45904</v>
      </c>
      <c r="D331" t="inlineStr">
        <is>
          <t>ÖREBRO LÄN</t>
        </is>
      </c>
      <c r="E331" t="inlineStr">
        <is>
          <t>HÄLLEFORS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47190-2022</t>
        </is>
      </c>
      <c r="B332" s="1" t="n">
        <v>44852</v>
      </c>
      <c r="C332" s="1" t="n">
        <v>45904</v>
      </c>
      <c r="D332" t="inlineStr">
        <is>
          <t>ÖREBRO LÄN</t>
        </is>
      </c>
      <c r="E332" t="inlineStr">
        <is>
          <t>HÄLLEFORS</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34478-2022</t>
        </is>
      </c>
      <c r="B333" s="1" t="n">
        <v>44792.64494212963</v>
      </c>
      <c r="C333" s="1" t="n">
        <v>45904</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14669-2025</t>
        </is>
      </c>
      <c r="B334" s="1" t="n">
        <v>45742.55043981481</v>
      </c>
      <c r="C334" s="1" t="n">
        <v>45904</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15013-2024</t>
        </is>
      </c>
      <c r="B335" s="1" t="n">
        <v>45399</v>
      </c>
      <c r="C335" s="1" t="n">
        <v>45904</v>
      </c>
      <c r="D335" t="inlineStr">
        <is>
          <t>ÖREBRO LÄN</t>
        </is>
      </c>
      <c r="E335" t="inlineStr">
        <is>
          <t>HÄLLEFORS</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46980-2023</t>
        </is>
      </c>
      <c r="B336" s="1" t="n">
        <v>45201</v>
      </c>
      <c r="C336" s="1" t="n">
        <v>45904</v>
      </c>
      <c r="D336" t="inlineStr">
        <is>
          <t>ÖREBRO LÄN</t>
        </is>
      </c>
      <c r="E336" t="inlineStr">
        <is>
          <t>HÄLLEFORS</t>
        </is>
      </c>
      <c r="F336" t="inlineStr">
        <is>
          <t>Bergvik skog väst AB</t>
        </is>
      </c>
      <c r="G336" t="n">
        <v>7.5</v>
      </c>
      <c r="H336" t="n">
        <v>0</v>
      </c>
      <c r="I336" t="n">
        <v>0</v>
      </c>
      <c r="J336" t="n">
        <v>0</v>
      </c>
      <c r="K336" t="n">
        <v>0</v>
      </c>
      <c r="L336" t="n">
        <v>0</v>
      </c>
      <c r="M336" t="n">
        <v>0</v>
      </c>
      <c r="N336" t="n">
        <v>0</v>
      </c>
      <c r="O336" t="n">
        <v>0</v>
      </c>
      <c r="P336" t="n">
        <v>0</v>
      </c>
      <c r="Q336" t="n">
        <v>0</v>
      </c>
      <c r="R336" s="2" t="inlineStr"/>
    </row>
    <row r="337" ht="15" customHeight="1">
      <c r="A337" t="inlineStr">
        <is>
          <t>A 11044-2021</t>
        </is>
      </c>
      <c r="B337" s="1" t="n">
        <v>44260</v>
      </c>
      <c r="C337" s="1" t="n">
        <v>45904</v>
      </c>
      <c r="D337" t="inlineStr">
        <is>
          <t>ÖREBRO LÄN</t>
        </is>
      </c>
      <c r="E337" t="inlineStr">
        <is>
          <t>HÄLLEFORS</t>
        </is>
      </c>
      <c r="F337" t="inlineStr">
        <is>
          <t>Kyrkan</t>
        </is>
      </c>
      <c r="G337" t="n">
        <v>3.6</v>
      </c>
      <c r="H337" t="n">
        <v>0</v>
      </c>
      <c r="I337" t="n">
        <v>0</v>
      </c>
      <c r="J337" t="n">
        <v>0</v>
      </c>
      <c r="K337" t="n">
        <v>0</v>
      </c>
      <c r="L337" t="n">
        <v>0</v>
      </c>
      <c r="M337" t="n">
        <v>0</v>
      </c>
      <c r="N337" t="n">
        <v>0</v>
      </c>
      <c r="O337" t="n">
        <v>0</v>
      </c>
      <c r="P337" t="n">
        <v>0</v>
      </c>
      <c r="Q337" t="n">
        <v>0</v>
      </c>
      <c r="R337" s="2" t="inlineStr"/>
    </row>
    <row r="338" ht="15" customHeight="1">
      <c r="A338" t="inlineStr">
        <is>
          <t>A 17333-2025</t>
        </is>
      </c>
      <c r="B338" s="1" t="n">
        <v>45756</v>
      </c>
      <c r="C338" s="1" t="n">
        <v>45904</v>
      </c>
      <c r="D338" t="inlineStr">
        <is>
          <t>ÖREBRO LÄN</t>
        </is>
      </c>
      <c r="E338" t="inlineStr">
        <is>
          <t>HÄLLEFORS</t>
        </is>
      </c>
      <c r="G338" t="n">
        <v>1</v>
      </c>
      <c r="H338" t="n">
        <v>0</v>
      </c>
      <c r="I338" t="n">
        <v>0</v>
      </c>
      <c r="J338" t="n">
        <v>0</v>
      </c>
      <c r="K338" t="n">
        <v>0</v>
      </c>
      <c r="L338" t="n">
        <v>0</v>
      </c>
      <c r="M338" t="n">
        <v>0</v>
      </c>
      <c r="N338" t="n">
        <v>0</v>
      </c>
      <c r="O338" t="n">
        <v>0</v>
      </c>
      <c r="P338" t="n">
        <v>0</v>
      </c>
      <c r="Q338" t="n">
        <v>0</v>
      </c>
      <c r="R338" s="2" t="inlineStr"/>
    </row>
    <row r="339" ht="15" customHeight="1">
      <c r="A339" t="inlineStr">
        <is>
          <t>A 17338-2025</t>
        </is>
      </c>
      <c r="B339" s="1" t="n">
        <v>45756</v>
      </c>
      <c r="C339" s="1" t="n">
        <v>45904</v>
      </c>
      <c r="D339" t="inlineStr">
        <is>
          <t>ÖREBRO LÄN</t>
        </is>
      </c>
      <c r="E339" t="inlineStr">
        <is>
          <t>HÄLLEFORS</t>
        </is>
      </c>
      <c r="G339" t="n">
        <v>2.5</v>
      </c>
      <c r="H339" t="n">
        <v>0</v>
      </c>
      <c r="I339" t="n">
        <v>0</v>
      </c>
      <c r="J339" t="n">
        <v>0</v>
      </c>
      <c r="K339" t="n">
        <v>0</v>
      </c>
      <c r="L339" t="n">
        <v>0</v>
      </c>
      <c r="M339" t="n">
        <v>0</v>
      </c>
      <c r="N339" t="n">
        <v>0</v>
      </c>
      <c r="O339" t="n">
        <v>0</v>
      </c>
      <c r="P339" t="n">
        <v>0</v>
      </c>
      <c r="Q339" t="n">
        <v>0</v>
      </c>
      <c r="R339" s="2" t="inlineStr"/>
    </row>
    <row r="340" ht="15" customHeight="1">
      <c r="A340" t="inlineStr">
        <is>
          <t>A 53892-2023</t>
        </is>
      </c>
      <c r="B340" s="1" t="n">
        <v>45231</v>
      </c>
      <c r="C340" s="1" t="n">
        <v>45904</v>
      </c>
      <c r="D340" t="inlineStr">
        <is>
          <t>ÖREBRO LÄN</t>
        </is>
      </c>
      <c r="E340" t="inlineStr">
        <is>
          <t>HÄLLEFORS</t>
        </is>
      </c>
      <c r="G340" t="n">
        <v>2.3</v>
      </c>
      <c r="H340" t="n">
        <v>0</v>
      </c>
      <c r="I340" t="n">
        <v>0</v>
      </c>
      <c r="J340" t="n">
        <v>0</v>
      </c>
      <c r="K340" t="n">
        <v>0</v>
      </c>
      <c r="L340" t="n">
        <v>0</v>
      </c>
      <c r="M340" t="n">
        <v>0</v>
      </c>
      <c r="N340" t="n">
        <v>0</v>
      </c>
      <c r="O340" t="n">
        <v>0</v>
      </c>
      <c r="P340" t="n">
        <v>0</v>
      </c>
      <c r="Q340" t="n">
        <v>0</v>
      </c>
      <c r="R340" s="2" t="inlineStr"/>
    </row>
    <row r="341" ht="15" customHeight="1">
      <c r="A341" t="inlineStr">
        <is>
          <t>A 35183-2023</t>
        </is>
      </c>
      <c r="B341" s="1" t="n">
        <v>45145.59578703704</v>
      </c>
      <c r="C341" s="1" t="n">
        <v>45904</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7774-2022</t>
        </is>
      </c>
      <c r="B342" s="1" t="n">
        <v>44608.45725694444</v>
      </c>
      <c r="C342" s="1" t="n">
        <v>45904</v>
      </c>
      <c r="D342" t="inlineStr">
        <is>
          <t>ÖREBRO LÄN</t>
        </is>
      </c>
      <c r="E342" t="inlineStr">
        <is>
          <t>HÄLLEFORS</t>
        </is>
      </c>
      <c r="G342" t="n">
        <v>0.9</v>
      </c>
      <c r="H342" t="n">
        <v>0</v>
      </c>
      <c r="I342" t="n">
        <v>0</v>
      </c>
      <c r="J342" t="n">
        <v>0</v>
      </c>
      <c r="K342" t="n">
        <v>0</v>
      </c>
      <c r="L342" t="n">
        <v>0</v>
      </c>
      <c r="M342" t="n">
        <v>0</v>
      </c>
      <c r="N342" t="n">
        <v>0</v>
      </c>
      <c r="O342" t="n">
        <v>0</v>
      </c>
      <c r="P342" t="n">
        <v>0</v>
      </c>
      <c r="Q342" t="n">
        <v>0</v>
      </c>
      <c r="R342" s="2" t="inlineStr"/>
    </row>
    <row r="343" ht="15" customHeight="1">
      <c r="A343" t="inlineStr">
        <is>
          <t>A 1019-2025</t>
        </is>
      </c>
      <c r="B343" s="1" t="n">
        <v>45666.49216435185</v>
      </c>
      <c r="C343" s="1" t="n">
        <v>45904</v>
      </c>
      <c r="D343" t="inlineStr">
        <is>
          <t>ÖREBRO LÄN</t>
        </is>
      </c>
      <c r="E343" t="inlineStr">
        <is>
          <t>HÄLLEFORS</t>
        </is>
      </c>
      <c r="G343" t="n">
        <v>0.4</v>
      </c>
      <c r="H343" t="n">
        <v>0</v>
      </c>
      <c r="I343" t="n">
        <v>0</v>
      </c>
      <c r="J343" t="n">
        <v>0</v>
      </c>
      <c r="K343" t="n">
        <v>0</v>
      </c>
      <c r="L343" t="n">
        <v>0</v>
      </c>
      <c r="M343" t="n">
        <v>0</v>
      </c>
      <c r="N343" t="n">
        <v>0</v>
      </c>
      <c r="O343" t="n">
        <v>0</v>
      </c>
      <c r="P343" t="n">
        <v>0</v>
      </c>
      <c r="Q343" t="n">
        <v>0</v>
      </c>
      <c r="R343" s="2" t="inlineStr"/>
    </row>
    <row r="344" ht="15" customHeight="1">
      <c r="A344" t="inlineStr">
        <is>
          <t>A 55747-2024</t>
        </is>
      </c>
      <c r="B344" s="1" t="n">
        <v>45623.32141203704</v>
      </c>
      <c r="C344" s="1" t="n">
        <v>45904</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39171-2024</t>
        </is>
      </c>
      <c r="B345" s="1" t="n">
        <v>45548</v>
      </c>
      <c r="C345" s="1" t="n">
        <v>45904</v>
      </c>
      <c r="D345" t="inlineStr">
        <is>
          <t>ÖREBRO LÄN</t>
        </is>
      </c>
      <c r="E345" t="inlineStr">
        <is>
          <t>HÄLLEFORS</t>
        </is>
      </c>
      <c r="G345" t="n">
        <v>3.8</v>
      </c>
      <c r="H345" t="n">
        <v>0</v>
      </c>
      <c r="I345" t="n">
        <v>0</v>
      </c>
      <c r="J345" t="n">
        <v>0</v>
      </c>
      <c r="K345" t="n">
        <v>0</v>
      </c>
      <c r="L345" t="n">
        <v>0</v>
      </c>
      <c r="M345" t="n">
        <v>0</v>
      </c>
      <c r="N345" t="n">
        <v>0</v>
      </c>
      <c r="O345" t="n">
        <v>0</v>
      </c>
      <c r="P345" t="n">
        <v>0</v>
      </c>
      <c r="Q345" t="n">
        <v>0</v>
      </c>
      <c r="R345" s="2" t="inlineStr"/>
    </row>
    <row r="346" ht="15" customHeight="1">
      <c r="A346" t="inlineStr">
        <is>
          <t>A 55397-2023</t>
        </is>
      </c>
      <c r="B346" s="1" t="n">
        <v>45238</v>
      </c>
      <c r="C346" s="1" t="n">
        <v>45904</v>
      </c>
      <c r="D346" t="inlineStr">
        <is>
          <t>ÖREBRO LÄN</t>
        </is>
      </c>
      <c r="E346" t="inlineStr">
        <is>
          <t>HÄLLEFORS</t>
        </is>
      </c>
      <c r="G346" t="n">
        <v>1.3</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45904</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43886-2024</t>
        </is>
      </c>
      <c r="B348" s="1" t="n">
        <v>45572.40844907407</v>
      </c>
      <c r="C348" s="1" t="n">
        <v>45904</v>
      </c>
      <c r="D348" t="inlineStr">
        <is>
          <t>ÖREBRO LÄN</t>
        </is>
      </c>
      <c r="E348" t="inlineStr">
        <is>
          <t>HÄLLEFORS</t>
        </is>
      </c>
      <c r="F348" t="inlineStr">
        <is>
          <t>Bergvik skog väst AB</t>
        </is>
      </c>
      <c r="G348" t="n">
        <v>1.7</v>
      </c>
      <c r="H348" t="n">
        <v>0</v>
      </c>
      <c r="I348" t="n">
        <v>0</v>
      </c>
      <c r="J348" t="n">
        <v>0</v>
      </c>
      <c r="K348" t="n">
        <v>0</v>
      </c>
      <c r="L348" t="n">
        <v>0</v>
      </c>
      <c r="M348" t="n">
        <v>0</v>
      </c>
      <c r="N348" t="n">
        <v>0</v>
      </c>
      <c r="O348" t="n">
        <v>0</v>
      </c>
      <c r="P348" t="n">
        <v>0</v>
      </c>
      <c r="Q348" t="n">
        <v>0</v>
      </c>
      <c r="R348" s="2" t="inlineStr"/>
    </row>
    <row r="349" ht="15" customHeight="1">
      <c r="A349" t="inlineStr">
        <is>
          <t>A 17050-2025</t>
        </is>
      </c>
      <c r="B349" s="1" t="n">
        <v>45755.5997337963</v>
      </c>
      <c r="C349" s="1" t="n">
        <v>45904</v>
      </c>
      <c r="D349" t="inlineStr">
        <is>
          <t>ÖREBRO LÄN</t>
        </is>
      </c>
      <c r="E349" t="inlineStr">
        <is>
          <t>HÄLLEFORS</t>
        </is>
      </c>
      <c r="F349" t="inlineStr">
        <is>
          <t>Bergvik skog väst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60523-2024</t>
        </is>
      </c>
      <c r="B350" s="1" t="n">
        <v>45643.69060185185</v>
      </c>
      <c r="C350" s="1" t="n">
        <v>45904</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40530-2022</t>
        </is>
      </c>
      <c r="B351" s="1" t="n">
        <v>44823</v>
      </c>
      <c r="C351" s="1" t="n">
        <v>45904</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16169-2025</t>
        </is>
      </c>
      <c r="B352" s="1" t="n">
        <v>45750</v>
      </c>
      <c r="C352" s="1" t="n">
        <v>45904</v>
      </c>
      <c r="D352" t="inlineStr">
        <is>
          <t>ÖREBRO LÄN</t>
        </is>
      </c>
      <c r="E352" t="inlineStr">
        <is>
          <t>HÄLLEFORS</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9536-2025</t>
        </is>
      </c>
      <c r="B353" s="1" t="n">
        <v>45715.57746527778</v>
      </c>
      <c r="C353" s="1" t="n">
        <v>45904</v>
      </c>
      <c r="D353" t="inlineStr">
        <is>
          <t>ÖREBRO LÄN</t>
        </is>
      </c>
      <c r="E353" t="inlineStr">
        <is>
          <t>HÄLLEFORS</t>
        </is>
      </c>
      <c r="G353" t="n">
        <v>1.5</v>
      </c>
      <c r="H353" t="n">
        <v>0</v>
      </c>
      <c r="I353" t="n">
        <v>0</v>
      </c>
      <c r="J353" t="n">
        <v>0</v>
      </c>
      <c r="K353" t="n">
        <v>0</v>
      </c>
      <c r="L353" t="n">
        <v>0</v>
      </c>
      <c r="M353" t="n">
        <v>0</v>
      </c>
      <c r="N353" t="n">
        <v>0</v>
      </c>
      <c r="O353" t="n">
        <v>0</v>
      </c>
      <c r="P353" t="n">
        <v>0</v>
      </c>
      <c r="Q353" t="n">
        <v>0</v>
      </c>
      <c r="R353" s="2" t="inlineStr"/>
    </row>
    <row r="354" ht="15" customHeight="1">
      <c r="A354" t="inlineStr">
        <is>
          <t>A 17063-2025</t>
        </is>
      </c>
      <c r="B354" s="1" t="n">
        <v>45755.61185185185</v>
      </c>
      <c r="C354" s="1" t="n">
        <v>45904</v>
      </c>
      <c r="D354" t="inlineStr">
        <is>
          <t>ÖREBRO LÄN</t>
        </is>
      </c>
      <c r="E354" t="inlineStr">
        <is>
          <t>HÄLLEFORS</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45904</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17810-2025</t>
        </is>
      </c>
      <c r="B356" s="1" t="n">
        <v>45758.55883101852</v>
      </c>
      <c r="C356" s="1" t="n">
        <v>45904</v>
      </c>
      <c r="D356" t="inlineStr">
        <is>
          <t>ÖREBRO LÄN</t>
        </is>
      </c>
      <c r="E356" t="inlineStr">
        <is>
          <t>HÄLLEFORS</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18664-2025</t>
        </is>
      </c>
      <c r="B357" s="1" t="n">
        <v>45763.58991898148</v>
      </c>
      <c r="C357" s="1" t="n">
        <v>45904</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46599-2024</t>
        </is>
      </c>
      <c r="B358" s="1" t="n">
        <v>45582</v>
      </c>
      <c r="C358" s="1" t="n">
        <v>45904</v>
      </c>
      <c r="D358" t="inlineStr">
        <is>
          <t>ÖREBRO LÄN</t>
        </is>
      </c>
      <c r="E358" t="inlineStr">
        <is>
          <t>HÄLLEFORS</t>
        </is>
      </c>
      <c r="F358" t="inlineStr">
        <is>
          <t>Sveaskog</t>
        </is>
      </c>
      <c r="G358" t="n">
        <v>10.1</v>
      </c>
      <c r="H358" t="n">
        <v>0</v>
      </c>
      <c r="I358" t="n">
        <v>0</v>
      </c>
      <c r="J358" t="n">
        <v>0</v>
      </c>
      <c r="K358" t="n">
        <v>0</v>
      </c>
      <c r="L358" t="n">
        <v>0</v>
      </c>
      <c r="M358" t="n">
        <v>0</v>
      </c>
      <c r="N358" t="n">
        <v>0</v>
      </c>
      <c r="O358" t="n">
        <v>0</v>
      </c>
      <c r="P358" t="n">
        <v>0</v>
      </c>
      <c r="Q358" t="n">
        <v>0</v>
      </c>
      <c r="R358" s="2" t="inlineStr"/>
    </row>
    <row r="359" ht="15" customHeight="1">
      <c r="A359" t="inlineStr">
        <is>
          <t>A 623-2023</t>
        </is>
      </c>
      <c r="B359" s="1" t="n">
        <v>44930</v>
      </c>
      <c r="C359" s="1" t="n">
        <v>45904</v>
      </c>
      <c r="D359" t="inlineStr">
        <is>
          <t>ÖREBRO LÄN</t>
        </is>
      </c>
      <c r="E359" t="inlineStr">
        <is>
          <t>HÄLLEFORS</t>
        </is>
      </c>
      <c r="G359" t="n">
        <v>1.4</v>
      </c>
      <c r="H359" t="n">
        <v>0</v>
      </c>
      <c r="I359" t="n">
        <v>0</v>
      </c>
      <c r="J359" t="n">
        <v>0</v>
      </c>
      <c r="K359" t="n">
        <v>0</v>
      </c>
      <c r="L359" t="n">
        <v>0</v>
      </c>
      <c r="M359" t="n">
        <v>0</v>
      </c>
      <c r="N359" t="n">
        <v>0</v>
      </c>
      <c r="O359" t="n">
        <v>0</v>
      </c>
      <c r="P359" t="n">
        <v>0</v>
      </c>
      <c r="Q359" t="n">
        <v>0</v>
      </c>
      <c r="R359" s="2" t="inlineStr"/>
    </row>
    <row r="360" ht="15" customHeight="1">
      <c r="A360" t="inlineStr">
        <is>
          <t>A 5263-2025</t>
        </is>
      </c>
      <c r="B360" s="1" t="n">
        <v>45692.37509259259</v>
      </c>
      <c r="C360" s="1" t="n">
        <v>45904</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5268-2025</t>
        </is>
      </c>
      <c r="B361" s="1" t="n">
        <v>45692.40298611111</v>
      </c>
      <c r="C361" s="1" t="n">
        <v>45904</v>
      </c>
      <c r="D361" t="inlineStr">
        <is>
          <t>ÖREBRO LÄN</t>
        </is>
      </c>
      <c r="E361" t="inlineStr">
        <is>
          <t>HÄLLEFORS</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17120-2025</t>
        </is>
      </c>
      <c r="B362" s="1" t="n">
        <v>45755.68921296296</v>
      </c>
      <c r="C362" s="1" t="n">
        <v>45904</v>
      </c>
      <c r="D362" t="inlineStr">
        <is>
          <t>ÖREBRO LÄN</t>
        </is>
      </c>
      <c r="E362" t="inlineStr">
        <is>
          <t>HÄLLEFORS</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18657-2025</t>
        </is>
      </c>
      <c r="B363" s="1" t="n">
        <v>45763.57651620371</v>
      </c>
      <c r="C363" s="1" t="n">
        <v>45904</v>
      </c>
      <c r="D363" t="inlineStr">
        <is>
          <t>ÖREBRO LÄN</t>
        </is>
      </c>
      <c r="E363" t="inlineStr">
        <is>
          <t>HÄLLEFORS</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60303-2024</t>
        </is>
      </c>
      <c r="B364" s="1" t="n">
        <v>45643</v>
      </c>
      <c r="C364" s="1" t="n">
        <v>45904</v>
      </c>
      <c r="D364" t="inlineStr">
        <is>
          <t>ÖREBRO LÄN</t>
        </is>
      </c>
      <c r="E364" t="inlineStr">
        <is>
          <t>HÄLLEFORS</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8503-2022</t>
        </is>
      </c>
      <c r="B365" s="1" t="n">
        <v>44613</v>
      </c>
      <c r="C365" s="1" t="n">
        <v>45904</v>
      </c>
      <c r="D365" t="inlineStr">
        <is>
          <t>ÖREBRO LÄN</t>
        </is>
      </c>
      <c r="E365" t="inlineStr">
        <is>
          <t>HÄLLEFORS</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42920-2024</t>
        </is>
      </c>
      <c r="B366" s="1" t="n">
        <v>45567.29131944444</v>
      </c>
      <c r="C366" s="1" t="n">
        <v>45904</v>
      </c>
      <c r="D366" t="inlineStr">
        <is>
          <t>ÖREBRO LÄN</t>
        </is>
      </c>
      <c r="E366" t="inlineStr">
        <is>
          <t>HÄLLEFORS</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17041-2025</t>
        </is>
      </c>
      <c r="B367" s="1" t="n">
        <v>45755.58488425926</v>
      </c>
      <c r="C367" s="1" t="n">
        <v>45904</v>
      </c>
      <c r="D367" t="inlineStr">
        <is>
          <t>ÖREBRO LÄN</t>
        </is>
      </c>
      <c r="E367" t="inlineStr">
        <is>
          <t>HÄLLEFORS</t>
        </is>
      </c>
      <c r="F367" t="inlineStr">
        <is>
          <t>Bergvik skog väst AB</t>
        </is>
      </c>
      <c r="G367" t="n">
        <v>3.7</v>
      </c>
      <c r="H367" t="n">
        <v>0</v>
      </c>
      <c r="I367" t="n">
        <v>0</v>
      </c>
      <c r="J367" t="n">
        <v>0</v>
      </c>
      <c r="K367" t="n">
        <v>0</v>
      </c>
      <c r="L367" t="n">
        <v>0</v>
      </c>
      <c r="M367" t="n">
        <v>0</v>
      </c>
      <c r="N367" t="n">
        <v>0</v>
      </c>
      <c r="O367" t="n">
        <v>0</v>
      </c>
      <c r="P367" t="n">
        <v>0</v>
      </c>
      <c r="Q367" t="n">
        <v>0</v>
      </c>
      <c r="R367" s="2" t="inlineStr"/>
    </row>
    <row r="368" ht="15" customHeight="1">
      <c r="A368" t="inlineStr">
        <is>
          <t>A 49215-2022</t>
        </is>
      </c>
      <c r="B368" s="1" t="n">
        <v>44861</v>
      </c>
      <c r="C368" s="1" t="n">
        <v>45904</v>
      </c>
      <c r="D368" t="inlineStr">
        <is>
          <t>ÖREBRO LÄN</t>
        </is>
      </c>
      <c r="E368" t="inlineStr">
        <is>
          <t>HÄLLEFORS</t>
        </is>
      </c>
      <c r="F368" t="inlineStr">
        <is>
          <t>Bergvik skog väst AB</t>
        </is>
      </c>
      <c r="G368" t="n">
        <v>9</v>
      </c>
      <c r="H368" t="n">
        <v>0</v>
      </c>
      <c r="I368" t="n">
        <v>0</v>
      </c>
      <c r="J368" t="n">
        <v>0</v>
      </c>
      <c r="K368" t="n">
        <v>0</v>
      </c>
      <c r="L368" t="n">
        <v>0</v>
      </c>
      <c r="M368" t="n">
        <v>0</v>
      </c>
      <c r="N368" t="n">
        <v>0</v>
      </c>
      <c r="O368" t="n">
        <v>0</v>
      </c>
      <c r="P368" t="n">
        <v>0</v>
      </c>
      <c r="Q368" t="n">
        <v>0</v>
      </c>
      <c r="R368" s="2" t="inlineStr"/>
    </row>
    <row r="369" ht="15" customHeight="1">
      <c r="A369" t="inlineStr">
        <is>
          <t>A 8513-2022</t>
        </is>
      </c>
      <c r="B369" s="1" t="n">
        <v>44613</v>
      </c>
      <c r="C369" s="1" t="n">
        <v>45904</v>
      </c>
      <c r="D369" t="inlineStr">
        <is>
          <t>ÖREBRO LÄN</t>
        </is>
      </c>
      <c r="E369" t="inlineStr">
        <is>
          <t>HÄLLEFORS</t>
        </is>
      </c>
      <c r="F369" t="inlineStr">
        <is>
          <t>Bergvik skog väst AB</t>
        </is>
      </c>
      <c r="G369" t="n">
        <v>3.3</v>
      </c>
      <c r="H369" t="n">
        <v>0</v>
      </c>
      <c r="I369" t="n">
        <v>0</v>
      </c>
      <c r="J369" t="n">
        <v>0</v>
      </c>
      <c r="K369" t="n">
        <v>0</v>
      </c>
      <c r="L369" t="n">
        <v>0</v>
      </c>
      <c r="M369" t="n">
        <v>0</v>
      </c>
      <c r="N369" t="n">
        <v>0</v>
      </c>
      <c r="O369" t="n">
        <v>0</v>
      </c>
      <c r="P369" t="n">
        <v>0</v>
      </c>
      <c r="Q369" t="n">
        <v>0</v>
      </c>
      <c r="R369" s="2" t="inlineStr"/>
    </row>
    <row r="370" ht="15" customHeight="1">
      <c r="A370" t="inlineStr">
        <is>
          <t>A 17098-2025</t>
        </is>
      </c>
      <c r="B370" s="1" t="n">
        <v>45755.65709490741</v>
      </c>
      <c r="C370" s="1" t="n">
        <v>45904</v>
      </c>
      <c r="D370" t="inlineStr">
        <is>
          <t>ÖREBRO LÄN</t>
        </is>
      </c>
      <c r="E370" t="inlineStr">
        <is>
          <t>HÄLLEFORS</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11467-2024</t>
        </is>
      </c>
      <c r="B371" s="1" t="n">
        <v>45372.59753472222</v>
      </c>
      <c r="C371" s="1" t="n">
        <v>45904</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38916-2024</t>
        </is>
      </c>
      <c r="B372" s="1" t="n">
        <v>45547.83412037037</v>
      </c>
      <c r="C372" s="1" t="n">
        <v>45904</v>
      </c>
      <c r="D372" t="inlineStr">
        <is>
          <t>ÖREBRO LÄN</t>
        </is>
      </c>
      <c r="E372" t="inlineStr">
        <is>
          <t>HÄLLEFORS</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17661-2025</t>
        </is>
      </c>
      <c r="B373" s="1" t="n">
        <v>45758.35846064815</v>
      </c>
      <c r="C373" s="1" t="n">
        <v>45904</v>
      </c>
      <c r="D373" t="inlineStr">
        <is>
          <t>ÖREBRO LÄN</t>
        </is>
      </c>
      <c r="E373" t="inlineStr">
        <is>
          <t>HÄLLEFORS</t>
        </is>
      </c>
      <c r="G373" t="n">
        <v>2.1</v>
      </c>
      <c r="H373" t="n">
        <v>0</v>
      </c>
      <c r="I373" t="n">
        <v>0</v>
      </c>
      <c r="J373" t="n">
        <v>0</v>
      </c>
      <c r="K373" t="n">
        <v>0</v>
      </c>
      <c r="L373" t="n">
        <v>0</v>
      </c>
      <c r="M373" t="n">
        <v>0</v>
      </c>
      <c r="N373" t="n">
        <v>0</v>
      </c>
      <c r="O373" t="n">
        <v>0</v>
      </c>
      <c r="P373" t="n">
        <v>0</v>
      </c>
      <c r="Q373" t="n">
        <v>0</v>
      </c>
      <c r="R373" s="2" t="inlineStr"/>
    </row>
    <row r="374" ht="15" customHeight="1">
      <c r="A374" t="inlineStr">
        <is>
          <t>A 59957-2024</t>
        </is>
      </c>
      <c r="B374" s="1" t="n">
        <v>45642.35061342592</v>
      </c>
      <c r="C374" s="1" t="n">
        <v>45904</v>
      </c>
      <c r="D374" t="inlineStr">
        <is>
          <t>ÖREBRO LÄN</t>
        </is>
      </c>
      <c r="E374" t="inlineStr">
        <is>
          <t>HÄLLEFORS</t>
        </is>
      </c>
      <c r="F374" t="inlineStr">
        <is>
          <t>Bergvik skog väst AB</t>
        </is>
      </c>
      <c r="G374" t="n">
        <v>4.3</v>
      </c>
      <c r="H374" t="n">
        <v>0</v>
      </c>
      <c r="I374" t="n">
        <v>0</v>
      </c>
      <c r="J374" t="n">
        <v>0</v>
      </c>
      <c r="K374" t="n">
        <v>0</v>
      </c>
      <c r="L374" t="n">
        <v>0</v>
      </c>
      <c r="M374" t="n">
        <v>0</v>
      </c>
      <c r="N374" t="n">
        <v>0</v>
      </c>
      <c r="O374" t="n">
        <v>0</v>
      </c>
      <c r="P374" t="n">
        <v>0</v>
      </c>
      <c r="Q374" t="n">
        <v>0</v>
      </c>
      <c r="R374" s="2" t="inlineStr"/>
    </row>
    <row r="375" ht="15" customHeight="1">
      <c r="A375" t="inlineStr">
        <is>
          <t>A 59959-2024</t>
        </is>
      </c>
      <c r="B375" s="1" t="n">
        <v>45642.35097222222</v>
      </c>
      <c r="C375" s="1" t="n">
        <v>45904</v>
      </c>
      <c r="D375" t="inlineStr">
        <is>
          <t>ÖREBRO LÄN</t>
        </is>
      </c>
      <c r="E375" t="inlineStr">
        <is>
          <t>HÄLLEFORS</t>
        </is>
      </c>
      <c r="F375" t="inlineStr">
        <is>
          <t>Bergvik skog väst AB</t>
        </is>
      </c>
      <c r="G375" t="n">
        <v>4.9</v>
      </c>
      <c r="H375" t="n">
        <v>0</v>
      </c>
      <c r="I375" t="n">
        <v>0</v>
      </c>
      <c r="J375" t="n">
        <v>0</v>
      </c>
      <c r="K375" t="n">
        <v>0</v>
      </c>
      <c r="L375" t="n">
        <v>0</v>
      </c>
      <c r="M375" t="n">
        <v>0</v>
      </c>
      <c r="N375" t="n">
        <v>0</v>
      </c>
      <c r="O375" t="n">
        <v>0</v>
      </c>
      <c r="P375" t="n">
        <v>0</v>
      </c>
      <c r="Q375" t="n">
        <v>0</v>
      </c>
      <c r="R375" s="2" t="inlineStr"/>
    </row>
    <row r="376" ht="15" customHeight="1">
      <c r="A376" t="inlineStr">
        <is>
          <t>A 59557-2022</t>
        </is>
      </c>
      <c r="B376" s="1" t="n">
        <v>44907.59805555556</v>
      </c>
      <c r="C376" s="1" t="n">
        <v>45904</v>
      </c>
      <c r="D376" t="inlineStr">
        <is>
          <t>ÖREBRO LÄN</t>
        </is>
      </c>
      <c r="E376" t="inlineStr">
        <is>
          <t>HÄLLEFORS</t>
        </is>
      </c>
      <c r="F376" t="inlineStr">
        <is>
          <t>Bergvik skog väst AB</t>
        </is>
      </c>
      <c r="G376" t="n">
        <v>11.2</v>
      </c>
      <c r="H376" t="n">
        <v>0</v>
      </c>
      <c r="I376" t="n">
        <v>0</v>
      </c>
      <c r="J376" t="n">
        <v>0</v>
      </c>
      <c r="K376" t="n">
        <v>0</v>
      </c>
      <c r="L376" t="n">
        <v>0</v>
      </c>
      <c r="M376" t="n">
        <v>0</v>
      </c>
      <c r="N376" t="n">
        <v>0</v>
      </c>
      <c r="O376" t="n">
        <v>0</v>
      </c>
      <c r="P376" t="n">
        <v>0</v>
      </c>
      <c r="Q376" t="n">
        <v>0</v>
      </c>
      <c r="R376" s="2" t="inlineStr"/>
    </row>
    <row r="377" ht="15" customHeight="1">
      <c r="A377" t="inlineStr">
        <is>
          <t>A 18582-2025</t>
        </is>
      </c>
      <c r="B377" s="1" t="n">
        <v>45763</v>
      </c>
      <c r="C377" s="1" t="n">
        <v>45904</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30592-2024</t>
        </is>
      </c>
      <c r="B378" s="1" t="n">
        <v>45493.31666666667</v>
      </c>
      <c r="C378" s="1" t="n">
        <v>45904</v>
      </c>
      <c r="D378" t="inlineStr">
        <is>
          <t>ÖREBRO LÄN</t>
        </is>
      </c>
      <c r="E378" t="inlineStr">
        <is>
          <t>HÄLLEFORS</t>
        </is>
      </c>
      <c r="G378" t="n">
        <v>7.1</v>
      </c>
      <c r="H378" t="n">
        <v>0</v>
      </c>
      <c r="I378" t="n">
        <v>0</v>
      </c>
      <c r="J378" t="n">
        <v>0</v>
      </c>
      <c r="K378" t="n">
        <v>0</v>
      </c>
      <c r="L378" t="n">
        <v>0</v>
      </c>
      <c r="M378" t="n">
        <v>0</v>
      </c>
      <c r="N378" t="n">
        <v>0</v>
      </c>
      <c r="O378" t="n">
        <v>0</v>
      </c>
      <c r="P378" t="n">
        <v>0</v>
      </c>
      <c r="Q378" t="n">
        <v>0</v>
      </c>
      <c r="R378" s="2" t="inlineStr"/>
    </row>
    <row r="379">
      <c r="A379" t="inlineStr">
        <is>
          <t>A 46987-2023</t>
        </is>
      </c>
      <c r="B379" s="1" t="n">
        <v>45201</v>
      </c>
      <c r="C379" s="1" t="n">
        <v>45904</v>
      </c>
      <c r="D379" t="inlineStr">
        <is>
          <t>ÖREBRO LÄN</t>
        </is>
      </c>
      <c r="E379" t="inlineStr">
        <is>
          <t>HÄLLEFORS</t>
        </is>
      </c>
      <c r="F379" t="inlineStr">
        <is>
          <t>Bergvik skog väst AB</t>
        </is>
      </c>
      <c r="G379" t="n">
        <v>3.4</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2025-09-04T17:45:13Z</dcterms:created>
  <dcterms:modified xmlns:dcterms="http://purl.org/dc/terms/" xmlns:xsi="http://www.w3.org/2001/XMLSchema-instance" xsi:type="dcterms:W3CDTF">2025-09-04T17:45:13Z</dcterms:modified>
</cp:coreProperties>
</file>