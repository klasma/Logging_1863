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45900</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45900</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45900</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45900</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41839-2020</t>
        </is>
      </c>
      <c r="B8" s="1" t="n">
        <v>44074</v>
      </c>
      <c r="C8" s="1" t="n">
        <v>45900</v>
      </c>
      <c r="D8" t="inlineStr">
        <is>
          <t>ÖREBRO LÄN</t>
        </is>
      </c>
      <c r="E8" t="inlineStr">
        <is>
          <t>HÄLLEFORS</t>
        </is>
      </c>
      <c r="F8" t="inlineStr">
        <is>
          <t>Bergvik skog väst AB</t>
        </is>
      </c>
      <c r="G8" t="n">
        <v>0.9</v>
      </c>
      <c r="H8" t="n">
        <v>3</v>
      </c>
      <c r="I8" t="n">
        <v>1</v>
      </c>
      <c r="J8" t="n">
        <v>0</v>
      </c>
      <c r="K8" t="n">
        <v>0</v>
      </c>
      <c r="L8" t="n">
        <v>0</v>
      </c>
      <c r="M8" t="n">
        <v>0</v>
      </c>
      <c r="N8" t="n">
        <v>0</v>
      </c>
      <c r="O8" t="n">
        <v>0</v>
      </c>
      <c r="P8" t="n">
        <v>0</v>
      </c>
      <c r="Q8" t="n">
        <v>3</v>
      </c>
      <c r="R8" s="2" t="inlineStr">
        <is>
          <t>Tvåblad
Brudsporre
Nattviol</t>
        </is>
      </c>
      <c r="S8">
        <f>HYPERLINK("https://klasma.github.io/Logging_1863/artfynd/A 41839-2020 artfynd.xlsx", "A 41839-2020")</f>
        <v/>
      </c>
      <c r="T8">
        <f>HYPERLINK("https://klasma.github.io/Logging_1863/kartor/A 41839-2020 karta.png", "A 41839-2020")</f>
        <v/>
      </c>
      <c r="V8">
        <f>HYPERLINK("https://klasma.github.io/Logging_1863/klagomål/A 41839-2020 FSC-klagomål.docx", "A 41839-2020")</f>
        <v/>
      </c>
      <c r="W8">
        <f>HYPERLINK("https://klasma.github.io/Logging_1863/klagomålsmail/A 41839-2020 FSC-klagomål mail.docx", "A 41839-2020")</f>
        <v/>
      </c>
      <c r="X8">
        <f>HYPERLINK("https://klasma.github.io/Logging_1863/tillsyn/A 41839-2020 tillsynsbegäran.docx", "A 41839-2020")</f>
        <v/>
      </c>
      <c r="Y8">
        <f>HYPERLINK("https://klasma.github.io/Logging_1863/tillsynsmail/A 41839-2020 tillsynsbegäran mail.docx", "A 41839-2020")</f>
        <v/>
      </c>
    </row>
    <row r="9" ht="15" customHeight="1">
      <c r="A9" t="inlineStr">
        <is>
          <t>A 20238-2021</t>
        </is>
      </c>
      <c r="B9" s="1" t="n">
        <v>44314</v>
      </c>
      <c r="C9" s="1" t="n">
        <v>45900</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45900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45900</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45900</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45900</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45900</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45900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45900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45900</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45900</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45900</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45900</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45900</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45900</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45900</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45900</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45900</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45900</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45900</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45900</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45900</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1585-2025</t>
        </is>
      </c>
      <c r="B30" s="1" t="n">
        <v>45670.57363425926</v>
      </c>
      <c r="C30" s="1" t="n">
        <v>45900</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41834-2023</t>
        </is>
      </c>
      <c r="B31" s="1" t="n">
        <v>45176</v>
      </c>
      <c r="C31" s="1" t="n">
        <v>45900</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45900</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45900</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45900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44924-2020</t>
        </is>
      </c>
      <c r="B35" s="1" t="n">
        <v>44083</v>
      </c>
      <c r="C35" s="1" t="n">
        <v>45900</v>
      </c>
      <c r="D35" t="inlineStr">
        <is>
          <t>ÖREBRO LÄN</t>
        </is>
      </c>
      <c r="E35" t="inlineStr">
        <is>
          <t>HÄLLEFORS</t>
        </is>
      </c>
      <c r="G35" t="n">
        <v>0.7</v>
      </c>
      <c r="H35" t="n">
        <v>0</v>
      </c>
      <c r="I35" t="n">
        <v>0</v>
      </c>
      <c r="J35" t="n">
        <v>0</v>
      </c>
      <c r="K35" t="n">
        <v>0</v>
      </c>
      <c r="L35" t="n">
        <v>0</v>
      </c>
      <c r="M35" t="n">
        <v>0</v>
      </c>
      <c r="N35" t="n">
        <v>0</v>
      </c>
      <c r="O35" t="n">
        <v>0</v>
      </c>
      <c r="P35" t="n">
        <v>0</v>
      </c>
      <c r="Q35" t="n">
        <v>0</v>
      </c>
      <c r="R35" s="2" t="inlineStr"/>
    </row>
    <row r="36" ht="15" customHeight="1">
      <c r="A36" t="inlineStr">
        <is>
          <t>A 48316-2020</t>
        </is>
      </c>
      <c r="B36" s="1" t="n">
        <v>44102</v>
      </c>
      <c r="C36" s="1" t="n">
        <v>45900</v>
      </c>
      <c r="D36" t="inlineStr">
        <is>
          <t>ÖREBRO LÄN</t>
        </is>
      </c>
      <c r="E36" t="inlineStr">
        <is>
          <t>HÄLLEFORS</t>
        </is>
      </c>
      <c r="F36" t="inlineStr">
        <is>
          <t>Bergvik skog väst AB</t>
        </is>
      </c>
      <c r="G36" t="n">
        <v>2</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45900</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45900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45900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45900</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45900</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45900</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45900</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45900</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45900</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45900</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45900</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45900</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45900</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45900</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45900</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45900</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45900</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45900</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45900</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45900</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45900</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45900</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45900</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45900</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45900</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45900</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45900</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45900</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49882-2020</t>
        </is>
      </c>
      <c r="B65" s="1" t="n">
        <v>44108</v>
      </c>
      <c r="C65" s="1" t="n">
        <v>45900</v>
      </c>
      <c r="D65" t="inlineStr">
        <is>
          <t>ÖREBRO LÄN</t>
        </is>
      </c>
      <c r="E65" t="inlineStr">
        <is>
          <t>HÄLLEFORS</t>
        </is>
      </c>
      <c r="G65" t="n">
        <v>1.7</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45900</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65240-2021</t>
        </is>
      </c>
      <c r="B67" s="1" t="n">
        <v>44515</v>
      </c>
      <c r="C67" s="1" t="n">
        <v>45900</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45900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29669-2022</t>
        </is>
      </c>
      <c r="B69" s="1" t="n">
        <v>44754</v>
      </c>
      <c r="C69" s="1" t="n">
        <v>45900</v>
      </c>
      <c r="D69" t="inlineStr">
        <is>
          <t>ÖREBRO LÄN</t>
        </is>
      </c>
      <c r="E69" t="inlineStr">
        <is>
          <t>HÄLLEFORS</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29665-2022</t>
        </is>
      </c>
      <c r="B70" s="1" t="n">
        <v>44754</v>
      </c>
      <c r="C70" s="1" t="n">
        <v>45900</v>
      </c>
      <c r="D70" t="inlineStr">
        <is>
          <t>ÖREBRO LÄN</t>
        </is>
      </c>
      <c r="E70" t="inlineStr">
        <is>
          <t>HÄLLEFORS</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4548-2022</t>
        </is>
      </c>
      <c r="B71" s="1" t="n">
        <v>44590.84471064815</v>
      </c>
      <c r="C71" s="1" t="n">
        <v>45900</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39183-2022</t>
        </is>
      </c>
      <c r="B72" s="1" t="n">
        <v>44817.51229166667</v>
      </c>
      <c r="C72" s="1" t="n">
        <v>45900</v>
      </c>
      <c r="D72" t="inlineStr">
        <is>
          <t>ÖREBRO LÄN</t>
        </is>
      </c>
      <c r="E72" t="inlineStr">
        <is>
          <t>HÄLLEFORS</t>
        </is>
      </c>
      <c r="G72" t="n">
        <v>1.5</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45900</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47614-2020</t>
        </is>
      </c>
      <c r="B74" s="1" t="n">
        <v>44098</v>
      </c>
      <c r="C74" s="1" t="n">
        <v>45900</v>
      </c>
      <c r="D74" t="inlineStr">
        <is>
          <t>ÖREBRO LÄN</t>
        </is>
      </c>
      <c r="E74" t="inlineStr">
        <is>
          <t>HÄLLEFORS</t>
        </is>
      </c>
      <c r="F74" t="inlineStr">
        <is>
          <t>Bergvik skog väst AB</t>
        </is>
      </c>
      <c r="G74" t="n">
        <v>0.3</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45900</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45900</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45900</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45900</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45900</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48127-2020</t>
        </is>
      </c>
      <c r="B80" s="1" t="n">
        <v>44102</v>
      </c>
      <c r="C80" s="1" t="n">
        <v>45900</v>
      </c>
      <c r="D80" t="inlineStr">
        <is>
          <t>ÖREBRO LÄN</t>
        </is>
      </c>
      <c r="E80" t="inlineStr">
        <is>
          <t>HÄLLEFORS</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47731-2020</t>
        </is>
      </c>
      <c r="B81" s="1" t="n">
        <v>44098</v>
      </c>
      <c r="C81" s="1" t="n">
        <v>45900</v>
      </c>
      <c r="D81" t="inlineStr">
        <is>
          <t>ÖREBRO LÄN</t>
        </is>
      </c>
      <c r="E81" t="inlineStr">
        <is>
          <t>HÄLLEFORS</t>
        </is>
      </c>
      <c r="F81" t="inlineStr">
        <is>
          <t>Bergvik skog väst AB</t>
        </is>
      </c>
      <c r="G81" t="n">
        <v>0.4</v>
      </c>
      <c r="H81" t="n">
        <v>0</v>
      </c>
      <c r="I81" t="n">
        <v>0</v>
      </c>
      <c r="J81" t="n">
        <v>0</v>
      </c>
      <c r="K81" t="n">
        <v>0</v>
      </c>
      <c r="L81" t="n">
        <v>0</v>
      </c>
      <c r="M81" t="n">
        <v>0</v>
      </c>
      <c r="N81" t="n">
        <v>0</v>
      </c>
      <c r="O81" t="n">
        <v>0</v>
      </c>
      <c r="P81" t="n">
        <v>0</v>
      </c>
      <c r="Q81" t="n">
        <v>0</v>
      </c>
      <c r="R81" s="2" t="inlineStr"/>
    </row>
    <row r="82" ht="15" customHeight="1">
      <c r="A82" t="inlineStr">
        <is>
          <t>A 38245-2022</t>
        </is>
      </c>
      <c r="B82" s="1" t="n">
        <v>44812.48020833333</v>
      </c>
      <c r="C82" s="1" t="n">
        <v>45900</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45900</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45900</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66151-2020</t>
        </is>
      </c>
      <c r="B85" s="1" t="n">
        <v>44175</v>
      </c>
      <c r="C85" s="1" t="n">
        <v>45900</v>
      </c>
      <c r="D85" t="inlineStr">
        <is>
          <t>ÖREBRO LÄN</t>
        </is>
      </c>
      <c r="E85" t="inlineStr">
        <is>
          <t>HÄLLEFORS</t>
        </is>
      </c>
      <c r="F85" t="inlineStr">
        <is>
          <t>Bergvik skog väst AB</t>
        </is>
      </c>
      <c r="G85" t="n">
        <v>12.2</v>
      </c>
      <c r="H85" t="n">
        <v>0</v>
      </c>
      <c r="I85" t="n">
        <v>0</v>
      </c>
      <c r="J85" t="n">
        <v>0</v>
      </c>
      <c r="K85" t="n">
        <v>0</v>
      </c>
      <c r="L85" t="n">
        <v>0</v>
      </c>
      <c r="M85" t="n">
        <v>0</v>
      </c>
      <c r="N85" t="n">
        <v>0</v>
      </c>
      <c r="O85" t="n">
        <v>0</v>
      </c>
      <c r="P85" t="n">
        <v>0</v>
      </c>
      <c r="Q85" t="n">
        <v>0</v>
      </c>
      <c r="R85" s="2" t="inlineStr"/>
    </row>
    <row r="86" ht="15" customHeight="1">
      <c r="A86" t="inlineStr">
        <is>
          <t>A 11002-2021</t>
        </is>
      </c>
      <c r="B86" s="1" t="n">
        <v>44260</v>
      </c>
      <c r="C86" s="1" t="n">
        <v>45900</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59294-2020</t>
        </is>
      </c>
      <c r="B87" s="1" t="n">
        <v>44147</v>
      </c>
      <c r="C87" s="1" t="n">
        <v>45900</v>
      </c>
      <c r="D87" t="inlineStr">
        <is>
          <t>ÖREBRO LÄN</t>
        </is>
      </c>
      <c r="E87" t="inlineStr">
        <is>
          <t>HÄLLEFORS</t>
        </is>
      </c>
      <c r="F87" t="inlineStr">
        <is>
          <t>Kyrkan</t>
        </is>
      </c>
      <c r="G87" t="n">
        <v>10.2</v>
      </c>
      <c r="H87" t="n">
        <v>0</v>
      </c>
      <c r="I87" t="n">
        <v>0</v>
      </c>
      <c r="J87" t="n">
        <v>0</v>
      </c>
      <c r="K87" t="n">
        <v>0</v>
      </c>
      <c r="L87" t="n">
        <v>0</v>
      </c>
      <c r="M87" t="n">
        <v>0</v>
      </c>
      <c r="N87" t="n">
        <v>0</v>
      </c>
      <c r="O87" t="n">
        <v>0</v>
      </c>
      <c r="P87" t="n">
        <v>0</v>
      </c>
      <c r="Q87" t="n">
        <v>0</v>
      </c>
      <c r="R87" s="2" t="inlineStr"/>
    </row>
    <row r="88" ht="15" customHeight="1">
      <c r="A88" t="inlineStr">
        <is>
          <t>A 21801-2022</t>
        </is>
      </c>
      <c r="B88" s="1" t="n">
        <v>44708.64967592592</v>
      </c>
      <c r="C88" s="1" t="n">
        <v>45900</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45900</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67971-2021</t>
        </is>
      </c>
      <c r="B90" s="1" t="n">
        <v>44525.66660879629</v>
      </c>
      <c r="C90" s="1" t="n">
        <v>45900</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10083-2021</t>
        </is>
      </c>
      <c r="B91" s="1" t="n">
        <v>44256</v>
      </c>
      <c r="C91" s="1" t="n">
        <v>45900</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30532-2022</t>
        </is>
      </c>
      <c r="B92" s="1" t="n">
        <v>44762</v>
      </c>
      <c r="C92" s="1" t="n">
        <v>45900</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67780-2021</t>
        </is>
      </c>
      <c r="B93" s="1" t="n">
        <v>44525</v>
      </c>
      <c r="C93" s="1" t="n">
        <v>45900</v>
      </c>
      <c r="D93" t="inlineStr">
        <is>
          <t>ÖREBRO LÄN</t>
        </is>
      </c>
      <c r="E93" t="inlineStr">
        <is>
          <t>HÄLLEFORS</t>
        </is>
      </c>
      <c r="G93" t="n">
        <v>7.9</v>
      </c>
      <c r="H93" t="n">
        <v>0</v>
      </c>
      <c r="I93" t="n">
        <v>0</v>
      </c>
      <c r="J93" t="n">
        <v>0</v>
      </c>
      <c r="K93" t="n">
        <v>0</v>
      </c>
      <c r="L93" t="n">
        <v>0</v>
      </c>
      <c r="M93" t="n">
        <v>0</v>
      </c>
      <c r="N93" t="n">
        <v>0</v>
      </c>
      <c r="O93" t="n">
        <v>0</v>
      </c>
      <c r="P93" t="n">
        <v>0</v>
      </c>
      <c r="Q93" t="n">
        <v>0</v>
      </c>
      <c r="R93" s="2" t="inlineStr"/>
    </row>
    <row r="94" ht="15" customHeight="1">
      <c r="A94" t="inlineStr">
        <is>
          <t>A 5025-2022</t>
        </is>
      </c>
      <c r="B94" s="1" t="n">
        <v>44593</v>
      </c>
      <c r="C94" s="1" t="n">
        <v>45900</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33609-2022</t>
        </is>
      </c>
      <c r="B95" s="1" t="n">
        <v>44782</v>
      </c>
      <c r="C95" s="1" t="n">
        <v>45900</v>
      </c>
      <c r="D95" t="inlineStr">
        <is>
          <t>ÖREBRO LÄN</t>
        </is>
      </c>
      <c r="E95" t="inlineStr">
        <is>
          <t>HÄLLEFORS</t>
        </is>
      </c>
      <c r="G95" t="n">
        <v>5.7</v>
      </c>
      <c r="H95" t="n">
        <v>0</v>
      </c>
      <c r="I95" t="n">
        <v>0</v>
      </c>
      <c r="J95" t="n">
        <v>0</v>
      </c>
      <c r="K95" t="n">
        <v>0</v>
      </c>
      <c r="L95" t="n">
        <v>0</v>
      </c>
      <c r="M95" t="n">
        <v>0</v>
      </c>
      <c r="N95" t="n">
        <v>0</v>
      </c>
      <c r="O95" t="n">
        <v>0</v>
      </c>
      <c r="P95" t="n">
        <v>0</v>
      </c>
      <c r="Q95" t="n">
        <v>0</v>
      </c>
      <c r="R95" s="2" t="inlineStr"/>
    </row>
    <row r="96" ht="15" customHeight="1">
      <c r="A96" t="inlineStr">
        <is>
          <t>A 29062-2022</t>
        </is>
      </c>
      <c r="B96" s="1" t="n">
        <v>44750</v>
      </c>
      <c r="C96" s="1" t="n">
        <v>45900</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47702-2020</t>
        </is>
      </c>
      <c r="B97" s="1" t="n">
        <v>44098</v>
      </c>
      <c r="C97" s="1" t="n">
        <v>45900</v>
      </c>
      <c r="D97" t="inlineStr">
        <is>
          <t>ÖREBRO LÄN</t>
        </is>
      </c>
      <c r="E97" t="inlineStr">
        <is>
          <t>HÄLLEFORS</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45900</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48184-2022</t>
        </is>
      </c>
      <c r="B99" s="1" t="n">
        <v>44858</v>
      </c>
      <c r="C99" s="1" t="n">
        <v>45900</v>
      </c>
      <c r="D99" t="inlineStr">
        <is>
          <t>ÖREBRO LÄN</t>
        </is>
      </c>
      <c r="E99" t="inlineStr">
        <is>
          <t>HÄLLEFORS</t>
        </is>
      </c>
      <c r="F99" t="inlineStr">
        <is>
          <t>Bergvik skog väst AB</t>
        </is>
      </c>
      <c r="G99" t="n">
        <v>5.1</v>
      </c>
      <c r="H99" t="n">
        <v>0</v>
      </c>
      <c r="I99" t="n">
        <v>0</v>
      </c>
      <c r="J99" t="n">
        <v>0</v>
      </c>
      <c r="K99" t="n">
        <v>0</v>
      </c>
      <c r="L99" t="n">
        <v>0</v>
      </c>
      <c r="M99" t="n">
        <v>0</v>
      </c>
      <c r="N99" t="n">
        <v>0</v>
      </c>
      <c r="O99" t="n">
        <v>0</v>
      </c>
      <c r="P99" t="n">
        <v>0</v>
      </c>
      <c r="Q99" t="n">
        <v>0</v>
      </c>
      <c r="R99" s="2" t="inlineStr"/>
    </row>
    <row r="100" ht="15" customHeight="1">
      <c r="A100" t="inlineStr">
        <is>
          <t>A 51212-2023</t>
        </is>
      </c>
      <c r="B100" s="1" t="n">
        <v>45219.44366898148</v>
      </c>
      <c r="C100" s="1" t="n">
        <v>45900</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54105-2023</t>
        </is>
      </c>
      <c r="B101" s="1" t="n">
        <v>45232</v>
      </c>
      <c r="C101" s="1" t="n">
        <v>45900</v>
      </c>
      <c r="D101" t="inlineStr">
        <is>
          <t>ÖREBRO LÄN</t>
        </is>
      </c>
      <c r="E101" t="inlineStr">
        <is>
          <t>HÄLLEFORS</t>
        </is>
      </c>
      <c r="F101" t="inlineStr">
        <is>
          <t>Kommuner</t>
        </is>
      </c>
      <c r="G101" t="n">
        <v>0.9</v>
      </c>
      <c r="H101" t="n">
        <v>0</v>
      </c>
      <c r="I101" t="n">
        <v>0</v>
      </c>
      <c r="J101" t="n">
        <v>0</v>
      </c>
      <c r="K101" t="n">
        <v>0</v>
      </c>
      <c r="L101" t="n">
        <v>0</v>
      </c>
      <c r="M101" t="n">
        <v>0</v>
      </c>
      <c r="N101" t="n">
        <v>0</v>
      </c>
      <c r="O101" t="n">
        <v>0</v>
      </c>
      <c r="P101" t="n">
        <v>0</v>
      </c>
      <c r="Q101" t="n">
        <v>0</v>
      </c>
      <c r="R101" s="2" t="inlineStr"/>
    </row>
    <row r="102" ht="15" customHeight="1">
      <c r="A102" t="inlineStr">
        <is>
          <t>A 55099-2024</t>
        </is>
      </c>
      <c r="B102" s="1" t="n">
        <v>45621</v>
      </c>
      <c r="C102" s="1" t="n">
        <v>45900</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9537-2025</t>
        </is>
      </c>
      <c r="B103" s="1" t="n">
        <v>45715.57903935185</v>
      </c>
      <c r="C103" s="1" t="n">
        <v>45900</v>
      </c>
      <c r="D103" t="inlineStr">
        <is>
          <t>ÖREBRO LÄN</t>
        </is>
      </c>
      <c r="E103" t="inlineStr">
        <is>
          <t>HÄLLEFORS</t>
        </is>
      </c>
      <c r="G103" t="n">
        <v>2.7</v>
      </c>
      <c r="H103" t="n">
        <v>0</v>
      </c>
      <c r="I103" t="n">
        <v>0</v>
      </c>
      <c r="J103" t="n">
        <v>0</v>
      </c>
      <c r="K103" t="n">
        <v>0</v>
      </c>
      <c r="L103" t="n">
        <v>0</v>
      </c>
      <c r="M103" t="n">
        <v>0</v>
      </c>
      <c r="N103" t="n">
        <v>0</v>
      </c>
      <c r="O103" t="n">
        <v>0</v>
      </c>
      <c r="P103" t="n">
        <v>0</v>
      </c>
      <c r="Q103" t="n">
        <v>0</v>
      </c>
      <c r="R103" s="2" t="inlineStr"/>
    </row>
    <row r="104" ht="15" customHeight="1">
      <c r="A104" t="inlineStr">
        <is>
          <t>A 18664-2025</t>
        </is>
      </c>
      <c r="B104" s="1" t="n">
        <v>45763.58991898148</v>
      </c>
      <c r="C104" s="1" t="n">
        <v>45900</v>
      </c>
      <c r="D104" t="inlineStr">
        <is>
          <t>ÖREBRO LÄN</t>
        </is>
      </c>
      <c r="E104" t="inlineStr">
        <is>
          <t>HÄLLEFORS</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45900</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44804.70893518518</v>
      </c>
      <c r="C106" s="1" t="n">
        <v>45900</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45900</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55477-2023</t>
        </is>
      </c>
      <c r="B108" s="1" t="n">
        <v>45238</v>
      </c>
      <c r="C108" s="1" t="n">
        <v>45900</v>
      </c>
      <c r="D108" t="inlineStr">
        <is>
          <t>ÖREBRO LÄN</t>
        </is>
      </c>
      <c r="E108" t="inlineStr">
        <is>
          <t>HÄLLEFORS</t>
        </is>
      </c>
      <c r="F108" t="inlineStr">
        <is>
          <t>Bergvik skog väst AB</t>
        </is>
      </c>
      <c r="G108" t="n">
        <v>6.6</v>
      </c>
      <c r="H108" t="n">
        <v>0</v>
      </c>
      <c r="I108" t="n">
        <v>0</v>
      </c>
      <c r="J108" t="n">
        <v>0</v>
      </c>
      <c r="K108" t="n">
        <v>0</v>
      </c>
      <c r="L108" t="n">
        <v>0</v>
      </c>
      <c r="M108" t="n">
        <v>0</v>
      </c>
      <c r="N108" t="n">
        <v>0</v>
      </c>
      <c r="O108" t="n">
        <v>0</v>
      </c>
      <c r="P108" t="n">
        <v>0</v>
      </c>
      <c r="Q108" t="n">
        <v>0</v>
      </c>
      <c r="R108" s="2" t="inlineStr"/>
    </row>
    <row r="109" ht="15" customHeight="1">
      <c r="A109" t="inlineStr">
        <is>
          <t>A 42863-2022</t>
        </is>
      </c>
      <c r="B109" s="1" t="n">
        <v>44832.73646990741</v>
      </c>
      <c r="C109" s="1" t="n">
        <v>45900</v>
      </c>
      <c r="D109" t="inlineStr">
        <is>
          <t>ÖREBRO LÄN</t>
        </is>
      </c>
      <c r="E109" t="inlineStr">
        <is>
          <t>HÄLLEFORS</t>
        </is>
      </c>
      <c r="G109" t="n">
        <v>7.2</v>
      </c>
      <c r="H109" t="n">
        <v>0</v>
      </c>
      <c r="I109" t="n">
        <v>0</v>
      </c>
      <c r="J109" t="n">
        <v>0</v>
      </c>
      <c r="K109" t="n">
        <v>0</v>
      </c>
      <c r="L109" t="n">
        <v>0</v>
      </c>
      <c r="M109" t="n">
        <v>0</v>
      </c>
      <c r="N109" t="n">
        <v>0</v>
      </c>
      <c r="O109" t="n">
        <v>0</v>
      </c>
      <c r="P109" t="n">
        <v>0</v>
      </c>
      <c r="Q109" t="n">
        <v>0</v>
      </c>
      <c r="R109" s="2" t="inlineStr"/>
    </row>
    <row r="110" ht="15" customHeight="1">
      <c r="A110" t="inlineStr">
        <is>
          <t>A 14669-2025</t>
        </is>
      </c>
      <c r="B110" s="1" t="n">
        <v>45742.55043981481</v>
      </c>
      <c r="C110" s="1" t="n">
        <v>45900</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46642-2024</t>
        </is>
      </c>
      <c r="B111" s="1" t="n">
        <v>45583.34902777777</v>
      </c>
      <c r="C111" s="1" t="n">
        <v>45900</v>
      </c>
      <c r="D111" t="inlineStr">
        <is>
          <t>ÖREBRO LÄN</t>
        </is>
      </c>
      <c r="E111" t="inlineStr">
        <is>
          <t>HÄLLEFORS</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20670-2025</t>
        </is>
      </c>
      <c r="B112" s="1" t="n">
        <v>45776.43351851852</v>
      </c>
      <c r="C112" s="1" t="n">
        <v>45900</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55300-2023</t>
        </is>
      </c>
      <c r="B113" s="1" t="n">
        <v>45237.83621527778</v>
      </c>
      <c r="C113" s="1" t="n">
        <v>45900</v>
      </c>
      <c r="D113" t="inlineStr">
        <is>
          <t>ÖREBRO LÄN</t>
        </is>
      </c>
      <c r="E113" t="inlineStr">
        <is>
          <t>HÄLLEFORS</t>
        </is>
      </c>
      <c r="F113" t="inlineStr">
        <is>
          <t>Bergvik skog väst AB</t>
        </is>
      </c>
      <c r="G113" t="n">
        <v>5.1</v>
      </c>
      <c r="H113" t="n">
        <v>0</v>
      </c>
      <c r="I113" t="n">
        <v>0</v>
      </c>
      <c r="J113" t="n">
        <v>0</v>
      </c>
      <c r="K113" t="n">
        <v>0</v>
      </c>
      <c r="L113" t="n">
        <v>0</v>
      </c>
      <c r="M113" t="n">
        <v>0</v>
      </c>
      <c r="N113" t="n">
        <v>0</v>
      </c>
      <c r="O113" t="n">
        <v>0</v>
      </c>
      <c r="P113" t="n">
        <v>0</v>
      </c>
      <c r="Q113" t="n">
        <v>0</v>
      </c>
      <c r="R113" s="2" t="inlineStr"/>
    </row>
    <row r="114" ht="15" customHeight="1">
      <c r="A114" t="inlineStr">
        <is>
          <t>A 21050-2025</t>
        </is>
      </c>
      <c r="B114" s="1" t="n">
        <v>45777.56322916667</v>
      </c>
      <c r="C114" s="1" t="n">
        <v>45900</v>
      </c>
      <c r="D114" t="inlineStr">
        <is>
          <t>ÖREBRO LÄN</t>
        </is>
      </c>
      <c r="E114" t="inlineStr">
        <is>
          <t>HÄLLEFORS</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45900</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15073-2022</t>
        </is>
      </c>
      <c r="B116" s="1" t="n">
        <v>44657</v>
      </c>
      <c r="C116" s="1" t="n">
        <v>45900</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21099-2025</t>
        </is>
      </c>
      <c r="B117" s="1" t="n">
        <v>45777.64827546296</v>
      </c>
      <c r="C117" s="1" t="n">
        <v>45900</v>
      </c>
      <c r="D117" t="inlineStr">
        <is>
          <t>ÖREBRO LÄN</t>
        </is>
      </c>
      <c r="E117" t="inlineStr">
        <is>
          <t>HÄLLEFORS</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30282-2023</t>
        </is>
      </c>
      <c r="B118" s="1" t="n">
        <v>45110.90550925926</v>
      </c>
      <c r="C118" s="1" t="n">
        <v>45900</v>
      </c>
      <c r="D118" t="inlineStr">
        <is>
          <t>ÖREBRO LÄN</t>
        </is>
      </c>
      <c r="E118" t="inlineStr">
        <is>
          <t>HÄLLEFORS</t>
        </is>
      </c>
      <c r="G118" t="n">
        <v>1.9</v>
      </c>
      <c r="H118" t="n">
        <v>0</v>
      </c>
      <c r="I118" t="n">
        <v>0</v>
      </c>
      <c r="J118" t="n">
        <v>0</v>
      </c>
      <c r="K118" t="n">
        <v>0</v>
      </c>
      <c r="L118" t="n">
        <v>0</v>
      </c>
      <c r="M118" t="n">
        <v>0</v>
      </c>
      <c r="N118" t="n">
        <v>0</v>
      </c>
      <c r="O118" t="n">
        <v>0</v>
      </c>
      <c r="P118" t="n">
        <v>0</v>
      </c>
      <c r="Q118" t="n">
        <v>0</v>
      </c>
      <c r="R118" s="2" t="inlineStr"/>
    </row>
    <row r="119" ht="15" customHeight="1">
      <c r="A119" t="inlineStr">
        <is>
          <t>A 18878-2025</t>
        </is>
      </c>
      <c r="B119" s="1" t="n">
        <v>45764</v>
      </c>
      <c r="C119" s="1" t="n">
        <v>45900</v>
      </c>
      <c r="D119" t="inlineStr">
        <is>
          <t>ÖREBRO LÄN</t>
        </is>
      </c>
      <c r="E119" t="inlineStr">
        <is>
          <t>HÄLLEFORS</t>
        </is>
      </c>
      <c r="G119" t="n">
        <v>1.4</v>
      </c>
      <c r="H119" t="n">
        <v>0</v>
      </c>
      <c r="I119" t="n">
        <v>0</v>
      </c>
      <c r="J119" t="n">
        <v>0</v>
      </c>
      <c r="K119" t="n">
        <v>0</v>
      </c>
      <c r="L119" t="n">
        <v>0</v>
      </c>
      <c r="M119" t="n">
        <v>0</v>
      </c>
      <c r="N119" t="n">
        <v>0</v>
      </c>
      <c r="O119" t="n">
        <v>0</v>
      </c>
      <c r="P119" t="n">
        <v>0</v>
      </c>
      <c r="Q119" t="n">
        <v>0</v>
      </c>
      <c r="R119" s="2" t="inlineStr"/>
    </row>
    <row r="120" ht="15" customHeight="1">
      <c r="A120" t="inlineStr">
        <is>
          <t>A 18790-2025</t>
        </is>
      </c>
      <c r="B120" s="1" t="n">
        <v>45764</v>
      </c>
      <c r="C120" s="1" t="n">
        <v>45900</v>
      </c>
      <c r="D120" t="inlineStr">
        <is>
          <t>ÖREBRO LÄN</t>
        </is>
      </c>
      <c r="E120" t="inlineStr">
        <is>
          <t>HÄLLEFORS</t>
        </is>
      </c>
      <c r="G120" t="n">
        <v>14.9</v>
      </c>
      <c r="H120" t="n">
        <v>0</v>
      </c>
      <c r="I120" t="n">
        <v>0</v>
      </c>
      <c r="J120" t="n">
        <v>0</v>
      </c>
      <c r="K120" t="n">
        <v>0</v>
      </c>
      <c r="L120" t="n">
        <v>0</v>
      </c>
      <c r="M120" t="n">
        <v>0</v>
      </c>
      <c r="N120" t="n">
        <v>0</v>
      </c>
      <c r="O120" t="n">
        <v>0</v>
      </c>
      <c r="P120" t="n">
        <v>0</v>
      </c>
      <c r="Q120" t="n">
        <v>0</v>
      </c>
      <c r="R120" s="2" t="inlineStr"/>
    </row>
    <row r="121" ht="15" customHeight="1">
      <c r="A121" t="inlineStr">
        <is>
          <t>A 18852-2025</t>
        </is>
      </c>
      <c r="B121" s="1" t="n">
        <v>45764</v>
      </c>
      <c r="C121" s="1" t="n">
        <v>45900</v>
      </c>
      <c r="D121" t="inlineStr">
        <is>
          <t>ÖREBRO LÄN</t>
        </is>
      </c>
      <c r="E121" t="inlineStr">
        <is>
          <t>HÄLLEFORS</t>
        </is>
      </c>
      <c r="G121" t="n">
        <v>6.8</v>
      </c>
      <c r="H121" t="n">
        <v>0</v>
      </c>
      <c r="I121" t="n">
        <v>0</v>
      </c>
      <c r="J121" t="n">
        <v>0</v>
      </c>
      <c r="K121" t="n">
        <v>0</v>
      </c>
      <c r="L121" t="n">
        <v>0</v>
      </c>
      <c r="M121" t="n">
        <v>0</v>
      </c>
      <c r="N121" t="n">
        <v>0</v>
      </c>
      <c r="O121" t="n">
        <v>0</v>
      </c>
      <c r="P121" t="n">
        <v>0</v>
      </c>
      <c r="Q121" t="n">
        <v>0</v>
      </c>
      <c r="R121" s="2" t="inlineStr"/>
    </row>
    <row r="122" ht="15" customHeight="1">
      <c r="A122" t="inlineStr">
        <is>
          <t>A 18869-2025</t>
        </is>
      </c>
      <c r="B122" s="1" t="n">
        <v>45764</v>
      </c>
      <c r="C122" s="1" t="n">
        <v>45900</v>
      </c>
      <c r="D122" t="inlineStr">
        <is>
          <t>ÖREBRO LÄN</t>
        </is>
      </c>
      <c r="E122" t="inlineStr">
        <is>
          <t>HÄLLEFORS</t>
        </is>
      </c>
      <c r="G122" t="n">
        <v>3.7</v>
      </c>
      <c r="H122" t="n">
        <v>0</v>
      </c>
      <c r="I122" t="n">
        <v>0</v>
      </c>
      <c r="J122" t="n">
        <v>0</v>
      </c>
      <c r="K122" t="n">
        <v>0</v>
      </c>
      <c r="L122" t="n">
        <v>0</v>
      </c>
      <c r="M122" t="n">
        <v>0</v>
      </c>
      <c r="N122" t="n">
        <v>0</v>
      </c>
      <c r="O122" t="n">
        <v>0</v>
      </c>
      <c r="P122" t="n">
        <v>0</v>
      </c>
      <c r="Q122" t="n">
        <v>0</v>
      </c>
      <c r="R122" s="2" t="inlineStr"/>
    </row>
    <row r="123" ht="15" customHeight="1">
      <c r="A123" t="inlineStr">
        <is>
          <t>A 18891-2025</t>
        </is>
      </c>
      <c r="B123" s="1" t="n">
        <v>45764</v>
      </c>
      <c r="C123" s="1" t="n">
        <v>45900</v>
      </c>
      <c r="D123" t="inlineStr">
        <is>
          <t>ÖREBRO LÄN</t>
        </is>
      </c>
      <c r="E123" t="inlineStr">
        <is>
          <t>HÄLLEFORS</t>
        </is>
      </c>
      <c r="G123" t="n">
        <v>2.2</v>
      </c>
      <c r="H123" t="n">
        <v>0</v>
      </c>
      <c r="I123" t="n">
        <v>0</v>
      </c>
      <c r="J123" t="n">
        <v>0</v>
      </c>
      <c r="K123" t="n">
        <v>0</v>
      </c>
      <c r="L123" t="n">
        <v>0</v>
      </c>
      <c r="M123" t="n">
        <v>0</v>
      </c>
      <c r="N123" t="n">
        <v>0</v>
      </c>
      <c r="O123" t="n">
        <v>0</v>
      </c>
      <c r="P123" t="n">
        <v>0</v>
      </c>
      <c r="Q123" t="n">
        <v>0</v>
      </c>
      <c r="R123" s="2" t="inlineStr"/>
    </row>
    <row r="124" ht="15" customHeight="1">
      <c r="A124" t="inlineStr">
        <is>
          <t>A 17120-2025</t>
        </is>
      </c>
      <c r="B124" s="1" t="n">
        <v>45755.68921296296</v>
      </c>
      <c r="C124" s="1" t="n">
        <v>45900</v>
      </c>
      <c r="D124" t="inlineStr">
        <is>
          <t>ÖREBRO LÄN</t>
        </is>
      </c>
      <c r="E124" t="inlineStr">
        <is>
          <t>HÄLLEFORS</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16930-2025</t>
        </is>
      </c>
      <c r="B125" s="1" t="n">
        <v>45755.40039351852</v>
      </c>
      <c r="C125" s="1" t="n">
        <v>45900</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21853-2025</t>
        </is>
      </c>
      <c r="B126" s="1" t="n">
        <v>45784.34652777778</v>
      </c>
      <c r="C126" s="1" t="n">
        <v>45900</v>
      </c>
      <c r="D126" t="inlineStr">
        <is>
          <t>ÖREBRO LÄN</t>
        </is>
      </c>
      <c r="E126" t="inlineStr">
        <is>
          <t>HÄLLEFORS</t>
        </is>
      </c>
      <c r="G126" t="n">
        <v>23.4</v>
      </c>
      <c r="H126" t="n">
        <v>0</v>
      </c>
      <c r="I126" t="n">
        <v>0</v>
      </c>
      <c r="J126" t="n">
        <v>0</v>
      </c>
      <c r="K126" t="n">
        <v>0</v>
      </c>
      <c r="L126" t="n">
        <v>0</v>
      </c>
      <c r="M126" t="n">
        <v>0</v>
      </c>
      <c r="N126" t="n">
        <v>0</v>
      </c>
      <c r="O126" t="n">
        <v>0</v>
      </c>
      <c r="P126" t="n">
        <v>0</v>
      </c>
      <c r="Q126" t="n">
        <v>0</v>
      </c>
      <c r="R126" s="2" t="inlineStr"/>
    </row>
    <row r="127" ht="15" customHeight="1">
      <c r="A127" t="inlineStr">
        <is>
          <t>A 40530-2022</t>
        </is>
      </c>
      <c r="B127" s="1" t="n">
        <v>44823</v>
      </c>
      <c r="C127" s="1" t="n">
        <v>45900</v>
      </c>
      <c r="D127" t="inlineStr">
        <is>
          <t>ÖREBRO LÄN</t>
        </is>
      </c>
      <c r="E127" t="inlineStr">
        <is>
          <t>HÄLLEFORS</t>
        </is>
      </c>
      <c r="G127" t="n">
        <v>0.6</v>
      </c>
      <c r="H127" t="n">
        <v>0</v>
      </c>
      <c r="I127" t="n">
        <v>0</v>
      </c>
      <c r="J127" t="n">
        <v>0</v>
      </c>
      <c r="K127" t="n">
        <v>0</v>
      </c>
      <c r="L127" t="n">
        <v>0</v>
      </c>
      <c r="M127" t="n">
        <v>0</v>
      </c>
      <c r="N127" t="n">
        <v>0</v>
      </c>
      <c r="O127" t="n">
        <v>0</v>
      </c>
      <c r="P127" t="n">
        <v>0</v>
      </c>
      <c r="Q127" t="n">
        <v>0</v>
      </c>
      <c r="R127" s="2" t="inlineStr"/>
    </row>
    <row r="128" ht="15" customHeight="1">
      <c r="A128" t="inlineStr">
        <is>
          <t>A 17112-2025</t>
        </is>
      </c>
      <c r="B128" s="1" t="n">
        <v>45755</v>
      </c>
      <c r="C128" s="1" t="n">
        <v>45900</v>
      </c>
      <c r="D128" t="inlineStr">
        <is>
          <t>ÖREBRO LÄN</t>
        </is>
      </c>
      <c r="E128" t="inlineStr">
        <is>
          <t>HÄLLEFORS</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35188-2023</t>
        </is>
      </c>
      <c r="B129" s="1" t="n">
        <v>45145.60365740741</v>
      </c>
      <c r="C129" s="1" t="n">
        <v>45900</v>
      </c>
      <c r="D129" t="inlineStr">
        <is>
          <t>ÖREBRO LÄN</t>
        </is>
      </c>
      <c r="E129" t="inlineStr">
        <is>
          <t>HÄLLEFORS</t>
        </is>
      </c>
      <c r="F129" t="inlineStr">
        <is>
          <t>Bergvik skog väst AB</t>
        </is>
      </c>
      <c r="G129" t="n">
        <v>12.9</v>
      </c>
      <c r="H129" t="n">
        <v>0</v>
      </c>
      <c r="I129" t="n">
        <v>0</v>
      </c>
      <c r="J129" t="n">
        <v>0</v>
      </c>
      <c r="K129" t="n">
        <v>0</v>
      </c>
      <c r="L129" t="n">
        <v>0</v>
      </c>
      <c r="M129" t="n">
        <v>0</v>
      </c>
      <c r="N129" t="n">
        <v>0</v>
      </c>
      <c r="O129" t="n">
        <v>0</v>
      </c>
      <c r="P129" t="n">
        <v>0</v>
      </c>
      <c r="Q129" t="n">
        <v>0</v>
      </c>
      <c r="R129" s="2" t="inlineStr"/>
    </row>
    <row r="130" ht="15" customHeight="1">
      <c r="A130" t="inlineStr">
        <is>
          <t>A 35243-2022</t>
        </is>
      </c>
      <c r="B130" s="1" t="n">
        <v>44798</v>
      </c>
      <c r="C130" s="1" t="n">
        <v>45900</v>
      </c>
      <c r="D130" t="inlineStr">
        <is>
          <t>ÖREBRO LÄN</t>
        </is>
      </c>
      <c r="E130" t="inlineStr">
        <is>
          <t>HÄLLEFORS</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30307-2024</t>
        </is>
      </c>
      <c r="B131" s="1" t="n">
        <v>45490.70074074074</v>
      </c>
      <c r="C131" s="1" t="n">
        <v>45900</v>
      </c>
      <c r="D131" t="inlineStr">
        <is>
          <t>ÖREBRO LÄN</t>
        </is>
      </c>
      <c r="E131" t="inlineStr">
        <is>
          <t>HÄLLEFORS</t>
        </is>
      </c>
      <c r="G131" t="n">
        <v>2.5</v>
      </c>
      <c r="H131" t="n">
        <v>0</v>
      </c>
      <c r="I131" t="n">
        <v>0</v>
      </c>
      <c r="J131" t="n">
        <v>0</v>
      </c>
      <c r="K131" t="n">
        <v>0</v>
      </c>
      <c r="L131" t="n">
        <v>0</v>
      </c>
      <c r="M131" t="n">
        <v>0</v>
      </c>
      <c r="N131" t="n">
        <v>0</v>
      </c>
      <c r="O131" t="n">
        <v>0</v>
      </c>
      <c r="P131" t="n">
        <v>0</v>
      </c>
      <c r="Q131" t="n">
        <v>0</v>
      </c>
      <c r="R131" s="2" t="inlineStr"/>
    </row>
    <row r="132" ht="15" customHeight="1">
      <c r="A132" t="inlineStr">
        <is>
          <t>A 45694-2023</t>
        </is>
      </c>
      <c r="B132" s="1" t="n">
        <v>45195</v>
      </c>
      <c r="C132" s="1" t="n">
        <v>45900</v>
      </c>
      <c r="D132" t="inlineStr">
        <is>
          <t>ÖREBRO LÄN</t>
        </is>
      </c>
      <c r="E132" t="inlineStr">
        <is>
          <t>HÄLLEFORS</t>
        </is>
      </c>
      <c r="G132" t="n">
        <v>10.8</v>
      </c>
      <c r="H132" t="n">
        <v>0</v>
      </c>
      <c r="I132" t="n">
        <v>0</v>
      </c>
      <c r="J132" t="n">
        <v>0</v>
      </c>
      <c r="K132" t="n">
        <v>0</v>
      </c>
      <c r="L132" t="n">
        <v>0</v>
      </c>
      <c r="M132" t="n">
        <v>0</v>
      </c>
      <c r="N132" t="n">
        <v>0</v>
      </c>
      <c r="O132" t="n">
        <v>0</v>
      </c>
      <c r="P132" t="n">
        <v>0</v>
      </c>
      <c r="Q132" t="n">
        <v>0</v>
      </c>
      <c r="R132" s="2" t="inlineStr"/>
    </row>
    <row r="133" ht="15" customHeight="1">
      <c r="A133" t="inlineStr">
        <is>
          <t>A 18168-2024</t>
        </is>
      </c>
      <c r="B133" s="1" t="n">
        <v>45420</v>
      </c>
      <c r="C133" s="1" t="n">
        <v>45900</v>
      </c>
      <c r="D133" t="inlineStr">
        <is>
          <t>ÖREBRO LÄN</t>
        </is>
      </c>
      <c r="E133" t="inlineStr">
        <is>
          <t>HÄLLEFORS</t>
        </is>
      </c>
      <c r="G133" t="n">
        <v>1.4</v>
      </c>
      <c r="H133" t="n">
        <v>0</v>
      </c>
      <c r="I133" t="n">
        <v>0</v>
      </c>
      <c r="J133" t="n">
        <v>0</v>
      </c>
      <c r="K133" t="n">
        <v>0</v>
      </c>
      <c r="L133" t="n">
        <v>0</v>
      </c>
      <c r="M133" t="n">
        <v>0</v>
      </c>
      <c r="N133" t="n">
        <v>0</v>
      </c>
      <c r="O133" t="n">
        <v>0</v>
      </c>
      <c r="P133" t="n">
        <v>0</v>
      </c>
      <c r="Q133" t="n">
        <v>0</v>
      </c>
      <c r="R133" s="2" t="inlineStr"/>
    </row>
    <row r="134" ht="15" customHeight="1">
      <c r="A134" t="inlineStr">
        <is>
          <t>A 21852-2025</t>
        </is>
      </c>
      <c r="B134" s="1" t="n">
        <v>45784</v>
      </c>
      <c r="C134" s="1" t="n">
        <v>45900</v>
      </c>
      <c r="D134" t="inlineStr">
        <is>
          <t>ÖREBRO LÄN</t>
        </is>
      </c>
      <c r="E134" t="inlineStr">
        <is>
          <t>HÄLLEFORS</t>
        </is>
      </c>
      <c r="G134" t="n">
        <v>4.2</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45900</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35106-2023</t>
        </is>
      </c>
      <c r="B136" s="1" t="n">
        <v>45145</v>
      </c>
      <c r="C136" s="1" t="n">
        <v>45900</v>
      </c>
      <c r="D136" t="inlineStr">
        <is>
          <t>ÖREBRO LÄN</t>
        </is>
      </c>
      <c r="E136" t="inlineStr">
        <is>
          <t>HÄLLEFORS</t>
        </is>
      </c>
      <c r="F136" t="inlineStr">
        <is>
          <t>Bergvik skog väst AB</t>
        </is>
      </c>
      <c r="G136" t="n">
        <v>13.9</v>
      </c>
      <c r="H136" t="n">
        <v>0</v>
      </c>
      <c r="I136" t="n">
        <v>0</v>
      </c>
      <c r="J136" t="n">
        <v>0</v>
      </c>
      <c r="K136" t="n">
        <v>0</v>
      </c>
      <c r="L136" t="n">
        <v>0</v>
      </c>
      <c r="M136" t="n">
        <v>0</v>
      </c>
      <c r="N136" t="n">
        <v>0</v>
      </c>
      <c r="O136" t="n">
        <v>0</v>
      </c>
      <c r="P136" t="n">
        <v>0</v>
      </c>
      <c r="Q136" t="n">
        <v>0</v>
      </c>
      <c r="R136" s="2" t="inlineStr"/>
    </row>
    <row r="137" ht="15" customHeight="1">
      <c r="A137" t="inlineStr">
        <is>
          <t>A 39178-2022</t>
        </is>
      </c>
      <c r="B137" s="1" t="n">
        <v>44817.50186342592</v>
      </c>
      <c r="C137" s="1" t="n">
        <v>45900</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47907-2024</t>
        </is>
      </c>
      <c r="B138" s="1" t="n">
        <v>45589.31677083333</v>
      </c>
      <c r="C138" s="1" t="n">
        <v>45900</v>
      </c>
      <c r="D138" t="inlineStr">
        <is>
          <t>ÖREBRO LÄN</t>
        </is>
      </c>
      <c r="E138" t="inlineStr">
        <is>
          <t>HÄLLEFORS</t>
        </is>
      </c>
      <c r="F138" t="inlineStr">
        <is>
          <t>Bergvik skog väst AB</t>
        </is>
      </c>
      <c r="G138" t="n">
        <v>4.6</v>
      </c>
      <c r="H138" t="n">
        <v>0</v>
      </c>
      <c r="I138" t="n">
        <v>0</v>
      </c>
      <c r="J138" t="n">
        <v>0</v>
      </c>
      <c r="K138" t="n">
        <v>0</v>
      </c>
      <c r="L138" t="n">
        <v>0</v>
      </c>
      <c r="M138" t="n">
        <v>0</v>
      </c>
      <c r="N138" t="n">
        <v>0</v>
      </c>
      <c r="O138" t="n">
        <v>0</v>
      </c>
      <c r="P138" t="n">
        <v>0</v>
      </c>
      <c r="Q138" t="n">
        <v>0</v>
      </c>
      <c r="R138" s="2" t="inlineStr"/>
    </row>
    <row r="139" ht="15" customHeight="1">
      <c r="A139" t="inlineStr">
        <is>
          <t>A 42613-2020</t>
        </is>
      </c>
      <c r="B139" s="1" t="n">
        <v>44077</v>
      </c>
      <c r="C139" s="1" t="n">
        <v>45900</v>
      </c>
      <c r="D139" t="inlineStr">
        <is>
          <t>ÖREBRO LÄN</t>
        </is>
      </c>
      <c r="E139" t="inlineStr">
        <is>
          <t>HÄLLEFORS</t>
        </is>
      </c>
      <c r="F139" t="inlineStr">
        <is>
          <t>Bergvik skog väst AB</t>
        </is>
      </c>
      <c r="G139" t="n">
        <v>1.5</v>
      </c>
      <c r="H139" t="n">
        <v>0</v>
      </c>
      <c r="I139" t="n">
        <v>0</v>
      </c>
      <c r="J139" t="n">
        <v>0</v>
      </c>
      <c r="K139" t="n">
        <v>0</v>
      </c>
      <c r="L139" t="n">
        <v>0</v>
      </c>
      <c r="M139" t="n">
        <v>0</v>
      </c>
      <c r="N139" t="n">
        <v>0</v>
      </c>
      <c r="O139" t="n">
        <v>0</v>
      </c>
      <c r="P139" t="n">
        <v>0</v>
      </c>
      <c r="Q139" t="n">
        <v>0</v>
      </c>
      <c r="R139" s="2" t="inlineStr"/>
    </row>
    <row r="140" ht="15" customHeight="1">
      <c r="A140" t="inlineStr">
        <is>
          <t>A 35862-2024</t>
        </is>
      </c>
      <c r="B140" s="1" t="n">
        <v>45533.33909722222</v>
      </c>
      <c r="C140" s="1" t="n">
        <v>45900</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59963-2024</t>
        </is>
      </c>
      <c r="B141" s="1" t="n">
        <v>45642.35274305556</v>
      </c>
      <c r="C141" s="1" t="n">
        <v>45900</v>
      </c>
      <c r="D141" t="inlineStr">
        <is>
          <t>ÖREBRO LÄN</t>
        </is>
      </c>
      <c r="E141" t="inlineStr">
        <is>
          <t>HÄLLEFORS</t>
        </is>
      </c>
      <c r="F141" t="inlineStr">
        <is>
          <t>Bergvik skog väst AB</t>
        </is>
      </c>
      <c r="G141" t="n">
        <v>8.4</v>
      </c>
      <c r="H141" t="n">
        <v>0</v>
      </c>
      <c r="I141" t="n">
        <v>0</v>
      </c>
      <c r="J141" t="n">
        <v>0</v>
      </c>
      <c r="K141" t="n">
        <v>0</v>
      </c>
      <c r="L141" t="n">
        <v>0</v>
      </c>
      <c r="M141" t="n">
        <v>0</v>
      </c>
      <c r="N141" t="n">
        <v>0</v>
      </c>
      <c r="O141" t="n">
        <v>0</v>
      </c>
      <c r="P141" t="n">
        <v>0</v>
      </c>
      <c r="Q141" t="n">
        <v>0</v>
      </c>
      <c r="R141" s="2" t="inlineStr"/>
    </row>
    <row r="142" ht="15" customHeight="1">
      <c r="A142" t="inlineStr">
        <is>
          <t>A 38010-2024</t>
        </is>
      </c>
      <c r="B142" s="1" t="n">
        <v>45544.62276620371</v>
      </c>
      <c r="C142" s="1" t="n">
        <v>45900</v>
      </c>
      <c r="D142" t="inlineStr">
        <is>
          <t>ÖREBRO LÄN</t>
        </is>
      </c>
      <c r="E142" t="inlineStr">
        <is>
          <t>HÄLLEFORS</t>
        </is>
      </c>
      <c r="G142" t="n">
        <v>22.7</v>
      </c>
      <c r="H142" t="n">
        <v>0</v>
      </c>
      <c r="I142" t="n">
        <v>0</v>
      </c>
      <c r="J142" t="n">
        <v>0</v>
      </c>
      <c r="K142" t="n">
        <v>0</v>
      </c>
      <c r="L142" t="n">
        <v>0</v>
      </c>
      <c r="M142" t="n">
        <v>0</v>
      </c>
      <c r="N142" t="n">
        <v>0</v>
      </c>
      <c r="O142" t="n">
        <v>0</v>
      </c>
      <c r="P142" t="n">
        <v>0</v>
      </c>
      <c r="Q142" t="n">
        <v>0</v>
      </c>
      <c r="R142" s="2" t="inlineStr"/>
    </row>
    <row r="143" ht="15" customHeight="1">
      <c r="A143" t="inlineStr">
        <is>
          <t>A 53892-2023</t>
        </is>
      </c>
      <c r="B143" s="1" t="n">
        <v>45231</v>
      </c>
      <c r="C143" s="1" t="n">
        <v>45900</v>
      </c>
      <c r="D143" t="inlineStr">
        <is>
          <t>ÖREBRO LÄN</t>
        </is>
      </c>
      <c r="E143" t="inlineStr">
        <is>
          <t>HÄLLEFORS</t>
        </is>
      </c>
      <c r="G143" t="n">
        <v>2.3</v>
      </c>
      <c r="H143" t="n">
        <v>0</v>
      </c>
      <c r="I143" t="n">
        <v>0</v>
      </c>
      <c r="J143" t="n">
        <v>0</v>
      </c>
      <c r="K143" t="n">
        <v>0</v>
      </c>
      <c r="L143" t="n">
        <v>0</v>
      </c>
      <c r="M143" t="n">
        <v>0</v>
      </c>
      <c r="N143" t="n">
        <v>0</v>
      </c>
      <c r="O143" t="n">
        <v>0</v>
      </c>
      <c r="P143" t="n">
        <v>0</v>
      </c>
      <c r="Q143" t="n">
        <v>0</v>
      </c>
      <c r="R143" s="2" t="inlineStr"/>
    </row>
    <row r="144" ht="15" customHeight="1">
      <c r="A144" t="inlineStr">
        <is>
          <t>A 36090-2024</t>
        </is>
      </c>
      <c r="B144" s="1" t="n">
        <v>45533.68363425926</v>
      </c>
      <c r="C144" s="1" t="n">
        <v>45900</v>
      </c>
      <c r="D144" t="inlineStr">
        <is>
          <t>ÖREBRO LÄN</t>
        </is>
      </c>
      <c r="E144" t="inlineStr">
        <is>
          <t>HÄLLEFORS</t>
        </is>
      </c>
      <c r="F144" t="inlineStr">
        <is>
          <t>Bergvik skog väst AB</t>
        </is>
      </c>
      <c r="G144" t="n">
        <v>5.2</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45900</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47811-2024</t>
        </is>
      </c>
      <c r="B146" s="1" t="n">
        <v>45588.61716435185</v>
      </c>
      <c r="C146" s="1" t="n">
        <v>45900</v>
      </c>
      <c r="D146" t="inlineStr">
        <is>
          <t>ÖREBRO LÄN</t>
        </is>
      </c>
      <c r="E146" t="inlineStr">
        <is>
          <t>HÄLLEFORS</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18503-2025</t>
        </is>
      </c>
      <c r="B147" s="1" t="n">
        <v>45763.37480324074</v>
      </c>
      <c r="C147" s="1" t="n">
        <v>45900</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37027-2022</t>
        </is>
      </c>
      <c r="B148" s="1" t="n">
        <v>44806</v>
      </c>
      <c r="C148" s="1" t="n">
        <v>45900</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25059-2024</t>
        </is>
      </c>
      <c r="B149" s="1" t="n">
        <v>45462.35787037037</v>
      </c>
      <c r="C149" s="1" t="n">
        <v>45900</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7774-2022</t>
        </is>
      </c>
      <c r="B150" s="1" t="n">
        <v>44608.45725694444</v>
      </c>
      <c r="C150" s="1" t="n">
        <v>45900</v>
      </c>
      <c r="D150" t="inlineStr">
        <is>
          <t>ÖREBRO LÄN</t>
        </is>
      </c>
      <c r="E150" t="inlineStr">
        <is>
          <t>HÄLLEFORS</t>
        </is>
      </c>
      <c r="G150" t="n">
        <v>0.9</v>
      </c>
      <c r="H150" t="n">
        <v>0</v>
      </c>
      <c r="I150" t="n">
        <v>0</v>
      </c>
      <c r="J150" t="n">
        <v>0</v>
      </c>
      <c r="K150" t="n">
        <v>0</v>
      </c>
      <c r="L150" t="n">
        <v>0</v>
      </c>
      <c r="M150" t="n">
        <v>0</v>
      </c>
      <c r="N150" t="n">
        <v>0</v>
      </c>
      <c r="O150" t="n">
        <v>0</v>
      </c>
      <c r="P150" t="n">
        <v>0</v>
      </c>
      <c r="Q150" t="n">
        <v>0</v>
      </c>
      <c r="R150" s="2" t="inlineStr"/>
    </row>
    <row r="151" ht="15" customHeight="1">
      <c r="A151" t="inlineStr">
        <is>
          <t>A 41193-2023</t>
        </is>
      </c>
      <c r="B151" s="1" t="n">
        <v>45174</v>
      </c>
      <c r="C151" s="1" t="n">
        <v>45900</v>
      </c>
      <c r="D151" t="inlineStr">
        <is>
          <t>ÖREBRO LÄN</t>
        </is>
      </c>
      <c r="E151" t="inlineStr">
        <is>
          <t>HÄLLEFORS</t>
        </is>
      </c>
      <c r="F151" t="inlineStr">
        <is>
          <t>Bergvik skog väst AB</t>
        </is>
      </c>
      <c r="G151" t="n">
        <v>10.9</v>
      </c>
      <c r="H151" t="n">
        <v>0</v>
      </c>
      <c r="I151" t="n">
        <v>0</v>
      </c>
      <c r="J151" t="n">
        <v>0</v>
      </c>
      <c r="K151" t="n">
        <v>0</v>
      </c>
      <c r="L151" t="n">
        <v>0</v>
      </c>
      <c r="M151" t="n">
        <v>0</v>
      </c>
      <c r="N151" t="n">
        <v>0</v>
      </c>
      <c r="O151" t="n">
        <v>0</v>
      </c>
      <c r="P151" t="n">
        <v>0</v>
      </c>
      <c r="Q151" t="n">
        <v>0</v>
      </c>
      <c r="R151" s="2" t="inlineStr"/>
    </row>
    <row r="152" ht="15" customHeight="1">
      <c r="A152" t="inlineStr">
        <is>
          <t>A 35860-2024</t>
        </is>
      </c>
      <c r="B152" s="1" t="n">
        <v>45533</v>
      </c>
      <c r="C152" s="1" t="n">
        <v>45900</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39513-2024</t>
        </is>
      </c>
      <c r="B153" s="1" t="n">
        <v>45551</v>
      </c>
      <c r="C153" s="1" t="n">
        <v>45900</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36114-2024</t>
        </is>
      </c>
      <c r="B154" s="1" t="n">
        <v>45534.30509259259</v>
      </c>
      <c r="C154" s="1" t="n">
        <v>45900</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45900</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27935-2023</t>
        </is>
      </c>
      <c r="B156" s="1" t="n">
        <v>45098.65641203704</v>
      </c>
      <c r="C156" s="1" t="n">
        <v>45900</v>
      </c>
      <c r="D156" t="inlineStr">
        <is>
          <t>ÖREBRO LÄN</t>
        </is>
      </c>
      <c r="E156" t="inlineStr">
        <is>
          <t>HÄLLEFORS</t>
        </is>
      </c>
      <c r="G156" t="n">
        <v>1.1</v>
      </c>
      <c r="H156" t="n">
        <v>0</v>
      </c>
      <c r="I156" t="n">
        <v>0</v>
      </c>
      <c r="J156" t="n">
        <v>0</v>
      </c>
      <c r="K156" t="n">
        <v>0</v>
      </c>
      <c r="L156" t="n">
        <v>0</v>
      </c>
      <c r="M156" t="n">
        <v>0</v>
      </c>
      <c r="N156" t="n">
        <v>0</v>
      </c>
      <c r="O156" t="n">
        <v>0</v>
      </c>
      <c r="P156" t="n">
        <v>0</v>
      </c>
      <c r="Q156" t="n">
        <v>0</v>
      </c>
      <c r="R156" s="2" t="inlineStr"/>
    </row>
    <row r="157" ht="15" customHeight="1">
      <c r="A157" t="inlineStr">
        <is>
          <t>A 53344-2024</t>
        </is>
      </c>
      <c r="B157" s="1" t="n">
        <v>45614.44175925926</v>
      </c>
      <c r="C157" s="1" t="n">
        <v>45900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23649-2025</t>
        </is>
      </c>
      <c r="B158" s="1" t="n">
        <v>45792.69949074074</v>
      </c>
      <c r="C158" s="1" t="n">
        <v>45900</v>
      </c>
      <c r="D158" t="inlineStr">
        <is>
          <t>ÖREBRO LÄN</t>
        </is>
      </c>
      <c r="E158" t="inlineStr">
        <is>
          <t>HÄLLEFORS</t>
        </is>
      </c>
      <c r="G158" t="n">
        <v>4.4</v>
      </c>
      <c r="H158" t="n">
        <v>0</v>
      </c>
      <c r="I158" t="n">
        <v>0</v>
      </c>
      <c r="J158" t="n">
        <v>0</v>
      </c>
      <c r="K158" t="n">
        <v>0</v>
      </c>
      <c r="L158" t="n">
        <v>0</v>
      </c>
      <c r="M158" t="n">
        <v>0</v>
      </c>
      <c r="N158" t="n">
        <v>0</v>
      </c>
      <c r="O158" t="n">
        <v>0</v>
      </c>
      <c r="P158" t="n">
        <v>0</v>
      </c>
      <c r="Q158" t="n">
        <v>0</v>
      </c>
      <c r="R158" s="2" t="inlineStr"/>
    </row>
    <row r="159" ht="15" customHeight="1">
      <c r="A159" t="inlineStr">
        <is>
          <t>A 44107-2024</t>
        </is>
      </c>
      <c r="B159" s="1" t="n">
        <v>45572.63357638889</v>
      </c>
      <c r="C159" s="1" t="n">
        <v>45900</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23036-2024</t>
        </is>
      </c>
      <c r="B160" s="1" t="n">
        <v>45450.39145833333</v>
      </c>
      <c r="C160" s="1" t="n">
        <v>45900</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38429-2023</t>
        </is>
      </c>
      <c r="B161" s="1" t="n">
        <v>45162</v>
      </c>
      <c r="C161" s="1" t="n">
        <v>45900</v>
      </c>
      <c r="D161" t="inlineStr">
        <is>
          <t>ÖREBRO LÄN</t>
        </is>
      </c>
      <c r="E161" t="inlineStr">
        <is>
          <t>HÄLLEFORS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8513-2022</t>
        </is>
      </c>
      <c r="B162" s="1" t="n">
        <v>44613</v>
      </c>
      <c r="C162" s="1" t="n">
        <v>45900</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28564-2024</t>
        </is>
      </c>
      <c r="B163" s="1" t="n">
        <v>45478.38640046296</v>
      </c>
      <c r="C163" s="1" t="n">
        <v>45900</v>
      </c>
      <c r="D163" t="inlineStr">
        <is>
          <t>ÖREBRO LÄN</t>
        </is>
      </c>
      <c r="E163" t="inlineStr">
        <is>
          <t>HÄLLEFORS</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45900</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32937-2024</t>
        </is>
      </c>
      <c r="B165" s="1" t="n">
        <v>45517.32866898148</v>
      </c>
      <c r="C165" s="1" t="n">
        <v>45900</v>
      </c>
      <c r="D165" t="inlineStr">
        <is>
          <t>ÖREBRO LÄN</t>
        </is>
      </c>
      <c r="E165" t="inlineStr">
        <is>
          <t>HÄLLEFORS</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53035-2022</t>
        </is>
      </c>
      <c r="B166" s="1" t="n">
        <v>44876.30667824074</v>
      </c>
      <c r="C166" s="1" t="n">
        <v>45900</v>
      </c>
      <c r="D166" t="inlineStr">
        <is>
          <t>ÖREBRO LÄN</t>
        </is>
      </c>
      <c r="E166" t="inlineStr">
        <is>
          <t>HÄLLEFORS</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60306-2024</t>
        </is>
      </c>
      <c r="B167" s="1" t="n">
        <v>45643.34040509259</v>
      </c>
      <c r="C167" s="1" t="n">
        <v>45900</v>
      </c>
      <c r="D167" t="inlineStr">
        <is>
          <t>ÖREBRO LÄN</t>
        </is>
      </c>
      <c r="E167" t="inlineStr">
        <is>
          <t>HÄLLEFORS</t>
        </is>
      </c>
      <c r="F167" t="inlineStr">
        <is>
          <t>Bergvik skog väst AB</t>
        </is>
      </c>
      <c r="G167" t="n">
        <v>4.5</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45900</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5237-2025</t>
        </is>
      </c>
      <c r="B169" s="1" t="n">
        <v>45692.30760416666</v>
      </c>
      <c r="C169" s="1" t="n">
        <v>45900</v>
      </c>
      <c r="D169" t="inlineStr">
        <is>
          <t>ÖREBRO LÄN</t>
        </is>
      </c>
      <c r="E169" t="inlineStr">
        <is>
          <t>HÄLLEFORS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18582-2025</t>
        </is>
      </c>
      <c r="B170" s="1" t="n">
        <v>45763</v>
      </c>
      <c r="C170" s="1" t="n">
        <v>45900</v>
      </c>
      <c r="D170" t="inlineStr">
        <is>
          <t>ÖREBRO LÄN</t>
        </is>
      </c>
      <c r="E170" t="inlineStr">
        <is>
          <t>HÄLLEFORS</t>
        </is>
      </c>
      <c r="F170" t="inlineStr">
        <is>
          <t>Bergvik skog väst AB</t>
        </is>
      </c>
      <c r="G170" t="n">
        <v>4.1</v>
      </c>
      <c r="H170" t="n">
        <v>0</v>
      </c>
      <c r="I170" t="n">
        <v>0</v>
      </c>
      <c r="J170" t="n">
        <v>0</v>
      </c>
      <c r="K170" t="n">
        <v>0</v>
      </c>
      <c r="L170" t="n">
        <v>0</v>
      </c>
      <c r="M170" t="n">
        <v>0</v>
      </c>
      <c r="N170" t="n">
        <v>0</v>
      </c>
      <c r="O170" t="n">
        <v>0</v>
      </c>
      <c r="P170" t="n">
        <v>0</v>
      </c>
      <c r="Q170" t="n">
        <v>0</v>
      </c>
      <c r="R170" s="2" t="inlineStr"/>
    </row>
    <row r="171" ht="15" customHeight="1">
      <c r="A171" t="inlineStr">
        <is>
          <t>A 21315-2024</t>
        </is>
      </c>
      <c r="B171" s="1" t="n">
        <v>45440</v>
      </c>
      <c r="C171" s="1" t="n">
        <v>45900</v>
      </c>
      <c r="D171" t="inlineStr">
        <is>
          <t>ÖREBRO LÄN</t>
        </is>
      </c>
      <c r="E171" t="inlineStr">
        <is>
          <t>HÄLLEFORS</t>
        </is>
      </c>
      <c r="G171" t="n">
        <v>3.1</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45900</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5042-2025</t>
        </is>
      </c>
      <c r="B173" s="1" t="n">
        <v>45691.43619212963</v>
      </c>
      <c r="C173" s="1" t="n">
        <v>45900</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5657-2024</t>
        </is>
      </c>
      <c r="B174" s="1" t="n">
        <v>45334</v>
      </c>
      <c r="C174" s="1" t="n">
        <v>45900</v>
      </c>
      <c r="D174" t="inlineStr">
        <is>
          <t>ÖREBRO LÄN</t>
        </is>
      </c>
      <c r="E174" t="inlineStr">
        <is>
          <t>HÄLLEFORS</t>
        </is>
      </c>
      <c r="G174" t="n">
        <v>0.3</v>
      </c>
      <c r="H174" t="n">
        <v>0</v>
      </c>
      <c r="I174" t="n">
        <v>0</v>
      </c>
      <c r="J174" t="n">
        <v>0</v>
      </c>
      <c r="K174" t="n">
        <v>0</v>
      </c>
      <c r="L174" t="n">
        <v>0</v>
      </c>
      <c r="M174" t="n">
        <v>0</v>
      </c>
      <c r="N174" t="n">
        <v>0</v>
      </c>
      <c r="O174" t="n">
        <v>0</v>
      </c>
      <c r="P174" t="n">
        <v>0</v>
      </c>
      <c r="Q174" t="n">
        <v>0</v>
      </c>
      <c r="R174" s="2" t="inlineStr"/>
    </row>
    <row r="175" ht="15" customHeight="1">
      <c r="A175" t="inlineStr">
        <is>
          <t>A 62265-2022</t>
        </is>
      </c>
      <c r="B175" s="1" t="n">
        <v>44923</v>
      </c>
      <c r="C175" s="1" t="n">
        <v>45900</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54995-2024</t>
        </is>
      </c>
      <c r="B176" s="1" t="n">
        <v>45621.28127314815</v>
      </c>
      <c r="C176" s="1" t="n">
        <v>45900</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7066-2024</t>
        </is>
      </c>
      <c r="B177" s="1" t="n">
        <v>45343</v>
      </c>
      <c r="C177" s="1" t="n">
        <v>45900</v>
      </c>
      <c r="D177" t="inlineStr">
        <is>
          <t>ÖREBRO LÄN</t>
        </is>
      </c>
      <c r="E177" t="inlineStr">
        <is>
          <t>HÄLLEFORS</t>
        </is>
      </c>
      <c r="G177" t="n">
        <v>1.2</v>
      </c>
      <c r="H177" t="n">
        <v>0</v>
      </c>
      <c r="I177" t="n">
        <v>0</v>
      </c>
      <c r="J177" t="n">
        <v>0</v>
      </c>
      <c r="K177" t="n">
        <v>0</v>
      </c>
      <c r="L177" t="n">
        <v>0</v>
      </c>
      <c r="M177" t="n">
        <v>0</v>
      </c>
      <c r="N177" t="n">
        <v>0</v>
      </c>
      <c r="O177" t="n">
        <v>0</v>
      </c>
      <c r="P177" t="n">
        <v>0</v>
      </c>
      <c r="Q177" t="n">
        <v>0</v>
      </c>
      <c r="R177" s="2" t="inlineStr"/>
    </row>
    <row r="178" ht="15" customHeight="1">
      <c r="A178" t="inlineStr">
        <is>
          <t>A 44122-2024</t>
        </is>
      </c>
      <c r="B178" s="1" t="n">
        <v>45572.6396875</v>
      </c>
      <c r="C178" s="1" t="n">
        <v>45900</v>
      </c>
      <c r="D178" t="inlineStr">
        <is>
          <t>ÖREBRO LÄN</t>
        </is>
      </c>
      <c r="E178" t="inlineStr">
        <is>
          <t>HÄLLEFORS</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60312-2024</t>
        </is>
      </c>
      <c r="B179" s="1" t="n">
        <v>45643</v>
      </c>
      <c r="C179" s="1" t="n">
        <v>45900</v>
      </c>
      <c r="D179" t="inlineStr">
        <is>
          <t>ÖREBRO LÄN</t>
        </is>
      </c>
      <c r="E179" t="inlineStr">
        <is>
          <t>HÄLLEFORS</t>
        </is>
      </c>
      <c r="F179" t="inlineStr">
        <is>
          <t>Bergvik skog väst AB</t>
        </is>
      </c>
      <c r="G179" t="n">
        <v>1.6</v>
      </c>
      <c r="H179" t="n">
        <v>0</v>
      </c>
      <c r="I179" t="n">
        <v>0</v>
      </c>
      <c r="J179" t="n">
        <v>0</v>
      </c>
      <c r="K179" t="n">
        <v>0</v>
      </c>
      <c r="L179" t="n">
        <v>0</v>
      </c>
      <c r="M179" t="n">
        <v>0</v>
      </c>
      <c r="N179" t="n">
        <v>0</v>
      </c>
      <c r="O179" t="n">
        <v>0</v>
      </c>
      <c r="P179" t="n">
        <v>0</v>
      </c>
      <c r="Q179" t="n">
        <v>0</v>
      </c>
      <c r="R179" s="2" t="inlineStr"/>
    </row>
    <row r="180" ht="15" customHeight="1">
      <c r="A180" t="inlineStr">
        <is>
          <t>A 16927-2025</t>
        </is>
      </c>
      <c r="B180" s="1" t="n">
        <v>45755.39212962963</v>
      </c>
      <c r="C180" s="1" t="n">
        <v>45900</v>
      </c>
      <c r="D180" t="inlineStr">
        <is>
          <t>ÖREBRO LÄN</t>
        </is>
      </c>
      <c r="E180" t="inlineStr">
        <is>
          <t>HÄLLEFORS</t>
        </is>
      </c>
      <c r="F180" t="inlineStr">
        <is>
          <t>Bergvik skog väst AB</t>
        </is>
      </c>
      <c r="G180" t="n">
        <v>4.1</v>
      </c>
      <c r="H180" t="n">
        <v>0</v>
      </c>
      <c r="I180" t="n">
        <v>0</v>
      </c>
      <c r="J180" t="n">
        <v>0</v>
      </c>
      <c r="K180" t="n">
        <v>0</v>
      </c>
      <c r="L180" t="n">
        <v>0</v>
      </c>
      <c r="M180" t="n">
        <v>0</v>
      </c>
      <c r="N180" t="n">
        <v>0</v>
      </c>
      <c r="O180" t="n">
        <v>0</v>
      </c>
      <c r="P180" t="n">
        <v>0</v>
      </c>
      <c r="Q180" t="n">
        <v>0</v>
      </c>
      <c r="R180" s="2" t="inlineStr"/>
    </row>
    <row r="181" ht="15" customHeight="1">
      <c r="A181" t="inlineStr">
        <is>
          <t>A 29027-2024</t>
        </is>
      </c>
      <c r="B181" s="1" t="n">
        <v>45481.58833333333</v>
      </c>
      <c r="C181" s="1" t="n">
        <v>45900</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12648-2025</t>
        </is>
      </c>
      <c r="B182" s="1" t="n">
        <v>45733.39797453704</v>
      </c>
      <c r="C182" s="1" t="n">
        <v>45900</v>
      </c>
      <c r="D182" t="inlineStr">
        <is>
          <t>ÖREBRO LÄN</t>
        </is>
      </c>
      <c r="E182" t="inlineStr">
        <is>
          <t>HÄLLEFORS</t>
        </is>
      </c>
      <c r="F182" t="inlineStr">
        <is>
          <t>Bergvik skog väst AB</t>
        </is>
      </c>
      <c r="G182" t="n">
        <v>5</v>
      </c>
      <c r="H182" t="n">
        <v>0</v>
      </c>
      <c r="I182" t="n">
        <v>0</v>
      </c>
      <c r="J182" t="n">
        <v>0</v>
      </c>
      <c r="K182" t="n">
        <v>0</v>
      </c>
      <c r="L182" t="n">
        <v>0</v>
      </c>
      <c r="M182" t="n">
        <v>0</v>
      </c>
      <c r="N182" t="n">
        <v>0</v>
      </c>
      <c r="O182" t="n">
        <v>0</v>
      </c>
      <c r="P182" t="n">
        <v>0</v>
      </c>
      <c r="Q182" t="n">
        <v>0</v>
      </c>
      <c r="R182" s="2" t="inlineStr"/>
    </row>
    <row r="183" ht="15" customHeight="1">
      <c r="A183" t="inlineStr">
        <is>
          <t>A 58768-2024</t>
        </is>
      </c>
      <c r="B183" s="1" t="n">
        <v>45635</v>
      </c>
      <c r="C183" s="1" t="n">
        <v>45900</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41810-2023</t>
        </is>
      </c>
      <c r="B184" s="1" t="n">
        <v>45176</v>
      </c>
      <c r="C184" s="1" t="n">
        <v>45900</v>
      </c>
      <c r="D184" t="inlineStr">
        <is>
          <t>ÖREBRO LÄN</t>
        </is>
      </c>
      <c r="E184" t="inlineStr">
        <is>
          <t>HÄLLEFORS</t>
        </is>
      </c>
      <c r="F184" t="inlineStr">
        <is>
          <t>Bergvik skog väst AB</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62501-2022</t>
        </is>
      </c>
      <c r="B185" s="1" t="n">
        <v>44924.593125</v>
      </c>
      <c r="C185" s="1" t="n">
        <v>45900</v>
      </c>
      <c r="D185" t="inlineStr">
        <is>
          <t>ÖREBRO LÄN</t>
        </is>
      </c>
      <c r="E185" t="inlineStr">
        <is>
          <t>HÄLLEFORS</t>
        </is>
      </c>
      <c r="G185" t="n">
        <v>3</v>
      </c>
      <c r="H185" t="n">
        <v>0</v>
      </c>
      <c r="I185" t="n">
        <v>0</v>
      </c>
      <c r="J185" t="n">
        <v>0</v>
      </c>
      <c r="K185" t="n">
        <v>0</v>
      </c>
      <c r="L185" t="n">
        <v>0</v>
      </c>
      <c r="M185" t="n">
        <v>0</v>
      </c>
      <c r="N185" t="n">
        <v>0</v>
      </c>
      <c r="O185" t="n">
        <v>0</v>
      </c>
      <c r="P185" t="n">
        <v>0</v>
      </c>
      <c r="Q185" t="n">
        <v>0</v>
      </c>
      <c r="R185" s="2" t="inlineStr"/>
    </row>
    <row r="186" ht="15" customHeight="1">
      <c r="A186" t="inlineStr">
        <is>
          <t>A 3057-2024</t>
        </is>
      </c>
      <c r="B186" s="1" t="n">
        <v>45316</v>
      </c>
      <c r="C186" s="1" t="n">
        <v>45900</v>
      </c>
      <c r="D186" t="inlineStr">
        <is>
          <t>ÖREBRO LÄN</t>
        </is>
      </c>
      <c r="E186" t="inlineStr">
        <is>
          <t>HÄLLEFORS</t>
        </is>
      </c>
      <c r="F186" t="inlineStr">
        <is>
          <t>Bergvik skog väst AB</t>
        </is>
      </c>
      <c r="G186" t="n">
        <v>12.2</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45900</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45900</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38402-2023</t>
        </is>
      </c>
      <c r="B189" s="1" t="n">
        <v>45162</v>
      </c>
      <c r="C189" s="1" t="n">
        <v>45900</v>
      </c>
      <c r="D189" t="inlineStr">
        <is>
          <t>ÖREBRO LÄN</t>
        </is>
      </c>
      <c r="E189" t="inlineStr">
        <is>
          <t>HÄLLEFORS</t>
        </is>
      </c>
      <c r="F189" t="inlineStr">
        <is>
          <t>Bergvik skog väst AB</t>
        </is>
      </c>
      <c r="G189" t="n">
        <v>8.5</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45900</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8615-2025</t>
        </is>
      </c>
      <c r="B191" s="1" t="n">
        <v>45710.81305555555</v>
      </c>
      <c r="C191" s="1" t="n">
        <v>45900</v>
      </c>
      <c r="D191" t="inlineStr">
        <is>
          <t>ÖREBRO LÄN</t>
        </is>
      </c>
      <c r="E191" t="inlineStr">
        <is>
          <t>HÄLLEFORS</t>
        </is>
      </c>
      <c r="G191" t="n">
        <v>6.2</v>
      </c>
      <c r="H191" t="n">
        <v>0</v>
      </c>
      <c r="I191" t="n">
        <v>0</v>
      </c>
      <c r="J191" t="n">
        <v>0</v>
      </c>
      <c r="K191" t="n">
        <v>0</v>
      </c>
      <c r="L191" t="n">
        <v>0</v>
      </c>
      <c r="M191" t="n">
        <v>0</v>
      </c>
      <c r="N191" t="n">
        <v>0</v>
      </c>
      <c r="O191" t="n">
        <v>0</v>
      </c>
      <c r="P191" t="n">
        <v>0</v>
      </c>
      <c r="Q191" t="n">
        <v>0</v>
      </c>
      <c r="R191" s="2" t="inlineStr"/>
    </row>
    <row r="192" ht="15" customHeight="1">
      <c r="A192" t="inlineStr">
        <is>
          <t>A 18987-2025</t>
        </is>
      </c>
      <c r="B192" s="1" t="n">
        <v>45764.56091435185</v>
      </c>
      <c r="C192" s="1" t="n">
        <v>45900</v>
      </c>
      <c r="D192" t="inlineStr">
        <is>
          <t>ÖREBRO LÄN</t>
        </is>
      </c>
      <c r="E192" t="inlineStr">
        <is>
          <t>HÄLLEFORS</t>
        </is>
      </c>
      <c r="F192" t="inlineStr">
        <is>
          <t>Bergvik skog väst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39031-2022</t>
        </is>
      </c>
      <c r="B193" s="1" t="n">
        <v>44817.34144675926</v>
      </c>
      <c r="C193" s="1" t="n">
        <v>45900</v>
      </c>
      <c r="D193" t="inlineStr">
        <is>
          <t>ÖREBRO LÄN</t>
        </is>
      </c>
      <c r="E193" t="inlineStr">
        <is>
          <t>HÄLLEFORS</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13757-2023</t>
        </is>
      </c>
      <c r="B194" s="1" t="n">
        <v>45007.42442129629</v>
      </c>
      <c r="C194" s="1" t="n">
        <v>45900</v>
      </c>
      <c r="D194" t="inlineStr">
        <is>
          <t>ÖREBRO LÄN</t>
        </is>
      </c>
      <c r="E194" t="inlineStr">
        <is>
          <t>HÄLLEFORS</t>
        </is>
      </c>
      <c r="F194" t="inlineStr">
        <is>
          <t>Bergvik skog väst AB</t>
        </is>
      </c>
      <c r="G194" t="n">
        <v>3.6</v>
      </c>
      <c r="H194" t="n">
        <v>0</v>
      </c>
      <c r="I194" t="n">
        <v>0</v>
      </c>
      <c r="J194" t="n">
        <v>0</v>
      </c>
      <c r="K194" t="n">
        <v>0</v>
      </c>
      <c r="L194" t="n">
        <v>0</v>
      </c>
      <c r="M194" t="n">
        <v>0</v>
      </c>
      <c r="N194" t="n">
        <v>0</v>
      </c>
      <c r="O194" t="n">
        <v>0</v>
      </c>
      <c r="P194" t="n">
        <v>0</v>
      </c>
      <c r="Q194" t="n">
        <v>0</v>
      </c>
      <c r="R194" s="2" t="inlineStr"/>
    </row>
    <row r="195" ht="15" customHeight="1">
      <c r="A195" t="inlineStr">
        <is>
          <t>A 5583-2023</t>
        </is>
      </c>
      <c r="B195" s="1" t="n">
        <v>44960.50733796296</v>
      </c>
      <c r="C195" s="1" t="n">
        <v>45900</v>
      </c>
      <c r="D195" t="inlineStr">
        <is>
          <t>ÖREBRO LÄN</t>
        </is>
      </c>
      <c r="E195" t="inlineStr">
        <is>
          <t>HÄLLEFORS</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18535-2025</t>
        </is>
      </c>
      <c r="B196" s="1" t="n">
        <v>45763</v>
      </c>
      <c r="C196" s="1" t="n">
        <v>45900</v>
      </c>
      <c r="D196" t="inlineStr">
        <is>
          <t>ÖREBRO LÄN</t>
        </is>
      </c>
      <c r="E196" t="inlineStr">
        <is>
          <t>HÄLLEFORS</t>
        </is>
      </c>
      <c r="F196" t="inlineStr">
        <is>
          <t>Bergvik skog väst AB</t>
        </is>
      </c>
      <c r="G196" t="n">
        <v>3.7</v>
      </c>
      <c r="H196" t="n">
        <v>0</v>
      </c>
      <c r="I196" t="n">
        <v>0</v>
      </c>
      <c r="J196" t="n">
        <v>0</v>
      </c>
      <c r="K196" t="n">
        <v>0</v>
      </c>
      <c r="L196" t="n">
        <v>0</v>
      </c>
      <c r="M196" t="n">
        <v>0</v>
      </c>
      <c r="N196" t="n">
        <v>0</v>
      </c>
      <c r="O196" t="n">
        <v>0</v>
      </c>
      <c r="P196" t="n">
        <v>0</v>
      </c>
      <c r="Q196" t="n">
        <v>0</v>
      </c>
      <c r="R196" s="2" t="inlineStr"/>
    </row>
    <row r="197" ht="15" customHeight="1">
      <c r="A197" t="inlineStr">
        <is>
          <t>A 18590-2025</t>
        </is>
      </c>
      <c r="B197" s="1" t="n">
        <v>45763.47677083333</v>
      </c>
      <c r="C197" s="1" t="n">
        <v>45900</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5245-2025</t>
        </is>
      </c>
      <c r="B198" s="1" t="n">
        <v>45692</v>
      </c>
      <c r="C198" s="1" t="n">
        <v>45900</v>
      </c>
      <c r="D198" t="inlineStr">
        <is>
          <t>ÖREBRO LÄN</t>
        </is>
      </c>
      <c r="E198" t="inlineStr">
        <is>
          <t>HÄLLEFORS</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11044-2021</t>
        </is>
      </c>
      <c r="B199" s="1" t="n">
        <v>44260</v>
      </c>
      <c r="C199" s="1" t="n">
        <v>45900</v>
      </c>
      <c r="D199" t="inlineStr">
        <is>
          <t>ÖREBRO LÄN</t>
        </is>
      </c>
      <c r="E199" t="inlineStr">
        <is>
          <t>HÄLLEFORS</t>
        </is>
      </c>
      <c r="F199" t="inlineStr">
        <is>
          <t>Kyrkan</t>
        </is>
      </c>
      <c r="G199" t="n">
        <v>3.6</v>
      </c>
      <c r="H199" t="n">
        <v>0</v>
      </c>
      <c r="I199" t="n">
        <v>0</v>
      </c>
      <c r="J199" t="n">
        <v>0</v>
      </c>
      <c r="K199" t="n">
        <v>0</v>
      </c>
      <c r="L199" t="n">
        <v>0</v>
      </c>
      <c r="M199" t="n">
        <v>0</v>
      </c>
      <c r="N199" t="n">
        <v>0</v>
      </c>
      <c r="O199" t="n">
        <v>0</v>
      </c>
      <c r="P199" t="n">
        <v>0</v>
      </c>
      <c r="Q199" t="n">
        <v>0</v>
      </c>
      <c r="R199" s="2" t="inlineStr"/>
    </row>
    <row r="200" ht="15" customHeight="1">
      <c r="A200" t="inlineStr">
        <is>
          <t>A 5256-2025</t>
        </is>
      </c>
      <c r="B200" s="1" t="n">
        <v>45692.36032407408</v>
      </c>
      <c r="C200" s="1" t="n">
        <v>45900</v>
      </c>
      <c r="D200" t="inlineStr">
        <is>
          <t>ÖREBRO LÄN</t>
        </is>
      </c>
      <c r="E200" t="inlineStr">
        <is>
          <t>HÄLLEFORS</t>
        </is>
      </c>
      <c r="F200" t="inlineStr">
        <is>
          <t>Bergvik skog väst AB</t>
        </is>
      </c>
      <c r="G200" t="n">
        <v>6.3</v>
      </c>
      <c r="H200" t="n">
        <v>0</v>
      </c>
      <c r="I200" t="n">
        <v>0</v>
      </c>
      <c r="J200" t="n">
        <v>0</v>
      </c>
      <c r="K200" t="n">
        <v>0</v>
      </c>
      <c r="L200" t="n">
        <v>0</v>
      </c>
      <c r="M200" t="n">
        <v>0</v>
      </c>
      <c r="N200" t="n">
        <v>0</v>
      </c>
      <c r="O200" t="n">
        <v>0</v>
      </c>
      <c r="P200" t="n">
        <v>0</v>
      </c>
      <c r="Q200" t="n">
        <v>0</v>
      </c>
      <c r="R200" s="2" t="inlineStr"/>
    </row>
    <row r="201" ht="15" customHeight="1">
      <c r="A201" t="inlineStr">
        <is>
          <t>A 59957-2024</t>
        </is>
      </c>
      <c r="B201" s="1" t="n">
        <v>45642.35061342592</v>
      </c>
      <c r="C201" s="1" t="n">
        <v>45900</v>
      </c>
      <c r="D201" t="inlineStr">
        <is>
          <t>ÖREBRO LÄN</t>
        </is>
      </c>
      <c r="E201" t="inlineStr">
        <is>
          <t>HÄLLEFORS</t>
        </is>
      </c>
      <c r="F201" t="inlineStr">
        <is>
          <t>Bergvik skog väst AB</t>
        </is>
      </c>
      <c r="G201" t="n">
        <v>4.3</v>
      </c>
      <c r="H201" t="n">
        <v>0</v>
      </c>
      <c r="I201" t="n">
        <v>0</v>
      </c>
      <c r="J201" t="n">
        <v>0</v>
      </c>
      <c r="K201" t="n">
        <v>0</v>
      </c>
      <c r="L201" t="n">
        <v>0</v>
      </c>
      <c r="M201" t="n">
        <v>0</v>
      </c>
      <c r="N201" t="n">
        <v>0</v>
      </c>
      <c r="O201" t="n">
        <v>0</v>
      </c>
      <c r="P201" t="n">
        <v>0</v>
      </c>
      <c r="Q201" t="n">
        <v>0</v>
      </c>
      <c r="R201" s="2" t="inlineStr"/>
    </row>
    <row r="202" ht="15" customHeight="1">
      <c r="A202" t="inlineStr">
        <is>
          <t>A 59959-2024</t>
        </is>
      </c>
      <c r="B202" s="1" t="n">
        <v>45642.35097222222</v>
      </c>
      <c r="C202" s="1" t="n">
        <v>45900</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8503-2022</t>
        </is>
      </c>
      <c r="B203" s="1" t="n">
        <v>44613</v>
      </c>
      <c r="C203" s="1" t="n">
        <v>45900</v>
      </c>
      <c r="D203" t="inlineStr">
        <is>
          <t>ÖREBRO LÄN</t>
        </is>
      </c>
      <c r="E203" t="inlineStr">
        <is>
          <t>HÄLLEFORS</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17072-2025</t>
        </is>
      </c>
      <c r="B204" s="1" t="n">
        <v>45755.61793981482</v>
      </c>
      <c r="C204" s="1" t="n">
        <v>45900</v>
      </c>
      <c r="D204" t="inlineStr">
        <is>
          <t>ÖREBRO LÄN</t>
        </is>
      </c>
      <c r="E204" t="inlineStr">
        <is>
          <t>HÄLLEFORS</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17104-2025</t>
        </is>
      </c>
      <c r="B205" s="1" t="n">
        <v>45755.66199074074</v>
      </c>
      <c r="C205" s="1" t="n">
        <v>45900</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17036-2025</t>
        </is>
      </c>
      <c r="B206" s="1" t="n">
        <v>45755.5740162037</v>
      </c>
      <c r="C206" s="1" t="n">
        <v>45900</v>
      </c>
      <c r="D206" t="inlineStr">
        <is>
          <t>ÖREBRO LÄN</t>
        </is>
      </c>
      <c r="E206" t="inlineStr">
        <is>
          <t>HÄLLEFORS</t>
        </is>
      </c>
      <c r="F206" t="inlineStr">
        <is>
          <t>Bergvik skog väst AB</t>
        </is>
      </c>
      <c r="G206" t="n">
        <v>3.7</v>
      </c>
      <c r="H206" t="n">
        <v>0</v>
      </c>
      <c r="I206" t="n">
        <v>0</v>
      </c>
      <c r="J206" t="n">
        <v>0</v>
      </c>
      <c r="K206" t="n">
        <v>0</v>
      </c>
      <c r="L206" t="n">
        <v>0</v>
      </c>
      <c r="M206" t="n">
        <v>0</v>
      </c>
      <c r="N206" t="n">
        <v>0</v>
      </c>
      <c r="O206" t="n">
        <v>0</v>
      </c>
      <c r="P206" t="n">
        <v>0</v>
      </c>
      <c r="Q206" t="n">
        <v>0</v>
      </c>
      <c r="R206" s="2" t="inlineStr"/>
    </row>
    <row r="207" ht="15" customHeight="1">
      <c r="A207" t="inlineStr">
        <is>
          <t>A 27925-2025</t>
        </is>
      </c>
      <c r="B207" s="1" t="n">
        <v>45817.48951388889</v>
      </c>
      <c r="C207" s="1" t="n">
        <v>45900</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16928-2025</t>
        </is>
      </c>
      <c r="B208" s="1" t="n">
        <v>45755.39711805555</v>
      </c>
      <c r="C208" s="1" t="n">
        <v>45900</v>
      </c>
      <c r="D208" t="inlineStr">
        <is>
          <t>ÖREBRO LÄN</t>
        </is>
      </c>
      <c r="E208" t="inlineStr">
        <is>
          <t>HÄLLEFORS</t>
        </is>
      </c>
      <c r="F208" t="inlineStr">
        <is>
          <t>Bergvik skog väst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4583-2025</t>
        </is>
      </c>
      <c r="B209" s="1" t="n">
        <v>45687.51539351852</v>
      </c>
      <c r="C209" s="1" t="n">
        <v>45900</v>
      </c>
      <c r="D209" t="inlineStr">
        <is>
          <t>ÖREBRO LÄN</t>
        </is>
      </c>
      <c r="E209" t="inlineStr">
        <is>
          <t>HÄLLEFORS</t>
        </is>
      </c>
      <c r="G209" t="n">
        <v>3.3</v>
      </c>
      <c r="H209" t="n">
        <v>0</v>
      </c>
      <c r="I209" t="n">
        <v>0</v>
      </c>
      <c r="J209" t="n">
        <v>0</v>
      </c>
      <c r="K209" t="n">
        <v>0</v>
      </c>
      <c r="L209" t="n">
        <v>0</v>
      </c>
      <c r="M209" t="n">
        <v>0</v>
      </c>
      <c r="N209" t="n">
        <v>0</v>
      </c>
      <c r="O209" t="n">
        <v>0</v>
      </c>
      <c r="P209" t="n">
        <v>0</v>
      </c>
      <c r="Q209" t="n">
        <v>0</v>
      </c>
      <c r="R209" s="2" t="inlineStr"/>
    </row>
    <row r="210" ht="15" customHeight="1">
      <c r="A210" t="inlineStr">
        <is>
          <t>A 16053-2023</t>
        </is>
      </c>
      <c r="B210" s="1" t="n">
        <v>45027</v>
      </c>
      <c r="C210" s="1" t="n">
        <v>45900</v>
      </c>
      <c r="D210" t="inlineStr">
        <is>
          <t>ÖREBRO LÄN</t>
        </is>
      </c>
      <c r="E210" t="inlineStr">
        <is>
          <t>HÄLLEFORS</t>
        </is>
      </c>
      <c r="F210" t="inlineStr">
        <is>
          <t>Bergvik skog väst AB</t>
        </is>
      </c>
      <c r="G210" t="n">
        <v>14.7</v>
      </c>
      <c r="H210" t="n">
        <v>0</v>
      </c>
      <c r="I210" t="n">
        <v>0</v>
      </c>
      <c r="J210" t="n">
        <v>0</v>
      </c>
      <c r="K210" t="n">
        <v>0</v>
      </c>
      <c r="L210" t="n">
        <v>0</v>
      </c>
      <c r="M210" t="n">
        <v>0</v>
      </c>
      <c r="N210" t="n">
        <v>0</v>
      </c>
      <c r="O210" t="n">
        <v>0</v>
      </c>
      <c r="P210" t="n">
        <v>0</v>
      </c>
      <c r="Q210" t="n">
        <v>0</v>
      </c>
      <c r="R210" s="2" t="inlineStr"/>
    </row>
    <row r="211" ht="15" customHeight="1">
      <c r="A211" t="inlineStr">
        <is>
          <t>A 55745-2024</t>
        </is>
      </c>
      <c r="B211" s="1" t="n">
        <v>45623.3168287037</v>
      </c>
      <c r="C211" s="1" t="n">
        <v>45900</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43966-2024</t>
        </is>
      </c>
      <c r="B212" s="1" t="n">
        <v>45572.48516203704</v>
      </c>
      <c r="C212" s="1" t="n">
        <v>45900</v>
      </c>
      <c r="D212" t="inlineStr">
        <is>
          <t>ÖREBRO LÄN</t>
        </is>
      </c>
      <c r="E212" t="inlineStr">
        <is>
          <t>HÄLLEFORS</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33617-2022</t>
        </is>
      </c>
      <c r="B213" s="1" t="n">
        <v>44782</v>
      </c>
      <c r="C213" s="1" t="n">
        <v>45900</v>
      </c>
      <c r="D213" t="inlineStr">
        <is>
          <t>ÖREBRO LÄN</t>
        </is>
      </c>
      <c r="E213" t="inlineStr">
        <is>
          <t>HÄLLEFORS</t>
        </is>
      </c>
      <c r="G213" t="n">
        <v>8.6</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45900</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28024-2025</t>
        </is>
      </c>
      <c r="B215" s="1" t="n">
        <v>45817.62070601852</v>
      </c>
      <c r="C215" s="1" t="n">
        <v>45900</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1019-2025</t>
        </is>
      </c>
      <c r="B216" s="1" t="n">
        <v>45666.49216435185</v>
      </c>
      <c r="C216" s="1" t="n">
        <v>45900</v>
      </c>
      <c r="D216" t="inlineStr">
        <is>
          <t>ÖREBRO LÄN</t>
        </is>
      </c>
      <c r="E216" t="inlineStr">
        <is>
          <t>HÄLLEFORS</t>
        </is>
      </c>
      <c r="G216" t="n">
        <v>0.4</v>
      </c>
      <c r="H216" t="n">
        <v>0</v>
      </c>
      <c r="I216" t="n">
        <v>0</v>
      </c>
      <c r="J216" t="n">
        <v>0</v>
      </c>
      <c r="K216" t="n">
        <v>0</v>
      </c>
      <c r="L216" t="n">
        <v>0</v>
      </c>
      <c r="M216" t="n">
        <v>0</v>
      </c>
      <c r="N216" t="n">
        <v>0</v>
      </c>
      <c r="O216" t="n">
        <v>0</v>
      </c>
      <c r="P216" t="n">
        <v>0</v>
      </c>
      <c r="Q216" t="n">
        <v>0</v>
      </c>
      <c r="R216" s="2" t="inlineStr"/>
    </row>
    <row r="217" ht="15" customHeight="1">
      <c r="A217" t="inlineStr">
        <is>
          <t>A 52367-2022</t>
        </is>
      </c>
      <c r="B217" s="1" t="n">
        <v>44874</v>
      </c>
      <c r="C217" s="1" t="n">
        <v>45900</v>
      </c>
      <c r="D217" t="inlineStr">
        <is>
          <t>ÖREBRO LÄN</t>
        </is>
      </c>
      <c r="E217" t="inlineStr">
        <is>
          <t>HÄLLEFORS</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35191-2023</t>
        </is>
      </c>
      <c r="B218" s="1" t="n">
        <v>45145.61096064815</v>
      </c>
      <c r="C218" s="1" t="n">
        <v>45900</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3619-2021</t>
        </is>
      </c>
      <c r="B219" s="1" t="n">
        <v>44221</v>
      </c>
      <c r="C219" s="1" t="n">
        <v>45900</v>
      </c>
      <c r="D219" t="inlineStr">
        <is>
          <t>ÖREBRO LÄN</t>
        </is>
      </c>
      <c r="E219" t="inlineStr">
        <is>
          <t>HÄLLEFORS</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28979-2025</t>
        </is>
      </c>
      <c r="B220" s="1" t="n">
        <v>45821.35136574074</v>
      </c>
      <c r="C220" s="1" t="n">
        <v>45900</v>
      </c>
      <c r="D220" t="inlineStr">
        <is>
          <t>ÖREBRO LÄN</t>
        </is>
      </c>
      <c r="E220" t="inlineStr">
        <is>
          <t>HÄLLEFORS</t>
        </is>
      </c>
      <c r="G220" t="n">
        <v>2.9</v>
      </c>
      <c r="H220" t="n">
        <v>0</v>
      </c>
      <c r="I220" t="n">
        <v>0</v>
      </c>
      <c r="J220" t="n">
        <v>0</v>
      </c>
      <c r="K220" t="n">
        <v>0</v>
      </c>
      <c r="L220" t="n">
        <v>0</v>
      </c>
      <c r="M220" t="n">
        <v>0</v>
      </c>
      <c r="N220" t="n">
        <v>0</v>
      </c>
      <c r="O220" t="n">
        <v>0</v>
      </c>
      <c r="P220" t="n">
        <v>0</v>
      </c>
      <c r="Q220" t="n">
        <v>0</v>
      </c>
      <c r="R220" s="2" t="inlineStr"/>
    </row>
    <row r="221" ht="15" customHeight="1">
      <c r="A221" t="inlineStr">
        <is>
          <t>A 28975-2025</t>
        </is>
      </c>
      <c r="B221" s="1" t="n">
        <v>45821</v>
      </c>
      <c r="C221" s="1" t="n">
        <v>45900</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45900</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20128-2024</t>
        </is>
      </c>
      <c r="B223" s="1" t="n">
        <v>45434.5571412037</v>
      </c>
      <c r="C223" s="1" t="n">
        <v>45900</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15013-2024</t>
        </is>
      </c>
      <c r="B224" s="1" t="n">
        <v>45399</v>
      </c>
      <c r="C224" s="1" t="n">
        <v>45900</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11459-2024</t>
        </is>
      </c>
      <c r="B225" s="1" t="n">
        <v>45372.58425925926</v>
      </c>
      <c r="C225" s="1" t="n">
        <v>45900</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59557-2022</t>
        </is>
      </c>
      <c r="B226" s="1" t="n">
        <v>44907.59805555556</v>
      </c>
      <c r="C226" s="1" t="n">
        <v>45900</v>
      </c>
      <c r="D226" t="inlineStr">
        <is>
          <t>ÖREBRO LÄN</t>
        </is>
      </c>
      <c r="E226" t="inlineStr">
        <is>
          <t>HÄLLEFORS</t>
        </is>
      </c>
      <c r="F226" t="inlineStr">
        <is>
          <t>Bergvik skog väst AB</t>
        </is>
      </c>
      <c r="G226" t="n">
        <v>11.2</v>
      </c>
      <c r="H226" t="n">
        <v>0</v>
      </c>
      <c r="I226" t="n">
        <v>0</v>
      </c>
      <c r="J226" t="n">
        <v>0</v>
      </c>
      <c r="K226" t="n">
        <v>0</v>
      </c>
      <c r="L226" t="n">
        <v>0</v>
      </c>
      <c r="M226" t="n">
        <v>0</v>
      </c>
      <c r="N226" t="n">
        <v>0</v>
      </c>
      <c r="O226" t="n">
        <v>0</v>
      </c>
      <c r="P226" t="n">
        <v>0</v>
      </c>
      <c r="Q226" t="n">
        <v>0</v>
      </c>
      <c r="R226" s="2" t="inlineStr"/>
    </row>
    <row r="227" ht="15" customHeight="1">
      <c r="A227" t="inlineStr">
        <is>
          <t>A 67439-2021</t>
        </is>
      </c>
      <c r="B227" s="1" t="n">
        <v>44523</v>
      </c>
      <c r="C227" s="1" t="n">
        <v>45900</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45710-2023</t>
        </is>
      </c>
      <c r="B228" s="1" t="n">
        <v>45195.35254629629</v>
      </c>
      <c r="C228" s="1" t="n">
        <v>45900</v>
      </c>
      <c r="D228" t="inlineStr">
        <is>
          <t>ÖREBRO LÄN</t>
        </is>
      </c>
      <c r="E228" t="inlineStr">
        <is>
          <t>HÄLLEFORS</t>
        </is>
      </c>
      <c r="G228" t="n">
        <v>5.4</v>
      </c>
      <c r="H228" t="n">
        <v>0</v>
      </c>
      <c r="I228" t="n">
        <v>0</v>
      </c>
      <c r="J228" t="n">
        <v>0</v>
      </c>
      <c r="K228" t="n">
        <v>0</v>
      </c>
      <c r="L228" t="n">
        <v>0</v>
      </c>
      <c r="M228" t="n">
        <v>0</v>
      </c>
      <c r="N228" t="n">
        <v>0</v>
      </c>
      <c r="O228" t="n">
        <v>0</v>
      </c>
      <c r="P228" t="n">
        <v>0</v>
      </c>
      <c r="Q228" t="n">
        <v>0</v>
      </c>
      <c r="R228" s="2" t="inlineStr"/>
    </row>
    <row r="229" ht="15" customHeight="1">
      <c r="A229" t="inlineStr">
        <is>
          <t>A 39171-2024</t>
        </is>
      </c>
      <c r="B229" s="1" t="n">
        <v>45548</v>
      </c>
      <c r="C229" s="1" t="n">
        <v>45900</v>
      </c>
      <c r="D229" t="inlineStr">
        <is>
          <t>ÖREBRO LÄN</t>
        </is>
      </c>
      <c r="E229" t="inlineStr">
        <is>
          <t>HÄLLEFORS</t>
        </is>
      </c>
      <c r="G229" t="n">
        <v>3.8</v>
      </c>
      <c r="H229" t="n">
        <v>0</v>
      </c>
      <c r="I229" t="n">
        <v>0</v>
      </c>
      <c r="J229" t="n">
        <v>0</v>
      </c>
      <c r="K229" t="n">
        <v>0</v>
      </c>
      <c r="L229" t="n">
        <v>0</v>
      </c>
      <c r="M229" t="n">
        <v>0</v>
      </c>
      <c r="N229" t="n">
        <v>0</v>
      </c>
      <c r="O229" t="n">
        <v>0</v>
      </c>
      <c r="P229" t="n">
        <v>0</v>
      </c>
      <c r="Q229" t="n">
        <v>0</v>
      </c>
      <c r="R229" s="2" t="inlineStr"/>
    </row>
    <row r="230" ht="15" customHeight="1">
      <c r="A230" t="inlineStr">
        <is>
          <t>A 59955-2024</t>
        </is>
      </c>
      <c r="B230" s="1" t="n">
        <v>45642.34987268518</v>
      </c>
      <c r="C230" s="1" t="n">
        <v>45900</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45900</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30747-2025</t>
        </is>
      </c>
      <c r="B232" s="1" t="n">
        <v>45831.58487268518</v>
      </c>
      <c r="C232" s="1" t="n">
        <v>45900</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45900</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60303-2024</t>
        </is>
      </c>
      <c r="B234" s="1" t="n">
        <v>45643</v>
      </c>
      <c r="C234" s="1" t="n">
        <v>45900</v>
      </c>
      <c r="D234" t="inlineStr">
        <is>
          <t>ÖREBRO LÄN</t>
        </is>
      </c>
      <c r="E234" t="inlineStr">
        <is>
          <t>HÄLLEFORS</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19245-2025</t>
        </is>
      </c>
      <c r="B235" s="1" t="n">
        <v>45769</v>
      </c>
      <c r="C235" s="1" t="n">
        <v>45900</v>
      </c>
      <c r="D235" t="inlineStr">
        <is>
          <t>ÖREBRO LÄN</t>
        </is>
      </c>
      <c r="E235" t="inlineStr">
        <is>
          <t>HÄLLEFORS</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18927-2025</t>
        </is>
      </c>
      <c r="B236" s="1" t="n">
        <v>45764.4846412037</v>
      </c>
      <c r="C236" s="1" t="n">
        <v>45900</v>
      </c>
      <c r="D236" t="inlineStr">
        <is>
          <t>ÖREBRO LÄN</t>
        </is>
      </c>
      <c r="E236" t="inlineStr">
        <is>
          <t>HÄLLEFORS</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18941-2025</t>
        </is>
      </c>
      <c r="B237" s="1" t="n">
        <v>45764.495625</v>
      </c>
      <c r="C237" s="1" t="n">
        <v>45900</v>
      </c>
      <c r="D237" t="inlineStr">
        <is>
          <t>ÖREBRO LÄN</t>
        </is>
      </c>
      <c r="E237" t="inlineStr">
        <is>
          <t>HÄLLEFORS</t>
        </is>
      </c>
      <c r="F237" t="inlineStr">
        <is>
          <t>Bergvik skog väst AB</t>
        </is>
      </c>
      <c r="G237" t="n">
        <v>3.7</v>
      </c>
      <c r="H237" t="n">
        <v>0</v>
      </c>
      <c r="I237" t="n">
        <v>0</v>
      </c>
      <c r="J237" t="n">
        <v>0</v>
      </c>
      <c r="K237" t="n">
        <v>0</v>
      </c>
      <c r="L237" t="n">
        <v>0</v>
      </c>
      <c r="M237" t="n">
        <v>0</v>
      </c>
      <c r="N237" t="n">
        <v>0</v>
      </c>
      <c r="O237" t="n">
        <v>0</v>
      </c>
      <c r="P237" t="n">
        <v>0</v>
      </c>
      <c r="Q237" t="n">
        <v>0</v>
      </c>
      <c r="R237" s="2" t="inlineStr"/>
    </row>
    <row r="238" ht="15" customHeight="1">
      <c r="A238" t="inlineStr">
        <is>
          <t>A 28004-2022</t>
        </is>
      </c>
      <c r="B238" s="1" t="n">
        <v>44746.34457175926</v>
      </c>
      <c r="C238" s="1" t="n">
        <v>45900</v>
      </c>
      <c r="D238" t="inlineStr">
        <is>
          <t>ÖREBRO LÄN</t>
        </is>
      </c>
      <c r="E238" t="inlineStr">
        <is>
          <t>HÄLLEFORS</t>
        </is>
      </c>
      <c r="G238" t="n">
        <v>2.9</v>
      </c>
      <c r="H238" t="n">
        <v>0</v>
      </c>
      <c r="I238" t="n">
        <v>0</v>
      </c>
      <c r="J238" t="n">
        <v>0</v>
      </c>
      <c r="K238" t="n">
        <v>0</v>
      </c>
      <c r="L238" t="n">
        <v>0</v>
      </c>
      <c r="M238" t="n">
        <v>0</v>
      </c>
      <c r="N238" t="n">
        <v>0</v>
      </c>
      <c r="O238" t="n">
        <v>0</v>
      </c>
      <c r="P238" t="n">
        <v>0</v>
      </c>
      <c r="Q238" t="n">
        <v>0</v>
      </c>
      <c r="R238" s="2" t="inlineStr"/>
    </row>
    <row r="239" ht="15" customHeight="1">
      <c r="A239" t="inlineStr">
        <is>
          <t>A 55453-2023</t>
        </is>
      </c>
      <c r="B239" s="1" t="n">
        <v>45238</v>
      </c>
      <c r="C239" s="1" t="n">
        <v>45900</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18889-2024</t>
        </is>
      </c>
      <c r="B240" s="1" t="n">
        <v>45427.26467592592</v>
      </c>
      <c r="C240" s="1" t="n">
        <v>45900</v>
      </c>
      <c r="D240" t="inlineStr">
        <is>
          <t>ÖREBRO LÄN</t>
        </is>
      </c>
      <c r="E240" t="inlineStr">
        <is>
          <t>HÄLLEFORS</t>
        </is>
      </c>
      <c r="G240" t="n">
        <v>8.5</v>
      </c>
      <c r="H240" t="n">
        <v>0</v>
      </c>
      <c r="I240" t="n">
        <v>0</v>
      </c>
      <c r="J240" t="n">
        <v>0</v>
      </c>
      <c r="K240" t="n">
        <v>0</v>
      </c>
      <c r="L240" t="n">
        <v>0</v>
      </c>
      <c r="M240" t="n">
        <v>0</v>
      </c>
      <c r="N240" t="n">
        <v>0</v>
      </c>
      <c r="O240" t="n">
        <v>0</v>
      </c>
      <c r="P240" t="n">
        <v>0</v>
      </c>
      <c r="Q240" t="n">
        <v>0</v>
      </c>
      <c r="R240" s="2" t="inlineStr"/>
    </row>
    <row r="241" ht="15" customHeight="1">
      <c r="A241" t="inlineStr">
        <is>
          <t>A 39869-2023</t>
        </is>
      </c>
      <c r="B241" s="1" t="n">
        <v>45168</v>
      </c>
      <c r="C241" s="1" t="n">
        <v>45900</v>
      </c>
      <c r="D241" t="inlineStr">
        <is>
          <t>ÖREBRO LÄN</t>
        </is>
      </c>
      <c r="E241" t="inlineStr">
        <is>
          <t>HÄLLEFORS</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55756-2023</t>
        </is>
      </c>
      <c r="B242" s="1" t="n">
        <v>45239</v>
      </c>
      <c r="C242" s="1" t="n">
        <v>45900</v>
      </c>
      <c r="D242" t="inlineStr">
        <is>
          <t>ÖREBRO LÄN</t>
        </is>
      </c>
      <c r="E242" t="inlineStr">
        <is>
          <t>HÄLLEFORS</t>
        </is>
      </c>
      <c r="G242" t="n">
        <v>1.6</v>
      </c>
      <c r="H242" t="n">
        <v>0</v>
      </c>
      <c r="I242" t="n">
        <v>0</v>
      </c>
      <c r="J242" t="n">
        <v>0</v>
      </c>
      <c r="K242" t="n">
        <v>0</v>
      </c>
      <c r="L242" t="n">
        <v>0</v>
      </c>
      <c r="M242" t="n">
        <v>0</v>
      </c>
      <c r="N242" t="n">
        <v>0</v>
      </c>
      <c r="O242" t="n">
        <v>0</v>
      </c>
      <c r="P242" t="n">
        <v>0</v>
      </c>
      <c r="Q242" t="n">
        <v>0</v>
      </c>
      <c r="R242" s="2" t="inlineStr"/>
    </row>
    <row r="243" ht="15" customHeight="1">
      <c r="A243" t="inlineStr">
        <is>
          <t>A 18945-2025</t>
        </is>
      </c>
      <c r="B243" s="1" t="n">
        <v>45764.50498842593</v>
      </c>
      <c r="C243" s="1" t="n">
        <v>45900</v>
      </c>
      <c r="D243" t="inlineStr">
        <is>
          <t>ÖREBRO LÄN</t>
        </is>
      </c>
      <c r="E243" t="inlineStr">
        <is>
          <t>HÄLLEFORS</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38916-2024</t>
        </is>
      </c>
      <c r="B244" s="1" t="n">
        <v>45547.83412037037</v>
      </c>
      <c r="C244" s="1" t="n">
        <v>45900</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37232-2025</t>
        </is>
      </c>
      <c r="B245" s="1" t="n">
        <v>45876.34452546296</v>
      </c>
      <c r="C245" s="1" t="n">
        <v>45900</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17098-2025</t>
        </is>
      </c>
      <c r="B246" s="1" t="n">
        <v>45755.65709490741</v>
      </c>
      <c r="C246" s="1" t="n">
        <v>45900</v>
      </c>
      <c r="D246" t="inlineStr">
        <is>
          <t>ÖREBRO LÄN</t>
        </is>
      </c>
      <c r="E246" t="inlineStr">
        <is>
          <t>HÄLLEFORS</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18627-2025</t>
        </is>
      </c>
      <c r="B247" s="1" t="n">
        <v>45763.53284722222</v>
      </c>
      <c r="C247" s="1" t="n">
        <v>45900</v>
      </c>
      <c r="D247" t="inlineStr">
        <is>
          <t>ÖREBRO LÄN</t>
        </is>
      </c>
      <c r="E247" t="inlineStr">
        <is>
          <t>HÄLLEFORS</t>
        </is>
      </c>
      <c r="F247" t="inlineStr">
        <is>
          <t>Bergvik skog väst AB</t>
        </is>
      </c>
      <c r="G247" t="n">
        <v>5.3</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45900</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45900</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12511-2025</t>
        </is>
      </c>
      <c r="B250" s="1" t="n">
        <v>45730.6371412037</v>
      </c>
      <c r="C250" s="1" t="n">
        <v>45900</v>
      </c>
      <c r="D250" t="inlineStr">
        <is>
          <t>ÖREBRO LÄN</t>
        </is>
      </c>
      <c r="E250" t="inlineStr">
        <is>
          <t>HÄLLEFORS</t>
        </is>
      </c>
      <c r="G250" t="n">
        <v>0.7</v>
      </c>
      <c r="H250" t="n">
        <v>0</v>
      </c>
      <c r="I250" t="n">
        <v>0</v>
      </c>
      <c r="J250" t="n">
        <v>0</v>
      </c>
      <c r="K250" t="n">
        <v>0</v>
      </c>
      <c r="L250" t="n">
        <v>0</v>
      </c>
      <c r="M250" t="n">
        <v>0</v>
      </c>
      <c r="N250" t="n">
        <v>0</v>
      </c>
      <c r="O250" t="n">
        <v>0</v>
      </c>
      <c r="P250" t="n">
        <v>0</v>
      </c>
      <c r="Q250" t="n">
        <v>0</v>
      </c>
      <c r="R250" s="2" t="inlineStr"/>
    </row>
    <row r="251" ht="15" customHeight="1">
      <c r="A251" t="inlineStr">
        <is>
          <t>A 32217-2025</t>
        </is>
      </c>
      <c r="B251" s="1" t="n">
        <v>45835.58846064815</v>
      </c>
      <c r="C251" s="1" t="n">
        <v>45900</v>
      </c>
      <c r="D251" t="inlineStr">
        <is>
          <t>ÖREBRO LÄN</t>
        </is>
      </c>
      <c r="E251" t="inlineStr">
        <is>
          <t>HÄLLEFORS</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55747-2024</t>
        </is>
      </c>
      <c r="B252" s="1" t="n">
        <v>45623.32141203704</v>
      </c>
      <c r="C252" s="1" t="n">
        <v>45900</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1288-2024</t>
        </is>
      </c>
      <c r="B253" s="1" t="n">
        <v>45303</v>
      </c>
      <c r="C253" s="1" t="n">
        <v>45900</v>
      </c>
      <c r="D253" t="inlineStr">
        <is>
          <t>ÖREBRO LÄN</t>
        </is>
      </c>
      <c r="E253" t="inlineStr">
        <is>
          <t>HÄLLEFORS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54843-2023</t>
        </is>
      </c>
      <c r="B254" s="1" t="n">
        <v>45236.58434027778</v>
      </c>
      <c r="C254" s="1" t="n">
        <v>45900</v>
      </c>
      <c r="D254" t="inlineStr">
        <is>
          <t>ÖREBRO LÄN</t>
        </is>
      </c>
      <c r="E254" t="inlineStr">
        <is>
          <t>HÄLLEFORS</t>
        </is>
      </c>
      <c r="G254" t="n">
        <v>1.6</v>
      </c>
      <c r="H254" t="n">
        <v>0</v>
      </c>
      <c r="I254" t="n">
        <v>0</v>
      </c>
      <c r="J254" t="n">
        <v>0</v>
      </c>
      <c r="K254" t="n">
        <v>0</v>
      </c>
      <c r="L254" t="n">
        <v>0</v>
      </c>
      <c r="M254" t="n">
        <v>0</v>
      </c>
      <c r="N254" t="n">
        <v>0</v>
      </c>
      <c r="O254" t="n">
        <v>0</v>
      </c>
      <c r="P254" t="n">
        <v>0</v>
      </c>
      <c r="Q254" t="n">
        <v>0</v>
      </c>
      <c r="R254" s="2" t="inlineStr"/>
    </row>
    <row r="255" ht="15" customHeight="1">
      <c r="A255" t="inlineStr">
        <is>
          <t>A 56298-2024</t>
        </is>
      </c>
      <c r="B255" s="1" t="n">
        <v>45624.68584490741</v>
      </c>
      <c r="C255" s="1" t="n">
        <v>45900</v>
      </c>
      <c r="D255" t="inlineStr">
        <is>
          <t>ÖREBRO LÄN</t>
        </is>
      </c>
      <c r="E255" t="inlineStr">
        <is>
          <t>HÄLLEFORS</t>
        </is>
      </c>
      <c r="F255" t="inlineStr">
        <is>
          <t>Bergvik skog väst AB</t>
        </is>
      </c>
      <c r="G255" t="n">
        <v>4.6</v>
      </c>
      <c r="H255" t="n">
        <v>0</v>
      </c>
      <c r="I255" t="n">
        <v>0</v>
      </c>
      <c r="J255" t="n">
        <v>0</v>
      </c>
      <c r="K255" t="n">
        <v>0</v>
      </c>
      <c r="L255" t="n">
        <v>0</v>
      </c>
      <c r="M255" t="n">
        <v>0</v>
      </c>
      <c r="N255" t="n">
        <v>0</v>
      </c>
      <c r="O255" t="n">
        <v>0</v>
      </c>
      <c r="P255" t="n">
        <v>0</v>
      </c>
      <c r="Q255" t="n">
        <v>0</v>
      </c>
      <c r="R255" s="2" t="inlineStr"/>
    </row>
    <row r="256" ht="15" customHeight="1">
      <c r="A256" t="inlineStr">
        <is>
          <t>A 35183-2023</t>
        </is>
      </c>
      <c r="B256" s="1" t="n">
        <v>45145.59578703704</v>
      </c>
      <c r="C256" s="1" t="n">
        <v>45900</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45900</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32813-2025</t>
        </is>
      </c>
      <c r="B258" s="1" t="n">
        <v>45839.51949074074</v>
      </c>
      <c r="C258" s="1" t="n">
        <v>45900</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50714-2022</t>
        </is>
      </c>
      <c r="B259" s="1" t="n">
        <v>44867.35501157407</v>
      </c>
      <c r="C259" s="1" t="n">
        <v>45900</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45900</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38148-2025</t>
        </is>
      </c>
      <c r="B261" s="1" t="n">
        <v>45882.58855324074</v>
      </c>
      <c r="C261" s="1" t="n">
        <v>45900</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29662-2022</t>
        </is>
      </c>
      <c r="B262" s="1" t="n">
        <v>44754</v>
      </c>
      <c r="C262" s="1" t="n">
        <v>45900</v>
      </c>
      <c r="D262" t="inlineStr">
        <is>
          <t>ÖREBRO LÄN</t>
        </is>
      </c>
      <c r="E262" t="inlineStr">
        <is>
          <t>HÄLLEFORS</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18979-2025</t>
        </is>
      </c>
      <c r="B263" s="1" t="n">
        <v>45764.55017361111</v>
      </c>
      <c r="C263" s="1" t="n">
        <v>45900</v>
      </c>
      <c r="D263" t="inlineStr">
        <is>
          <t>ÖREBRO LÄN</t>
        </is>
      </c>
      <c r="E263" t="inlineStr">
        <is>
          <t>HÄLLEFORS</t>
        </is>
      </c>
      <c r="G263" t="n">
        <v>0.9</v>
      </c>
      <c r="H263" t="n">
        <v>0</v>
      </c>
      <c r="I263" t="n">
        <v>0</v>
      </c>
      <c r="J263" t="n">
        <v>0</v>
      </c>
      <c r="K263" t="n">
        <v>0</v>
      </c>
      <c r="L263" t="n">
        <v>0</v>
      </c>
      <c r="M263" t="n">
        <v>0</v>
      </c>
      <c r="N263" t="n">
        <v>0</v>
      </c>
      <c r="O263" t="n">
        <v>0</v>
      </c>
      <c r="P263" t="n">
        <v>0</v>
      </c>
      <c r="Q263" t="n">
        <v>0</v>
      </c>
      <c r="R263" s="2" t="inlineStr"/>
    </row>
    <row r="264" ht="15" customHeight="1">
      <c r="A264" t="inlineStr">
        <is>
          <t>A 50754-2023</t>
        </is>
      </c>
      <c r="B264" s="1" t="n">
        <v>45217</v>
      </c>
      <c r="C264" s="1" t="n">
        <v>45900</v>
      </c>
      <c r="D264" t="inlineStr">
        <is>
          <t>ÖREBRO LÄN</t>
        </is>
      </c>
      <c r="E264" t="inlineStr">
        <is>
          <t>HÄLLEFORS</t>
        </is>
      </c>
      <c r="F264" t="inlineStr">
        <is>
          <t>Bergvik skog väst AB</t>
        </is>
      </c>
      <c r="G264" t="n">
        <v>5.8</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45900</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38532-2025</t>
        </is>
      </c>
      <c r="B266" s="1" t="n">
        <v>45884</v>
      </c>
      <c r="C266" s="1" t="n">
        <v>45900</v>
      </c>
      <c r="D266" t="inlineStr">
        <is>
          <t>ÖREBRO LÄN</t>
        </is>
      </c>
      <c r="E266" t="inlineStr">
        <is>
          <t>HÄLLEFORS</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34062-2025</t>
        </is>
      </c>
      <c r="B267" s="1" t="n">
        <v>45845.4264699074</v>
      </c>
      <c r="C267" s="1" t="n">
        <v>45900</v>
      </c>
      <c r="D267" t="inlineStr">
        <is>
          <t>ÖREBRO LÄN</t>
        </is>
      </c>
      <c r="E267" t="inlineStr">
        <is>
          <t>HÄLLEFORS</t>
        </is>
      </c>
      <c r="G267" t="n">
        <v>1.3</v>
      </c>
      <c r="H267" t="n">
        <v>0</v>
      </c>
      <c r="I267" t="n">
        <v>0</v>
      </c>
      <c r="J267" t="n">
        <v>0</v>
      </c>
      <c r="K267" t="n">
        <v>0</v>
      </c>
      <c r="L267" t="n">
        <v>0</v>
      </c>
      <c r="M267" t="n">
        <v>0</v>
      </c>
      <c r="N267" t="n">
        <v>0</v>
      </c>
      <c r="O267" t="n">
        <v>0</v>
      </c>
      <c r="P267" t="n">
        <v>0</v>
      </c>
      <c r="Q267" t="n">
        <v>0</v>
      </c>
      <c r="R267" s="2" t="inlineStr"/>
    </row>
    <row r="268" ht="15" customHeight="1">
      <c r="A268" t="inlineStr">
        <is>
          <t>A 12558-2025</t>
        </is>
      </c>
      <c r="B268" s="1" t="n">
        <v>45731.46960648148</v>
      </c>
      <c r="C268" s="1" t="n">
        <v>45900</v>
      </c>
      <c r="D268" t="inlineStr">
        <is>
          <t>ÖREBRO LÄN</t>
        </is>
      </c>
      <c r="E268" t="inlineStr">
        <is>
          <t>HÄLLEFORS</t>
        </is>
      </c>
      <c r="G268" t="n">
        <v>2.2</v>
      </c>
      <c r="H268" t="n">
        <v>0</v>
      </c>
      <c r="I268" t="n">
        <v>0</v>
      </c>
      <c r="J268" t="n">
        <v>0</v>
      </c>
      <c r="K268" t="n">
        <v>0</v>
      </c>
      <c r="L268" t="n">
        <v>0</v>
      </c>
      <c r="M268" t="n">
        <v>0</v>
      </c>
      <c r="N268" t="n">
        <v>0</v>
      </c>
      <c r="O268" t="n">
        <v>0</v>
      </c>
      <c r="P268" t="n">
        <v>0</v>
      </c>
      <c r="Q268" t="n">
        <v>0</v>
      </c>
      <c r="R268" s="2" t="inlineStr"/>
    </row>
    <row r="269" ht="15" customHeight="1">
      <c r="A269" t="inlineStr">
        <is>
          <t>A 34023-2025</t>
        </is>
      </c>
      <c r="B269" s="1" t="n">
        <v>45845.35355324074</v>
      </c>
      <c r="C269" s="1" t="n">
        <v>45900</v>
      </c>
      <c r="D269" t="inlineStr">
        <is>
          <t>ÖREBRO LÄN</t>
        </is>
      </c>
      <c r="E269" t="inlineStr">
        <is>
          <t>HÄLLEFORS</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15941-2023</t>
        </is>
      </c>
      <c r="B270" s="1" t="n">
        <v>45022</v>
      </c>
      <c r="C270" s="1" t="n">
        <v>45900</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45900</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34054-2025</t>
        </is>
      </c>
      <c r="B272" s="1" t="n">
        <v>45845.40930555556</v>
      </c>
      <c r="C272" s="1" t="n">
        <v>45900</v>
      </c>
      <c r="D272" t="inlineStr">
        <is>
          <t>ÖREBRO LÄN</t>
        </is>
      </c>
      <c r="E272" t="inlineStr">
        <is>
          <t>HÄLLEFORS</t>
        </is>
      </c>
      <c r="F272" t="inlineStr">
        <is>
          <t>Bergvik skog väst AB</t>
        </is>
      </c>
      <c r="G272" t="n">
        <v>12.8</v>
      </c>
      <c r="H272" t="n">
        <v>0</v>
      </c>
      <c r="I272" t="n">
        <v>0</v>
      </c>
      <c r="J272" t="n">
        <v>0</v>
      </c>
      <c r="K272" t="n">
        <v>0</v>
      </c>
      <c r="L272" t="n">
        <v>0</v>
      </c>
      <c r="M272" t="n">
        <v>0</v>
      </c>
      <c r="N272" t="n">
        <v>0</v>
      </c>
      <c r="O272" t="n">
        <v>0</v>
      </c>
      <c r="P272" t="n">
        <v>0</v>
      </c>
      <c r="Q272" t="n">
        <v>0</v>
      </c>
      <c r="R272" s="2" t="inlineStr"/>
    </row>
    <row r="273" ht="15" customHeight="1">
      <c r="A273" t="inlineStr">
        <is>
          <t>A 34022-2025</t>
        </is>
      </c>
      <c r="B273" s="1" t="n">
        <v>45845.34983796296</v>
      </c>
      <c r="C273" s="1" t="n">
        <v>45900</v>
      </c>
      <c r="D273" t="inlineStr">
        <is>
          <t>ÖREBRO LÄN</t>
        </is>
      </c>
      <c r="E273" t="inlineStr">
        <is>
          <t>HÄLLEFORS</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34025-2025</t>
        </is>
      </c>
      <c r="B274" s="1" t="n">
        <v>45845.35546296297</v>
      </c>
      <c r="C274" s="1" t="n">
        <v>45900</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34029-2025</t>
        </is>
      </c>
      <c r="B275" s="1" t="n">
        <v>45845.36309027778</v>
      </c>
      <c r="C275" s="1" t="n">
        <v>45900</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45900</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34033-2025</t>
        </is>
      </c>
      <c r="B277" s="1" t="n">
        <v>45845.36700231482</v>
      </c>
      <c r="C277" s="1" t="n">
        <v>45900</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34037-2025</t>
        </is>
      </c>
      <c r="B278" s="1" t="n">
        <v>45845.37002314815</v>
      </c>
      <c r="C278" s="1" t="n">
        <v>45900</v>
      </c>
      <c r="D278" t="inlineStr">
        <is>
          <t>ÖREBRO LÄN</t>
        </is>
      </c>
      <c r="E278" t="inlineStr">
        <is>
          <t>HÄLLEFORS</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34093-2025</t>
        </is>
      </c>
      <c r="B279" s="1" t="n">
        <v>45845.47775462963</v>
      </c>
      <c r="C279" s="1" t="n">
        <v>45900</v>
      </c>
      <c r="D279" t="inlineStr">
        <is>
          <t>ÖREBRO LÄN</t>
        </is>
      </c>
      <c r="E279" t="inlineStr">
        <is>
          <t>HÄLLEFORS</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34057-2025</t>
        </is>
      </c>
      <c r="B280" s="1" t="n">
        <v>45845.41581018519</v>
      </c>
      <c r="C280" s="1" t="n">
        <v>45900</v>
      </c>
      <c r="D280" t="inlineStr">
        <is>
          <t>ÖREBRO LÄN</t>
        </is>
      </c>
      <c r="E280" t="inlineStr">
        <is>
          <t>HÄLLEFORS</t>
        </is>
      </c>
      <c r="G280" t="n">
        <v>2.1</v>
      </c>
      <c r="H280" t="n">
        <v>0</v>
      </c>
      <c r="I280" t="n">
        <v>0</v>
      </c>
      <c r="J280" t="n">
        <v>0</v>
      </c>
      <c r="K280" t="n">
        <v>0</v>
      </c>
      <c r="L280" t="n">
        <v>0</v>
      </c>
      <c r="M280" t="n">
        <v>0</v>
      </c>
      <c r="N280" t="n">
        <v>0</v>
      </c>
      <c r="O280" t="n">
        <v>0</v>
      </c>
      <c r="P280" t="n">
        <v>0</v>
      </c>
      <c r="Q280" t="n">
        <v>0</v>
      </c>
      <c r="R280" s="2" t="inlineStr"/>
    </row>
    <row r="281" ht="15" customHeight="1">
      <c r="A281" t="inlineStr">
        <is>
          <t>A 34018-2025</t>
        </is>
      </c>
      <c r="B281" s="1" t="n">
        <v>45845.34341435185</v>
      </c>
      <c r="C281" s="1" t="n">
        <v>45900</v>
      </c>
      <c r="D281" t="inlineStr">
        <is>
          <t>ÖREBRO LÄN</t>
        </is>
      </c>
      <c r="E281" t="inlineStr">
        <is>
          <t>HÄLLEFORS</t>
        </is>
      </c>
      <c r="G281" t="n">
        <v>6.4</v>
      </c>
      <c r="H281" t="n">
        <v>0</v>
      </c>
      <c r="I281" t="n">
        <v>0</v>
      </c>
      <c r="J281" t="n">
        <v>0</v>
      </c>
      <c r="K281" t="n">
        <v>0</v>
      </c>
      <c r="L281" t="n">
        <v>0</v>
      </c>
      <c r="M281" t="n">
        <v>0</v>
      </c>
      <c r="N281" t="n">
        <v>0</v>
      </c>
      <c r="O281" t="n">
        <v>0</v>
      </c>
      <c r="P281" t="n">
        <v>0</v>
      </c>
      <c r="Q281" t="n">
        <v>0</v>
      </c>
      <c r="R281" s="2" t="inlineStr"/>
    </row>
    <row r="282" ht="15" customHeight="1">
      <c r="A282" t="inlineStr">
        <is>
          <t>A 34020-2025</t>
        </is>
      </c>
      <c r="B282" s="1" t="n">
        <v>45845.34695601852</v>
      </c>
      <c r="C282" s="1" t="n">
        <v>45900</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34042-2025</t>
        </is>
      </c>
      <c r="B283" s="1" t="n">
        <v>45845.37733796296</v>
      </c>
      <c r="C283" s="1" t="n">
        <v>45900</v>
      </c>
      <c r="D283" t="inlineStr">
        <is>
          <t>ÖREBRO LÄN</t>
        </is>
      </c>
      <c r="E283" t="inlineStr">
        <is>
          <t>HÄLLEFORS</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34045-2025</t>
        </is>
      </c>
      <c r="B284" s="1" t="n">
        <v>45845.38480324074</v>
      </c>
      <c r="C284" s="1" t="n">
        <v>45900</v>
      </c>
      <c r="D284" t="inlineStr">
        <is>
          <t>ÖREBRO LÄN</t>
        </is>
      </c>
      <c r="E284" t="inlineStr">
        <is>
          <t>HÄLLEFORS</t>
        </is>
      </c>
      <c r="F284" t="inlineStr">
        <is>
          <t>Bergvik skog väst AB</t>
        </is>
      </c>
      <c r="G284" t="n">
        <v>4</v>
      </c>
      <c r="H284" t="n">
        <v>0</v>
      </c>
      <c r="I284" t="n">
        <v>0</v>
      </c>
      <c r="J284" t="n">
        <v>0</v>
      </c>
      <c r="K284" t="n">
        <v>0</v>
      </c>
      <c r="L284" t="n">
        <v>0</v>
      </c>
      <c r="M284" t="n">
        <v>0</v>
      </c>
      <c r="N284" t="n">
        <v>0</v>
      </c>
      <c r="O284" t="n">
        <v>0</v>
      </c>
      <c r="P284" t="n">
        <v>0</v>
      </c>
      <c r="Q284" t="n">
        <v>0</v>
      </c>
      <c r="R284" s="2" t="inlineStr"/>
    </row>
    <row r="285" ht="15" customHeight="1">
      <c r="A285" t="inlineStr">
        <is>
          <t>A 34052-2025</t>
        </is>
      </c>
      <c r="B285" s="1" t="n">
        <v>45845.40813657407</v>
      </c>
      <c r="C285" s="1" t="n">
        <v>45900</v>
      </c>
      <c r="D285" t="inlineStr">
        <is>
          <t>ÖREBRO LÄN</t>
        </is>
      </c>
      <c r="E285" t="inlineStr">
        <is>
          <t>HÄLLEFORS</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39183-2025</t>
        </is>
      </c>
      <c r="B286" s="1" t="n">
        <v>45888.6637962963</v>
      </c>
      <c r="C286" s="1" t="n">
        <v>45900</v>
      </c>
      <c r="D286" t="inlineStr">
        <is>
          <t>ÖREBRO LÄN</t>
        </is>
      </c>
      <c r="E286" t="inlineStr">
        <is>
          <t>HÄLLEFORS</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67843-2021</t>
        </is>
      </c>
      <c r="B287" s="1" t="n">
        <v>44525.47178240741</v>
      </c>
      <c r="C287" s="1" t="n">
        <v>45900</v>
      </c>
      <c r="D287" t="inlineStr">
        <is>
          <t>ÖREBRO LÄN</t>
        </is>
      </c>
      <c r="E287" t="inlineStr">
        <is>
          <t>HÄLLEFORS</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45900</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18555-2025</t>
        </is>
      </c>
      <c r="B289" s="1" t="n">
        <v>45763</v>
      </c>
      <c r="C289" s="1" t="n">
        <v>45900</v>
      </c>
      <c r="D289" t="inlineStr">
        <is>
          <t>ÖREBRO LÄN</t>
        </is>
      </c>
      <c r="E289" t="inlineStr">
        <is>
          <t>HÄLLEFORS</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19055-2024</t>
        </is>
      </c>
      <c r="B290" s="1" t="n">
        <v>45427.79534722222</v>
      </c>
      <c r="C290" s="1" t="n">
        <v>45900</v>
      </c>
      <c r="D290" t="inlineStr">
        <is>
          <t>ÖREBRO LÄN</t>
        </is>
      </c>
      <c r="E290" t="inlineStr">
        <is>
          <t>HÄLLEFORS</t>
        </is>
      </c>
      <c r="G290" t="n">
        <v>0.6</v>
      </c>
      <c r="H290" t="n">
        <v>0</v>
      </c>
      <c r="I290" t="n">
        <v>0</v>
      </c>
      <c r="J290" t="n">
        <v>0</v>
      </c>
      <c r="K290" t="n">
        <v>0</v>
      </c>
      <c r="L290" t="n">
        <v>0</v>
      </c>
      <c r="M290" t="n">
        <v>0</v>
      </c>
      <c r="N290" t="n">
        <v>0</v>
      </c>
      <c r="O290" t="n">
        <v>0</v>
      </c>
      <c r="P290" t="n">
        <v>0</v>
      </c>
      <c r="Q290" t="n">
        <v>0</v>
      </c>
      <c r="R290" s="2" t="inlineStr"/>
    </row>
    <row r="291" ht="15" customHeight="1">
      <c r="A291" t="inlineStr">
        <is>
          <t>A 2079-2024</t>
        </is>
      </c>
      <c r="B291" s="1" t="n">
        <v>45309</v>
      </c>
      <c r="C291" s="1" t="n">
        <v>45900</v>
      </c>
      <c r="D291" t="inlineStr">
        <is>
          <t>ÖREBRO LÄN</t>
        </is>
      </c>
      <c r="E291" t="inlineStr">
        <is>
          <t>HÄLLEFORS</t>
        </is>
      </c>
      <c r="G291" t="n">
        <v>0.4</v>
      </c>
      <c r="H291" t="n">
        <v>0</v>
      </c>
      <c r="I291" t="n">
        <v>0</v>
      </c>
      <c r="J291" t="n">
        <v>0</v>
      </c>
      <c r="K291" t="n">
        <v>0</v>
      </c>
      <c r="L291" t="n">
        <v>0</v>
      </c>
      <c r="M291" t="n">
        <v>0</v>
      </c>
      <c r="N291" t="n">
        <v>0</v>
      </c>
      <c r="O291" t="n">
        <v>0</v>
      </c>
      <c r="P291" t="n">
        <v>0</v>
      </c>
      <c r="Q291" t="n">
        <v>0</v>
      </c>
      <c r="R291" s="2" t="inlineStr"/>
    </row>
    <row r="292" ht="15" customHeight="1">
      <c r="A292" t="inlineStr">
        <is>
          <t>A 50571-2024</t>
        </is>
      </c>
      <c r="B292" s="1" t="n">
        <v>45601.60576388889</v>
      </c>
      <c r="C292" s="1" t="n">
        <v>45900</v>
      </c>
      <c r="D292" t="inlineStr">
        <is>
          <t>ÖREBRO LÄN</t>
        </is>
      </c>
      <c r="E292" t="inlineStr">
        <is>
          <t>HÄLLEFORS</t>
        </is>
      </c>
      <c r="F292" t="inlineStr">
        <is>
          <t>Bergvik skog väst AB</t>
        </is>
      </c>
      <c r="G292" t="n">
        <v>4.6</v>
      </c>
      <c r="H292" t="n">
        <v>0</v>
      </c>
      <c r="I292" t="n">
        <v>0</v>
      </c>
      <c r="J292" t="n">
        <v>0</v>
      </c>
      <c r="K292" t="n">
        <v>0</v>
      </c>
      <c r="L292" t="n">
        <v>0</v>
      </c>
      <c r="M292" t="n">
        <v>0</v>
      </c>
      <c r="N292" t="n">
        <v>0</v>
      </c>
      <c r="O292" t="n">
        <v>0</v>
      </c>
      <c r="P292" t="n">
        <v>0</v>
      </c>
      <c r="Q292" t="n">
        <v>0</v>
      </c>
      <c r="R292" s="2" t="inlineStr"/>
    </row>
    <row r="293" ht="15" customHeight="1">
      <c r="A293" t="inlineStr">
        <is>
          <t>A 74464-2021</t>
        </is>
      </c>
      <c r="B293" s="1" t="n">
        <v>44560.52915509259</v>
      </c>
      <c r="C293" s="1" t="n">
        <v>45900</v>
      </c>
      <c r="D293" t="inlineStr">
        <is>
          <t>ÖREBRO LÄN</t>
        </is>
      </c>
      <c r="E293" t="inlineStr">
        <is>
          <t>HÄLLEFORS</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17075-2025</t>
        </is>
      </c>
      <c r="B294" s="1" t="n">
        <v>45755.62278935185</v>
      </c>
      <c r="C294" s="1" t="n">
        <v>45900</v>
      </c>
      <c r="D294" t="inlineStr">
        <is>
          <t>ÖREBRO LÄN</t>
        </is>
      </c>
      <c r="E294" t="inlineStr">
        <is>
          <t>HÄLLEFORS</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3643-2025</t>
        </is>
      </c>
      <c r="B295" s="1" t="n">
        <v>45681</v>
      </c>
      <c r="C295" s="1" t="n">
        <v>45900</v>
      </c>
      <c r="D295" t="inlineStr">
        <is>
          <t>ÖREBRO LÄN</t>
        </is>
      </c>
      <c r="E295" t="inlineStr">
        <is>
          <t>HÄLLEFORS</t>
        </is>
      </c>
      <c r="G295" t="n">
        <v>20.8</v>
      </c>
      <c r="H295" t="n">
        <v>0</v>
      </c>
      <c r="I295" t="n">
        <v>0</v>
      </c>
      <c r="J295" t="n">
        <v>0</v>
      </c>
      <c r="K295" t="n">
        <v>0</v>
      </c>
      <c r="L295" t="n">
        <v>0</v>
      </c>
      <c r="M295" t="n">
        <v>0</v>
      </c>
      <c r="N295" t="n">
        <v>0</v>
      </c>
      <c r="O295" t="n">
        <v>0</v>
      </c>
      <c r="P295" t="n">
        <v>0</v>
      </c>
      <c r="Q295" t="n">
        <v>0</v>
      </c>
      <c r="R295" s="2" t="inlineStr"/>
    </row>
    <row r="296" ht="15" customHeight="1">
      <c r="A296" t="inlineStr">
        <is>
          <t>A 9411-2022</t>
        </is>
      </c>
      <c r="B296" s="1" t="n">
        <v>44616</v>
      </c>
      <c r="C296" s="1" t="n">
        <v>45900</v>
      </c>
      <c r="D296" t="inlineStr">
        <is>
          <t>ÖREBRO LÄN</t>
        </is>
      </c>
      <c r="E296" t="inlineStr">
        <is>
          <t>HÄLLEFORS</t>
        </is>
      </c>
      <c r="G296" t="n">
        <v>2.4</v>
      </c>
      <c r="H296" t="n">
        <v>0</v>
      </c>
      <c r="I296" t="n">
        <v>0</v>
      </c>
      <c r="J296" t="n">
        <v>0</v>
      </c>
      <c r="K296" t="n">
        <v>0</v>
      </c>
      <c r="L296" t="n">
        <v>0</v>
      </c>
      <c r="M296" t="n">
        <v>0</v>
      </c>
      <c r="N296" t="n">
        <v>0</v>
      </c>
      <c r="O296" t="n">
        <v>0</v>
      </c>
      <c r="P296" t="n">
        <v>0</v>
      </c>
      <c r="Q296" t="n">
        <v>0</v>
      </c>
      <c r="R296" s="2" t="inlineStr"/>
    </row>
    <row r="297" ht="15" customHeight="1">
      <c r="A297" t="inlineStr">
        <is>
          <t>A 46987-2023</t>
        </is>
      </c>
      <c r="B297" s="1" t="n">
        <v>45201</v>
      </c>
      <c r="C297" s="1" t="n">
        <v>45900</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13758-2023</t>
        </is>
      </c>
      <c r="B298" s="1" t="n">
        <v>45007.42528935185</v>
      </c>
      <c r="C298" s="1" t="n">
        <v>45900</v>
      </c>
      <c r="D298" t="inlineStr">
        <is>
          <t>ÖREBRO LÄN</t>
        </is>
      </c>
      <c r="E298" t="inlineStr">
        <is>
          <t>HÄLLEFORS</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5033-2025</t>
        </is>
      </c>
      <c r="B299" s="1" t="n">
        <v>45691.425625</v>
      </c>
      <c r="C299" s="1" t="n">
        <v>45900</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39926-2025</t>
        </is>
      </c>
      <c r="B300" s="1" t="n">
        <v>45891.68451388889</v>
      </c>
      <c r="C300" s="1" t="n">
        <v>45900</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17350-2025</t>
        </is>
      </c>
      <c r="B301" s="1" t="n">
        <v>45756.68074074074</v>
      </c>
      <c r="C301" s="1" t="n">
        <v>45900</v>
      </c>
      <c r="D301" t="inlineStr">
        <is>
          <t>ÖREBRO LÄN</t>
        </is>
      </c>
      <c r="E301" t="inlineStr">
        <is>
          <t>HÄLLEFORS</t>
        </is>
      </c>
      <c r="F301" t="inlineStr">
        <is>
          <t>Bergvik skog väst AB</t>
        </is>
      </c>
      <c r="G301" t="n">
        <v>6.9</v>
      </c>
      <c r="H301" t="n">
        <v>0</v>
      </c>
      <c r="I301" t="n">
        <v>0</v>
      </c>
      <c r="J301" t="n">
        <v>0</v>
      </c>
      <c r="K301" t="n">
        <v>0</v>
      </c>
      <c r="L301" t="n">
        <v>0</v>
      </c>
      <c r="M301" t="n">
        <v>0</v>
      </c>
      <c r="N301" t="n">
        <v>0</v>
      </c>
      <c r="O301" t="n">
        <v>0</v>
      </c>
      <c r="P301" t="n">
        <v>0</v>
      </c>
      <c r="Q301" t="n">
        <v>0</v>
      </c>
      <c r="R301" s="2" t="inlineStr"/>
    </row>
    <row r="302" ht="15" customHeight="1">
      <c r="A302" t="inlineStr">
        <is>
          <t>A 40485-2025</t>
        </is>
      </c>
      <c r="B302" s="1" t="n">
        <v>45895.85320601852</v>
      </c>
      <c r="C302" s="1" t="n">
        <v>45900</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1018-2025</t>
        </is>
      </c>
      <c r="B303" s="1" t="n">
        <v>45666.49185185185</v>
      </c>
      <c r="C303" s="1" t="n">
        <v>45900</v>
      </c>
      <c r="D303" t="inlineStr">
        <is>
          <t>ÖREBRO LÄN</t>
        </is>
      </c>
      <c r="E303" t="inlineStr">
        <is>
          <t>HÄLLEFORS</t>
        </is>
      </c>
      <c r="G303" t="n">
        <v>0.8</v>
      </c>
      <c r="H303" t="n">
        <v>0</v>
      </c>
      <c r="I303" t="n">
        <v>0</v>
      </c>
      <c r="J303" t="n">
        <v>0</v>
      </c>
      <c r="K303" t="n">
        <v>0</v>
      </c>
      <c r="L303" t="n">
        <v>0</v>
      </c>
      <c r="M303" t="n">
        <v>0</v>
      </c>
      <c r="N303" t="n">
        <v>0</v>
      </c>
      <c r="O303" t="n">
        <v>0</v>
      </c>
      <c r="P303" t="n">
        <v>0</v>
      </c>
      <c r="Q303" t="n">
        <v>0</v>
      </c>
      <c r="R303" s="2" t="inlineStr"/>
    </row>
    <row r="304" ht="15" customHeight="1">
      <c r="A304" t="inlineStr">
        <is>
          <t>A 5684-2025</t>
        </is>
      </c>
      <c r="B304" s="1" t="n">
        <v>45694</v>
      </c>
      <c r="C304" s="1" t="n">
        <v>45900</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29884-2022</t>
        </is>
      </c>
      <c r="B305" s="1" t="n">
        <v>44756</v>
      </c>
      <c r="C305" s="1" t="n">
        <v>45900</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33944-2024</t>
        </is>
      </c>
      <c r="B306" s="1" t="n">
        <v>45523</v>
      </c>
      <c r="C306" s="1" t="n">
        <v>45900</v>
      </c>
      <c r="D306" t="inlineStr">
        <is>
          <t>ÖREBRO LÄN</t>
        </is>
      </c>
      <c r="E306" t="inlineStr">
        <is>
          <t>HÄLLEFORS</t>
        </is>
      </c>
      <c r="G306" t="n">
        <v>5.9</v>
      </c>
      <c r="H306" t="n">
        <v>0</v>
      </c>
      <c r="I306" t="n">
        <v>0</v>
      </c>
      <c r="J306" t="n">
        <v>0</v>
      </c>
      <c r="K306" t="n">
        <v>0</v>
      </c>
      <c r="L306" t="n">
        <v>0</v>
      </c>
      <c r="M306" t="n">
        <v>0</v>
      </c>
      <c r="N306" t="n">
        <v>0</v>
      </c>
      <c r="O306" t="n">
        <v>0</v>
      </c>
      <c r="P306" t="n">
        <v>0</v>
      </c>
      <c r="Q306" t="n">
        <v>0</v>
      </c>
      <c r="R306" s="2" t="inlineStr"/>
    </row>
    <row r="307" ht="15" customHeight="1">
      <c r="A307" t="inlineStr">
        <is>
          <t>A 17041-2025</t>
        </is>
      </c>
      <c r="B307" s="1" t="n">
        <v>45755.58488425926</v>
      </c>
      <c r="C307" s="1" t="n">
        <v>45900</v>
      </c>
      <c r="D307" t="inlineStr">
        <is>
          <t>ÖREBRO LÄN</t>
        </is>
      </c>
      <c r="E307" t="inlineStr">
        <is>
          <t>HÄLLEFORS</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29340-2024</t>
        </is>
      </c>
      <c r="B308" s="1" t="n">
        <v>45483.46465277778</v>
      </c>
      <c r="C308" s="1" t="n">
        <v>45900</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17050-2025</t>
        </is>
      </c>
      <c r="B309" s="1" t="n">
        <v>45755.5997337963</v>
      </c>
      <c r="C309" s="1" t="n">
        <v>45900</v>
      </c>
      <c r="D309" t="inlineStr">
        <is>
          <t>ÖREBRO LÄN</t>
        </is>
      </c>
      <c r="E309" t="inlineStr">
        <is>
          <t>HÄLLEFORS</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17063-2025</t>
        </is>
      </c>
      <c r="B310" s="1" t="n">
        <v>45755.61185185185</v>
      </c>
      <c r="C310" s="1" t="n">
        <v>45900</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41152-2025</t>
        </is>
      </c>
      <c r="B311" s="1" t="n">
        <v>45898.5128587963</v>
      </c>
      <c r="C311" s="1" t="n">
        <v>45900</v>
      </c>
      <c r="D311" t="inlineStr">
        <is>
          <t>ÖREBRO LÄN</t>
        </is>
      </c>
      <c r="E311" t="inlineStr">
        <is>
          <t>HÄLLEFORS</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19033-2021</t>
        </is>
      </c>
      <c r="B312" s="1" t="n">
        <v>44308</v>
      </c>
      <c r="C312" s="1" t="n">
        <v>45900</v>
      </c>
      <c r="D312" t="inlineStr">
        <is>
          <t>ÖREBRO LÄN</t>
        </is>
      </c>
      <c r="E312" t="inlineStr">
        <is>
          <t>HÄLLEFORS</t>
        </is>
      </c>
      <c r="G312" t="n">
        <v>7.8</v>
      </c>
      <c r="H312" t="n">
        <v>0</v>
      </c>
      <c r="I312" t="n">
        <v>0</v>
      </c>
      <c r="J312" t="n">
        <v>0</v>
      </c>
      <c r="K312" t="n">
        <v>0</v>
      </c>
      <c r="L312" t="n">
        <v>0</v>
      </c>
      <c r="M312" t="n">
        <v>0</v>
      </c>
      <c r="N312" t="n">
        <v>0</v>
      </c>
      <c r="O312" t="n">
        <v>0</v>
      </c>
      <c r="P312" t="n">
        <v>0</v>
      </c>
      <c r="Q312" t="n">
        <v>0</v>
      </c>
      <c r="R312" s="2" t="inlineStr"/>
    </row>
    <row r="313" ht="15" customHeight="1">
      <c r="A313" t="inlineStr">
        <is>
          <t>A 20170-2023</t>
        </is>
      </c>
      <c r="B313" s="1" t="n">
        <v>45055</v>
      </c>
      <c r="C313" s="1" t="n">
        <v>45900</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5263-2025</t>
        </is>
      </c>
      <c r="B314" s="1" t="n">
        <v>45692.37509259259</v>
      </c>
      <c r="C314" s="1" t="n">
        <v>45900</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5268-2025</t>
        </is>
      </c>
      <c r="B315" s="1" t="n">
        <v>45692.40298611111</v>
      </c>
      <c r="C315" s="1" t="n">
        <v>45900</v>
      </c>
      <c r="D315" t="inlineStr">
        <is>
          <t>ÖREBRO LÄN</t>
        </is>
      </c>
      <c r="E315" t="inlineStr">
        <is>
          <t>HÄLLEFORS</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36276-2024</t>
        </is>
      </c>
      <c r="B316" s="1" t="n">
        <v>45534.58140046296</v>
      </c>
      <c r="C316" s="1" t="n">
        <v>45900</v>
      </c>
      <c r="D316" t="inlineStr">
        <is>
          <t>ÖREBRO LÄN</t>
        </is>
      </c>
      <c r="E316" t="inlineStr">
        <is>
          <t>HÄLLEFORS</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6761-2025</t>
        </is>
      </c>
      <c r="B317" s="1" t="n">
        <v>45700.62762731482</v>
      </c>
      <c r="C317" s="1" t="n">
        <v>45900</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34898-2021</t>
        </is>
      </c>
      <c r="B318" s="1" t="n">
        <v>44383</v>
      </c>
      <c r="C318" s="1" t="n">
        <v>45900</v>
      </c>
      <c r="D318" t="inlineStr">
        <is>
          <t>ÖREBRO LÄN</t>
        </is>
      </c>
      <c r="E318" t="inlineStr">
        <is>
          <t>HÄLLEFORS</t>
        </is>
      </c>
      <c r="G318" t="n">
        <v>0.9</v>
      </c>
      <c r="H318" t="n">
        <v>0</v>
      </c>
      <c r="I318" t="n">
        <v>0</v>
      </c>
      <c r="J318" t="n">
        <v>0</v>
      </c>
      <c r="K318" t="n">
        <v>0</v>
      </c>
      <c r="L318" t="n">
        <v>0</v>
      </c>
      <c r="M318" t="n">
        <v>0</v>
      </c>
      <c r="N318" t="n">
        <v>0</v>
      </c>
      <c r="O318" t="n">
        <v>0</v>
      </c>
      <c r="P318" t="n">
        <v>0</v>
      </c>
      <c r="Q318" t="n">
        <v>0</v>
      </c>
      <c r="R318" s="2" t="inlineStr"/>
    </row>
    <row r="319" ht="15" customHeight="1">
      <c r="A319" t="inlineStr">
        <is>
          <t>A 5045-2025</t>
        </is>
      </c>
      <c r="B319" s="1" t="n">
        <v>45691.44689814815</v>
      </c>
      <c r="C319" s="1" t="n">
        <v>45900</v>
      </c>
      <c r="D319" t="inlineStr">
        <is>
          <t>ÖREBRO LÄN</t>
        </is>
      </c>
      <c r="E319" t="inlineStr">
        <is>
          <t>HÄLLEFORS</t>
        </is>
      </c>
      <c r="F319" t="inlineStr">
        <is>
          <t>Bergvik skog väst AB</t>
        </is>
      </c>
      <c r="G319" t="n">
        <v>6.4</v>
      </c>
      <c r="H319" t="n">
        <v>0</v>
      </c>
      <c r="I319" t="n">
        <v>0</v>
      </c>
      <c r="J319" t="n">
        <v>0</v>
      </c>
      <c r="K319" t="n">
        <v>0</v>
      </c>
      <c r="L319" t="n">
        <v>0</v>
      </c>
      <c r="M319" t="n">
        <v>0</v>
      </c>
      <c r="N319" t="n">
        <v>0</v>
      </c>
      <c r="O319" t="n">
        <v>0</v>
      </c>
      <c r="P319" t="n">
        <v>0</v>
      </c>
      <c r="Q319" t="n">
        <v>0</v>
      </c>
      <c r="R319" s="2" t="inlineStr"/>
    </row>
    <row r="320" ht="15" customHeight="1">
      <c r="A320" t="inlineStr">
        <is>
          <t>A 18657-2025</t>
        </is>
      </c>
      <c r="B320" s="1" t="n">
        <v>45763.57651620371</v>
      </c>
      <c r="C320" s="1" t="n">
        <v>45900</v>
      </c>
      <c r="D320" t="inlineStr">
        <is>
          <t>ÖREBRO LÄN</t>
        </is>
      </c>
      <c r="E320" t="inlineStr">
        <is>
          <t>HÄLLEFORS</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58534-2020</t>
        </is>
      </c>
      <c r="B321" s="1" t="n">
        <v>44145</v>
      </c>
      <c r="C321" s="1" t="n">
        <v>45900</v>
      </c>
      <c r="D321" t="inlineStr">
        <is>
          <t>ÖREBRO LÄN</t>
        </is>
      </c>
      <c r="E321" t="inlineStr">
        <is>
          <t>HÄLLEFORS</t>
        </is>
      </c>
      <c r="G321" t="n">
        <v>3.7</v>
      </c>
      <c r="H321" t="n">
        <v>0</v>
      </c>
      <c r="I321" t="n">
        <v>0</v>
      </c>
      <c r="J321" t="n">
        <v>0</v>
      </c>
      <c r="K321" t="n">
        <v>0</v>
      </c>
      <c r="L321" t="n">
        <v>0</v>
      </c>
      <c r="M321" t="n">
        <v>0</v>
      </c>
      <c r="N321" t="n">
        <v>0</v>
      </c>
      <c r="O321" t="n">
        <v>0</v>
      </c>
      <c r="P321" t="n">
        <v>0</v>
      </c>
      <c r="Q321" t="n">
        <v>0</v>
      </c>
      <c r="R321" s="2" t="inlineStr"/>
    </row>
    <row r="322" ht="15" customHeight="1">
      <c r="A322" t="inlineStr">
        <is>
          <t>A 4353-2023</t>
        </is>
      </c>
      <c r="B322" s="1" t="n">
        <v>44954.27407407408</v>
      </c>
      <c r="C322" s="1" t="n">
        <v>45900</v>
      </c>
      <c r="D322" t="inlineStr">
        <is>
          <t>ÖREBRO LÄN</t>
        </is>
      </c>
      <c r="E322" t="inlineStr">
        <is>
          <t>HÄLLEFORS</t>
        </is>
      </c>
      <c r="G322" t="n">
        <v>0.5</v>
      </c>
      <c r="H322" t="n">
        <v>0</v>
      </c>
      <c r="I322" t="n">
        <v>0</v>
      </c>
      <c r="J322" t="n">
        <v>0</v>
      </c>
      <c r="K322" t="n">
        <v>0</v>
      </c>
      <c r="L322" t="n">
        <v>0</v>
      </c>
      <c r="M322" t="n">
        <v>0</v>
      </c>
      <c r="N322" t="n">
        <v>0</v>
      </c>
      <c r="O322" t="n">
        <v>0</v>
      </c>
      <c r="P322" t="n">
        <v>0</v>
      </c>
      <c r="Q322" t="n">
        <v>0</v>
      </c>
      <c r="R322" s="2" t="inlineStr"/>
    </row>
    <row r="323" ht="15" customHeight="1">
      <c r="A323" t="inlineStr">
        <is>
          <t>A 51488-2021</t>
        </is>
      </c>
      <c r="B323" s="1" t="n">
        <v>44460</v>
      </c>
      <c r="C323" s="1" t="n">
        <v>45900</v>
      </c>
      <c r="D323" t="inlineStr">
        <is>
          <t>ÖREBRO LÄN</t>
        </is>
      </c>
      <c r="E323" t="inlineStr">
        <is>
          <t>HÄLLEFORS</t>
        </is>
      </c>
      <c r="G323" t="n">
        <v>2.8</v>
      </c>
      <c r="H323" t="n">
        <v>0</v>
      </c>
      <c r="I323" t="n">
        <v>0</v>
      </c>
      <c r="J323" t="n">
        <v>0</v>
      </c>
      <c r="K323" t="n">
        <v>0</v>
      </c>
      <c r="L323" t="n">
        <v>0</v>
      </c>
      <c r="M323" t="n">
        <v>0</v>
      </c>
      <c r="N323" t="n">
        <v>0</v>
      </c>
      <c r="O323" t="n">
        <v>0</v>
      </c>
      <c r="P323" t="n">
        <v>0</v>
      </c>
      <c r="Q323" t="n">
        <v>0</v>
      </c>
      <c r="R323" s="2" t="inlineStr"/>
    </row>
    <row r="324" ht="15" customHeight="1">
      <c r="A324" t="inlineStr">
        <is>
          <t>A 39327-2022</t>
        </is>
      </c>
      <c r="B324" s="1" t="n">
        <v>44817</v>
      </c>
      <c r="C324" s="1" t="n">
        <v>45900</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41822-2023</t>
        </is>
      </c>
      <c r="B325" s="1" t="n">
        <v>45176.56863425926</v>
      </c>
      <c r="C325" s="1" t="n">
        <v>45900</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16169-2025</t>
        </is>
      </c>
      <c r="B326" s="1" t="n">
        <v>45750</v>
      </c>
      <c r="C326" s="1" t="n">
        <v>45900</v>
      </c>
      <c r="D326" t="inlineStr">
        <is>
          <t>ÖREBRO LÄN</t>
        </is>
      </c>
      <c r="E326" t="inlineStr">
        <is>
          <t>HÄLLEFORS</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44105-2024</t>
        </is>
      </c>
      <c r="B327" s="1" t="n">
        <v>45572.62980324074</v>
      </c>
      <c r="C327" s="1" t="n">
        <v>45900</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12082-2025</t>
        </is>
      </c>
      <c r="B328" s="1" t="n">
        <v>45728</v>
      </c>
      <c r="C328" s="1" t="n">
        <v>45900</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27513-2021</t>
        </is>
      </c>
      <c r="B329" s="1" t="n">
        <v>44351</v>
      </c>
      <c r="C329" s="1" t="n">
        <v>45900</v>
      </c>
      <c r="D329" t="inlineStr">
        <is>
          <t>ÖREBRO LÄN</t>
        </is>
      </c>
      <c r="E329" t="inlineStr">
        <is>
          <t>HÄLLEFORS</t>
        </is>
      </c>
      <c r="F329" t="inlineStr">
        <is>
          <t>Sveaskog</t>
        </is>
      </c>
      <c r="G329" t="n">
        <v>4.6</v>
      </c>
      <c r="H329" t="n">
        <v>0</v>
      </c>
      <c r="I329" t="n">
        <v>0</v>
      </c>
      <c r="J329" t="n">
        <v>0</v>
      </c>
      <c r="K329" t="n">
        <v>0</v>
      </c>
      <c r="L329" t="n">
        <v>0</v>
      </c>
      <c r="M329" t="n">
        <v>0</v>
      </c>
      <c r="N329" t="n">
        <v>0</v>
      </c>
      <c r="O329" t="n">
        <v>0</v>
      </c>
      <c r="P329" t="n">
        <v>0</v>
      </c>
      <c r="Q329" t="n">
        <v>0</v>
      </c>
      <c r="R329" s="2" t="inlineStr"/>
    </row>
    <row r="330" ht="15" customHeight="1">
      <c r="A330" t="inlineStr">
        <is>
          <t>A 17810-2025</t>
        </is>
      </c>
      <c r="B330" s="1" t="n">
        <v>45758.55883101852</v>
      </c>
      <c r="C330" s="1" t="n">
        <v>45900</v>
      </c>
      <c r="D330" t="inlineStr">
        <is>
          <t>ÖREBRO LÄN</t>
        </is>
      </c>
      <c r="E330" t="inlineStr">
        <is>
          <t>HÄLLEFORS</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17811-2025</t>
        </is>
      </c>
      <c r="B331" s="1" t="n">
        <v>45758.5594212963</v>
      </c>
      <c r="C331" s="1" t="n">
        <v>45900</v>
      </c>
      <c r="D331" t="inlineStr">
        <is>
          <t>ÖREBRO LÄN</t>
        </is>
      </c>
      <c r="E331" t="inlineStr">
        <is>
          <t>HÄLLEFORS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42920-2024</t>
        </is>
      </c>
      <c r="B332" s="1" t="n">
        <v>45567.29131944444</v>
      </c>
      <c r="C332" s="1" t="n">
        <v>45900</v>
      </c>
      <c r="D332" t="inlineStr">
        <is>
          <t>ÖREBRO LÄN</t>
        </is>
      </c>
      <c r="E332" t="inlineStr">
        <is>
          <t>HÄLLEFORS</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23561-2023</t>
        </is>
      </c>
      <c r="B333" s="1" t="n">
        <v>45077.39368055556</v>
      </c>
      <c r="C333" s="1" t="n">
        <v>45900</v>
      </c>
      <c r="D333" t="inlineStr">
        <is>
          <t>ÖREBRO LÄN</t>
        </is>
      </c>
      <c r="E333" t="inlineStr">
        <is>
          <t>HÄLLEFORS</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67953-2021</t>
        </is>
      </c>
      <c r="B334" s="1" t="n">
        <v>44525.63929398148</v>
      </c>
      <c r="C334" s="1" t="n">
        <v>45900</v>
      </c>
      <c r="D334" t="inlineStr">
        <is>
          <t>ÖREBRO LÄN</t>
        </is>
      </c>
      <c r="E334" t="inlineStr">
        <is>
          <t>HÄLLEFORS</t>
        </is>
      </c>
      <c r="G334" t="n">
        <v>2</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45900</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9536-2025</t>
        </is>
      </c>
      <c r="B336" s="1" t="n">
        <v>45715.57746527778</v>
      </c>
      <c r="C336" s="1" t="n">
        <v>45900</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9539-2025</t>
        </is>
      </c>
      <c r="B337" s="1" t="n">
        <v>45715.57984953704</v>
      </c>
      <c r="C337" s="1" t="n">
        <v>45900</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45900</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45900</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17045-2025</t>
        </is>
      </c>
      <c r="B340" s="1" t="n">
        <v>45755.59307870371</v>
      </c>
      <c r="C340" s="1" t="n">
        <v>45900</v>
      </c>
      <c r="D340" t="inlineStr">
        <is>
          <t>ÖREBRO LÄN</t>
        </is>
      </c>
      <c r="E340" t="inlineStr">
        <is>
          <t>HÄLLEFORS</t>
        </is>
      </c>
      <c r="F340" t="inlineStr">
        <is>
          <t>Bergvik skog väst AB</t>
        </is>
      </c>
      <c r="G340" t="n">
        <v>4.8</v>
      </c>
      <c r="H340" t="n">
        <v>0</v>
      </c>
      <c r="I340" t="n">
        <v>0</v>
      </c>
      <c r="J340" t="n">
        <v>0</v>
      </c>
      <c r="K340" t="n">
        <v>0</v>
      </c>
      <c r="L340" t="n">
        <v>0</v>
      </c>
      <c r="M340" t="n">
        <v>0</v>
      </c>
      <c r="N340" t="n">
        <v>0</v>
      </c>
      <c r="O340" t="n">
        <v>0</v>
      </c>
      <c r="P340" t="n">
        <v>0</v>
      </c>
      <c r="Q340" t="n">
        <v>0</v>
      </c>
      <c r="R340" s="2" t="inlineStr"/>
    </row>
    <row r="341" ht="15" customHeight="1">
      <c r="A341" t="inlineStr">
        <is>
          <t>A 16135-2025</t>
        </is>
      </c>
      <c r="B341" s="1" t="n">
        <v>45750.44355324074</v>
      </c>
      <c r="C341" s="1" t="n">
        <v>45900</v>
      </c>
      <c r="D341" t="inlineStr">
        <is>
          <t>ÖREBRO LÄN</t>
        </is>
      </c>
      <c r="E341" t="inlineStr">
        <is>
          <t>HÄLLEFORS</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45900</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18605-2025</t>
        </is>
      </c>
      <c r="B343" s="1" t="n">
        <v>45763.49344907407</v>
      </c>
      <c r="C343" s="1" t="n">
        <v>45900</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43886-2024</t>
        </is>
      </c>
      <c r="B344" s="1" t="n">
        <v>45572.40844907407</v>
      </c>
      <c r="C344" s="1" t="n">
        <v>45900</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34478-2022</t>
        </is>
      </c>
      <c r="B345" s="1" t="n">
        <v>44792.64494212963</v>
      </c>
      <c r="C345" s="1" t="n">
        <v>45900</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38908-2021</t>
        </is>
      </c>
      <c r="B346" s="1" t="n">
        <v>44411</v>
      </c>
      <c r="C346" s="1" t="n">
        <v>45900</v>
      </c>
      <c r="D346" t="inlineStr">
        <is>
          <t>ÖREBRO LÄN</t>
        </is>
      </c>
      <c r="E346" t="inlineStr">
        <is>
          <t>HÄLLEFORS</t>
        </is>
      </c>
      <c r="G346" t="n">
        <v>3.9</v>
      </c>
      <c r="H346" t="n">
        <v>0</v>
      </c>
      <c r="I346" t="n">
        <v>0</v>
      </c>
      <c r="J346" t="n">
        <v>0</v>
      </c>
      <c r="K346" t="n">
        <v>0</v>
      </c>
      <c r="L346" t="n">
        <v>0</v>
      </c>
      <c r="M346" t="n">
        <v>0</v>
      </c>
      <c r="N346" t="n">
        <v>0</v>
      </c>
      <c r="O346" t="n">
        <v>0</v>
      </c>
      <c r="P346" t="n">
        <v>0</v>
      </c>
      <c r="Q346" t="n">
        <v>0</v>
      </c>
      <c r="R346" s="2" t="inlineStr"/>
    </row>
    <row r="347" ht="15" customHeight="1">
      <c r="A347" t="inlineStr">
        <is>
          <t>A 18888-2025</t>
        </is>
      </c>
      <c r="B347" s="1" t="n">
        <v>45764.44396990741</v>
      </c>
      <c r="C347" s="1" t="n">
        <v>45900</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51088-2022</t>
        </is>
      </c>
      <c r="B348" s="1" t="n">
        <v>44868.3935300926</v>
      </c>
      <c r="C348" s="1" t="n">
        <v>45900</v>
      </c>
      <c r="D348" t="inlineStr">
        <is>
          <t>ÖREBRO LÄN</t>
        </is>
      </c>
      <c r="E348" t="inlineStr">
        <is>
          <t>HÄLLEFORS</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45900</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44905-2021</t>
        </is>
      </c>
      <c r="B350" s="1" t="n">
        <v>44438.65045138889</v>
      </c>
      <c r="C350" s="1" t="n">
        <v>45900</v>
      </c>
      <c r="D350" t="inlineStr">
        <is>
          <t>ÖREBRO LÄN</t>
        </is>
      </c>
      <c r="E350" t="inlineStr">
        <is>
          <t>HÄLLEFORS</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30591-2024</t>
        </is>
      </c>
      <c r="B351" s="1" t="n">
        <v>45493.3153125</v>
      </c>
      <c r="C351" s="1" t="n">
        <v>45900</v>
      </c>
      <c r="D351" t="inlineStr">
        <is>
          <t>ÖREBRO LÄN</t>
        </is>
      </c>
      <c r="E351" t="inlineStr">
        <is>
          <t>HÄLLEFORS</t>
        </is>
      </c>
      <c r="G351" t="n">
        <v>12.5</v>
      </c>
      <c r="H351" t="n">
        <v>0</v>
      </c>
      <c r="I351" t="n">
        <v>0</v>
      </c>
      <c r="J351" t="n">
        <v>0</v>
      </c>
      <c r="K351" t="n">
        <v>0</v>
      </c>
      <c r="L351" t="n">
        <v>0</v>
      </c>
      <c r="M351" t="n">
        <v>0</v>
      </c>
      <c r="N351" t="n">
        <v>0</v>
      </c>
      <c r="O351" t="n">
        <v>0</v>
      </c>
      <c r="P351" t="n">
        <v>0</v>
      </c>
      <c r="Q351" t="n">
        <v>0</v>
      </c>
      <c r="R351" s="2" t="inlineStr"/>
    </row>
    <row r="352" ht="15" customHeight="1">
      <c r="A352" t="inlineStr">
        <is>
          <t>A 623-2023</t>
        </is>
      </c>
      <c r="B352" s="1" t="n">
        <v>44930</v>
      </c>
      <c r="C352" s="1" t="n">
        <v>45900</v>
      </c>
      <c r="D352" t="inlineStr">
        <is>
          <t>ÖREBRO LÄN</t>
        </is>
      </c>
      <c r="E352" t="inlineStr">
        <is>
          <t>HÄLLEFORS</t>
        </is>
      </c>
      <c r="G352" t="n">
        <v>1.4</v>
      </c>
      <c r="H352" t="n">
        <v>0</v>
      </c>
      <c r="I352" t="n">
        <v>0</v>
      </c>
      <c r="J352" t="n">
        <v>0</v>
      </c>
      <c r="K352" t="n">
        <v>0</v>
      </c>
      <c r="L352" t="n">
        <v>0</v>
      </c>
      <c r="M352" t="n">
        <v>0</v>
      </c>
      <c r="N352" t="n">
        <v>0</v>
      </c>
      <c r="O352" t="n">
        <v>0</v>
      </c>
      <c r="P352" t="n">
        <v>0</v>
      </c>
      <c r="Q352" t="n">
        <v>0</v>
      </c>
      <c r="R352" s="2" t="inlineStr"/>
    </row>
    <row r="353" ht="15" customHeight="1">
      <c r="A353" t="inlineStr">
        <is>
          <t>A 17764-2023</t>
        </is>
      </c>
      <c r="B353" s="1" t="n">
        <v>45037.50085648148</v>
      </c>
      <c r="C353" s="1" t="n">
        <v>45900</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11467-2024</t>
        </is>
      </c>
      <c r="B354" s="1" t="n">
        <v>45372.59753472222</v>
      </c>
      <c r="C354" s="1" t="n">
        <v>45900</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17333-2025</t>
        </is>
      </c>
      <c r="B355" s="1" t="n">
        <v>45756</v>
      </c>
      <c r="C355" s="1" t="n">
        <v>45900</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45900</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71766-2021</t>
        </is>
      </c>
      <c r="B357" s="1" t="n">
        <v>44543</v>
      </c>
      <c r="C357" s="1" t="n">
        <v>45900</v>
      </c>
      <c r="D357" t="inlineStr">
        <is>
          <t>ÖREBRO LÄN</t>
        </is>
      </c>
      <c r="E357" t="inlineStr">
        <is>
          <t>HÄLLEFORS</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23037-2024</t>
        </is>
      </c>
      <c r="B358" s="1" t="n">
        <v>45450.3955787037</v>
      </c>
      <c r="C358" s="1" t="n">
        <v>45900</v>
      </c>
      <c r="D358" t="inlineStr">
        <is>
          <t>ÖREBRO LÄN</t>
        </is>
      </c>
      <c r="E358" t="inlineStr">
        <is>
          <t>HÄLLEFORS</t>
        </is>
      </c>
      <c r="G358" t="n">
        <v>2.4</v>
      </c>
      <c r="H358" t="n">
        <v>0</v>
      </c>
      <c r="I358" t="n">
        <v>0</v>
      </c>
      <c r="J358" t="n">
        <v>0</v>
      </c>
      <c r="K358" t="n">
        <v>0</v>
      </c>
      <c r="L358" t="n">
        <v>0</v>
      </c>
      <c r="M358" t="n">
        <v>0</v>
      </c>
      <c r="N358" t="n">
        <v>0</v>
      </c>
      <c r="O358" t="n">
        <v>0</v>
      </c>
      <c r="P358" t="n">
        <v>0</v>
      </c>
      <c r="Q358" t="n">
        <v>0</v>
      </c>
      <c r="R358" s="2" t="inlineStr"/>
    </row>
    <row r="359" ht="15" customHeight="1">
      <c r="A359" t="inlineStr">
        <is>
          <t>A 44091-2024</t>
        </is>
      </c>
      <c r="B359" s="1" t="n">
        <v>45572.6216087963</v>
      </c>
      <c r="C359" s="1" t="n">
        <v>45900</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44052-2024</t>
        </is>
      </c>
      <c r="B360" s="1" t="n">
        <v>45572.59605324074</v>
      </c>
      <c r="C360" s="1" t="n">
        <v>45900</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46912-2023</t>
        </is>
      </c>
      <c r="B361" s="1" t="n">
        <v>45201</v>
      </c>
      <c r="C361" s="1" t="n">
        <v>45900</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2283-2023</t>
        </is>
      </c>
      <c r="B362" s="1" t="n">
        <v>44942</v>
      </c>
      <c r="C362" s="1" t="n">
        <v>45900</v>
      </c>
      <c r="D362" t="inlineStr">
        <is>
          <t>ÖREBRO LÄN</t>
        </is>
      </c>
      <c r="E362" t="inlineStr">
        <is>
          <t>HÄLLEFORS</t>
        </is>
      </c>
      <c r="G362" t="n">
        <v>3.2</v>
      </c>
      <c r="H362" t="n">
        <v>0</v>
      </c>
      <c r="I362" t="n">
        <v>0</v>
      </c>
      <c r="J362" t="n">
        <v>0</v>
      </c>
      <c r="K362" t="n">
        <v>0</v>
      </c>
      <c r="L362" t="n">
        <v>0</v>
      </c>
      <c r="M362" t="n">
        <v>0</v>
      </c>
      <c r="N362" t="n">
        <v>0</v>
      </c>
      <c r="O362" t="n">
        <v>0</v>
      </c>
      <c r="P362" t="n">
        <v>0</v>
      </c>
      <c r="Q362" t="n">
        <v>0</v>
      </c>
      <c r="R362" s="2" t="inlineStr"/>
    </row>
    <row r="363" ht="15" customHeight="1">
      <c r="A363" t="inlineStr">
        <is>
          <t>A 47190-2022</t>
        </is>
      </c>
      <c r="B363" s="1" t="n">
        <v>44852</v>
      </c>
      <c r="C363" s="1" t="n">
        <v>45900</v>
      </c>
      <c r="D363" t="inlineStr">
        <is>
          <t>ÖREBRO LÄN</t>
        </is>
      </c>
      <c r="E363" t="inlineStr">
        <is>
          <t>HÄLLEFORS</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9518-2023</t>
        </is>
      </c>
      <c r="B364" s="1" t="n">
        <v>44981</v>
      </c>
      <c r="C364" s="1" t="n">
        <v>45900</v>
      </c>
      <c r="D364" t="inlineStr">
        <is>
          <t>ÖREBRO LÄN</t>
        </is>
      </c>
      <c r="E364" t="inlineStr">
        <is>
          <t>HÄLLEFORS</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51213-2023</t>
        </is>
      </c>
      <c r="B365" s="1" t="n">
        <v>45219.44515046296</v>
      </c>
      <c r="C365" s="1" t="n">
        <v>45900</v>
      </c>
      <c r="D365" t="inlineStr">
        <is>
          <t>ÖREBRO LÄN</t>
        </is>
      </c>
      <c r="E365" t="inlineStr">
        <is>
          <t>HÄLLEFORS</t>
        </is>
      </c>
      <c r="F365" t="inlineStr">
        <is>
          <t>Bergvik skog väst AB</t>
        </is>
      </c>
      <c r="G365" t="n">
        <v>3.5</v>
      </c>
      <c r="H365" t="n">
        <v>0</v>
      </c>
      <c r="I365" t="n">
        <v>0</v>
      </c>
      <c r="J365" t="n">
        <v>0</v>
      </c>
      <c r="K365" t="n">
        <v>0</v>
      </c>
      <c r="L365" t="n">
        <v>0</v>
      </c>
      <c r="M365" t="n">
        <v>0</v>
      </c>
      <c r="N365" t="n">
        <v>0</v>
      </c>
      <c r="O365" t="n">
        <v>0</v>
      </c>
      <c r="P365" t="n">
        <v>0</v>
      </c>
      <c r="Q365" t="n">
        <v>0</v>
      </c>
      <c r="R365" s="2" t="inlineStr"/>
    </row>
    <row r="366" ht="15" customHeight="1">
      <c r="A366" t="inlineStr">
        <is>
          <t>A 58499-2022</t>
        </is>
      </c>
      <c r="B366" s="1" t="n">
        <v>44902.3759375</v>
      </c>
      <c r="C366" s="1" t="n">
        <v>45900</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46980-2023</t>
        </is>
      </c>
      <c r="B367" s="1" t="n">
        <v>45201</v>
      </c>
      <c r="C367" s="1" t="n">
        <v>45900</v>
      </c>
      <c r="D367" t="inlineStr">
        <is>
          <t>ÖREBRO LÄN</t>
        </is>
      </c>
      <c r="E367" t="inlineStr">
        <is>
          <t>HÄLLEFORS</t>
        </is>
      </c>
      <c r="F367" t="inlineStr">
        <is>
          <t>Bergvik skog väst AB</t>
        </is>
      </c>
      <c r="G367" t="n">
        <v>7.5</v>
      </c>
      <c r="H367" t="n">
        <v>0</v>
      </c>
      <c r="I367" t="n">
        <v>0</v>
      </c>
      <c r="J367" t="n">
        <v>0</v>
      </c>
      <c r="K367" t="n">
        <v>0</v>
      </c>
      <c r="L367" t="n">
        <v>0</v>
      </c>
      <c r="M367" t="n">
        <v>0</v>
      </c>
      <c r="N367" t="n">
        <v>0</v>
      </c>
      <c r="O367" t="n">
        <v>0</v>
      </c>
      <c r="P367" t="n">
        <v>0</v>
      </c>
      <c r="Q367" t="n">
        <v>0</v>
      </c>
      <c r="R367" s="2" t="inlineStr"/>
    </row>
    <row r="368" ht="15" customHeight="1">
      <c r="A368" t="inlineStr">
        <is>
          <t>A 56697-2024</t>
        </is>
      </c>
      <c r="B368" s="1" t="n">
        <v>45627.78466435185</v>
      </c>
      <c r="C368" s="1" t="n">
        <v>45900</v>
      </c>
      <c r="D368" t="inlineStr">
        <is>
          <t>ÖREBRO LÄN</t>
        </is>
      </c>
      <c r="E368" t="inlineStr">
        <is>
          <t>HÄLLEFORS</t>
        </is>
      </c>
      <c r="G368" t="n">
        <v>6.2</v>
      </c>
      <c r="H368" t="n">
        <v>0</v>
      </c>
      <c r="I368" t="n">
        <v>0</v>
      </c>
      <c r="J368" t="n">
        <v>0</v>
      </c>
      <c r="K368" t="n">
        <v>0</v>
      </c>
      <c r="L368" t="n">
        <v>0</v>
      </c>
      <c r="M368" t="n">
        <v>0</v>
      </c>
      <c r="N368" t="n">
        <v>0</v>
      </c>
      <c r="O368" t="n">
        <v>0</v>
      </c>
      <c r="P368" t="n">
        <v>0</v>
      </c>
      <c r="Q368" t="n">
        <v>0</v>
      </c>
      <c r="R368" s="2" t="inlineStr"/>
    </row>
    <row r="369" ht="15" customHeight="1">
      <c r="A369" t="inlineStr">
        <is>
          <t>A 15771-2022</t>
        </is>
      </c>
      <c r="B369" s="1" t="n">
        <v>44663.63033564815</v>
      </c>
      <c r="C369" s="1" t="n">
        <v>45900</v>
      </c>
      <c r="D369" t="inlineStr">
        <is>
          <t>ÖREBRO LÄN</t>
        </is>
      </c>
      <c r="E369" t="inlineStr">
        <is>
          <t>HÄLLEFORS</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60523-2024</t>
        </is>
      </c>
      <c r="B370" s="1" t="n">
        <v>45643.69060185185</v>
      </c>
      <c r="C370" s="1" t="n">
        <v>45900</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26537-2021</t>
        </is>
      </c>
      <c r="B371" s="1" t="n">
        <v>44348</v>
      </c>
      <c r="C371" s="1" t="n">
        <v>45900</v>
      </c>
      <c r="D371" t="inlineStr">
        <is>
          <t>ÖREBRO LÄN</t>
        </is>
      </c>
      <c r="E371" t="inlineStr">
        <is>
          <t>HÄLLEFORS</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21901-2023</t>
        </is>
      </c>
      <c r="B372" s="1" t="n">
        <v>45068.53265046296</v>
      </c>
      <c r="C372" s="1" t="n">
        <v>45900</v>
      </c>
      <c r="D372" t="inlineStr">
        <is>
          <t>ÖREBRO LÄN</t>
        </is>
      </c>
      <c r="E372" t="inlineStr">
        <is>
          <t>HÄLLEFORS</t>
        </is>
      </c>
      <c r="G372" t="n">
        <v>1.3</v>
      </c>
      <c r="H372" t="n">
        <v>0</v>
      </c>
      <c r="I372" t="n">
        <v>0</v>
      </c>
      <c r="J372" t="n">
        <v>0</v>
      </c>
      <c r="K372" t="n">
        <v>0</v>
      </c>
      <c r="L372" t="n">
        <v>0</v>
      </c>
      <c r="M372" t="n">
        <v>0</v>
      </c>
      <c r="N372" t="n">
        <v>0</v>
      </c>
      <c r="O372" t="n">
        <v>0</v>
      </c>
      <c r="P372" t="n">
        <v>0</v>
      </c>
      <c r="Q372" t="n">
        <v>0</v>
      </c>
      <c r="R372" s="2" t="inlineStr"/>
    </row>
    <row r="373" ht="15" customHeight="1">
      <c r="A373" t="inlineStr">
        <is>
          <t>A 55397-2023</t>
        </is>
      </c>
      <c r="B373" s="1" t="n">
        <v>45238</v>
      </c>
      <c r="C373" s="1" t="n">
        <v>45900</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4716-2022</t>
        </is>
      </c>
      <c r="B374" s="1" t="n">
        <v>44592</v>
      </c>
      <c r="C374" s="1" t="n">
        <v>45900</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43941-2023</t>
        </is>
      </c>
      <c r="B375" s="1" t="n">
        <v>45187</v>
      </c>
      <c r="C375" s="1" t="n">
        <v>45900</v>
      </c>
      <c r="D375" t="inlineStr">
        <is>
          <t>ÖREBRO LÄN</t>
        </is>
      </c>
      <c r="E375" t="inlineStr">
        <is>
          <t>HÄLLEFORS</t>
        </is>
      </c>
      <c r="G375" t="n">
        <v>1.5</v>
      </c>
      <c r="H375" t="n">
        <v>0</v>
      </c>
      <c r="I375" t="n">
        <v>0</v>
      </c>
      <c r="J375" t="n">
        <v>0</v>
      </c>
      <c r="K375" t="n">
        <v>0</v>
      </c>
      <c r="L375" t="n">
        <v>0</v>
      </c>
      <c r="M375" t="n">
        <v>0</v>
      </c>
      <c r="N375" t="n">
        <v>0</v>
      </c>
      <c r="O375" t="n">
        <v>0</v>
      </c>
      <c r="P375" t="n">
        <v>0</v>
      </c>
      <c r="Q375" t="n">
        <v>0</v>
      </c>
      <c r="R375" s="2" t="inlineStr"/>
    </row>
    <row r="376" ht="15" customHeight="1">
      <c r="A376" t="inlineStr">
        <is>
          <t>A 48429-2024</t>
        </is>
      </c>
      <c r="B376" s="1" t="n">
        <v>45590</v>
      </c>
      <c r="C376" s="1" t="n">
        <v>45900</v>
      </c>
      <c r="D376" t="inlineStr">
        <is>
          <t>ÖREBRO LÄN</t>
        </is>
      </c>
      <c r="E376" t="inlineStr">
        <is>
          <t>HÄLLEFORS</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16999-2024</t>
        </is>
      </c>
      <c r="B377" s="1" t="n">
        <v>45412.35543981481</v>
      </c>
      <c r="C377" s="1" t="n">
        <v>45900</v>
      </c>
      <c r="D377" t="inlineStr">
        <is>
          <t>ÖREBRO LÄN</t>
        </is>
      </c>
      <c r="E377" t="inlineStr">
        <is>
          <t>HÄLLEFORS</t>
        </is>
      </c>
      <c r="G377" t="n">
        <v>3.5</v>
      </c>
      <c r="H377" t="n">
        <v>0</v>
      </c>
      <c r="I377" t="n">
        <v>0</v>
      </c>
      <c r="J377" t="n">
        <v>0</v>
      </c>
      <c r="K377" t="n">
        <v>0</v>
      </c>
      <c r="L377" t="n">
        <v>0</v>
      </c>
      <c r="M377" t="n">
        <v>0</v>
      </c>
      <c r="N377" t="n">
        <v>0</v>
      </c>
      <c r="O377" t="n">
        <v>0</v>
      </c>
      <c r="P377" t="n">
        <v>0</v>
      </c>
      <c r="Q377" t="n">
        <v>0</v>
      </c>
      <c r="R377" s="2" t="inlineStr"/>
    </row>
    <row r="378" ht="15" customHeight="1">
      <c r="A378" t="inlineStr">
        <is>
          <t>A 12555-2025</t>
        </is>
      </c>
      <c r="B378" s="1" t="n">
        <v>45731.4425462963</v>
      </c>
      <c r="C378" s="1" t="n">
        <v>45900</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45900</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5762-2024</t>
        </is>
      </c>
      <c r="B380" s="1" t="n">
        <v>45335</v>
      </c>
      <c r="C380" s="1" t="n">
        <v>45900</v>
      </c>
      <c r="D380" t="inlineStr">
        <is>
          <t>ÖREBRO LÄN</t>
        </is>
      </c>
      <c r="E380" t="inlineStr">
        <is>
          <t>HÄLLEFORS</t>
        </is>
      </c>
      <c r="G380" t="n">
        <v>12.1</v>
      </c>
      <c r="H380" t="n">
        <v>0</v>
      </c>
      <c r="I380" t="n">
        <v>0</v>
      </c>
      <c r="J380" t="n">
        <v>0</v>
      </c>
      <c r="K380" t="n">
        <v>0</v>
      </c>
      <c r="L380" t="n">
        <v>0</v>
      </c>
      <c r="M380" t="n">
        <v>0</v>
      </c>
      <c r="N380" t="n">
        <v>0</v>
      </c>
      <c r="O380" t="n">
        <v>0</v>
      </c>
      <c r="P380" t="n">
        <v>0</v>
      </c>
      <c r="Q380" t="n">
        <v>0</v>
      </c>
      <c r="R380" s="2" t="inlineStr"/>
    </row>
    <row r="381">
      <c r="A381" t="inlineStr">
        <is>
          <t>A 37542-2024</t>
        </is>
      </c>
      <c r="B381" s="1" t="n">
        <v>45541.42298611111</v>
      </c>
      <c r="C381" s="1" t="n">
        <v>45900</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2025-08-31T08:31:11Z</dcterms:created>
  <dcterms:modified xmlns:dcterms="http://purl.org/dc/terms/" xmlns:xsi="http://www.w3.org/2001/XMLSchema-instance" xsi:type="dcterms:W3CDTF">2025-08-31T08:31:11Z</dcterms:modified>
</cp:coreProperties>
</file>