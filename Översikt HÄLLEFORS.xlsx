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45992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45992</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45992</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45992</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45992</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61590-2024</t>
        </is>
      </c>
      <c r="B16" s="1" t="n">
        <v>45646.63039351852</v>
      </c>
      <c r="C16" s="1" t="n">
        <v>45992</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44397-2025</t>
        </is>
      </c>
      <c r="B17" s="1" t="n">
        <v>45916.50061342592</v>
      </c>
      <c r="C17" s="1" t="n">
        <v>45992</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21848-2025</t>
        </is>
      </c>
      <c r="B18" s="1" t="n">
        <v>45784</v>
      </c>
      <c r="C18" s="1" t="n">
        <v>45992</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45992</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45992</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45992</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45992</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45992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45992</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45992</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59521-2025</t>
        </is>
      </c>
      <c r="B26" s="1" t="n">
        <v>45989.65802083333</v>
      </c>
      <c r="C26" s="1" t="n">
        <v>45992</v>
      </c>
      <c r="D26" t="inlineStr">
        <is>
          <t>ÖREBRO LÄN</t>
        </is>
      </c>
      <c r="E26" t="inlineStr">
        <is>
          <t>HÄLLEFORS</t>
        </is>
      </c>
      <c r="F26" t="inlineStr">
        <is>
          <t>Sveaskog</t>
        </is>
      </c>
      <c r="G26" t="n">
        <v>8.800000000000001</v>
      </c>
      <c r="H26" t="n">
        <v>1</v>
      </c>
      <c r="I26" t="n">
        <v>0</v>
      </c>
      <c r="J26" t="n">
        <v>0</v>
      </c>
      <c r="K26" t="n">
        <v>0</v>
      </c>
      <c r="L26" t="n">
        <v>0</v>
      </c>
      <c r="M26" t="n">
        <v>0</v>
      </c>
      <c r="N26" t="n">
        <v>0</v>
      </c>
      <c r="O26" t="n">
        <v>0</v>
      </c>
      <c r="P26" t="n">
        <v>0</v>
      </c>
      <c r="Q26" t="n">
        <v>1</v>
      </c>
      <c r="R26" s="2" t="inlineStr">
        <is>
          <t>Gråspett</t>
        </is>
      </c>
      <c r="S26">
        <f>HYPERLINK("https://klasma.github.io/Logging_1863/artfynd/A 59521-2025 artfynd.xlsx", "A 59521-2025")</f>
        <v/>
      </c>
      <c r="T26">
        <f>HYPERLINK("https://klasma.github.io/Logging_1863/kartor/A 59521-2025 karta.png", "A 59521-2025")</f>
        <v/>
      </c>
      <c r="V26">
        <f>HYPERLINK("https://klasma.github.io/Logging_1863/klagomål/A 59521-2025 FSC-klagomål.docx", "A 59521-2025")</f>
        <v/>
      </c>
      <c r="W26">
        <f>HYPERLINK("https://klasma.github.io/Logging_1863/klagomålsmail/A 59521-2025 FSC-klagomål mail.docx", "A 59521-2025")</f>
        <v/>
      </c>
      <c r="X26">
        <f>HYPERLINK("https://klasma.github.io/Logging_1863/tillsyn/A 59521-2025 tillsynsbegäran.docx", "A 59521-2025")</f>
        <v/>
      </c>
      <c r="Y26">
        <f>HYPERLINK("https://klasma.github.io/Logging_1863/tillsynsmail/A 59521-2025 tillsynsbegäran mail.docx", "A 59521-2025")</f>
        <v/>
      </c>
      <c r="Z26">
        <f>HYPERLINK("https://klasma.github.io/Logging_1863/fåglar/A 59521-2025 prioriterade fågelarter.docx", "A 59521-2025")</f>
        <v/>
      </c>
    </row>
    <row r="27" ht="15" customHeight="1">
      <c r="A27" t="inlineStr">
        <is>
          <t>A 18617-2025</t>
        </is>
      </c>
      <c r="B27" s="1" t="n">
        <v>45763.51037037037</v>
      </c>
      <c r="C27" s="1" t="n">
        <v>45992</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16923-2025</t>
        </is>
      </c>
      <c r="B28" s="1" t="n">
        <v>45755.38237268518</v>
      </c>
      <c r="C28" s="1" t="n">
        <v>45992</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45992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45992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45992</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45992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45992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45992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45992</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45992</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45992</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45992</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45992</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45992</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45992</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45992</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45992</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45992</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45992</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45992</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45992</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45992</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45992</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45992</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45992</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45992</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45992</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45992</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45992</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45992</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45992</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45992</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67446-2020</t>
        </is>
      </c>
      <c r="B68" s="1" t="n">
        <v>44181</v>
      </c>
      <c r="C68" s="1" t="n">
        <v>45992</v>
      </c>
      <c r="D68" t="inlineStr">
        <is>
          <t>ÖREBRO LÄN</t>
        </is>
      </c>
      <c r="E68" t="inlineStr">
        <is>
          <t>HÄLLEFORS</t>
        </is>
      </c>
      <c r="F68" t="inlineStr">
        <is>
          <t>Bergvik skog väst AB</t>
        </is>
      </c>
      <c r="G68" t="n">
        <v>6.7</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45992</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45992</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45992</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45992</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45992</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45992</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45992</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45992</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45992</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45992</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45992</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45992</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45992</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45992</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66151-2020</t>
        </is>
      </c>
      <c r="B83" s="1" t="n">
        <v>44175</v>
      </c>
      <c r="C83" s="1" t="n">
        <v>45992</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45992</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45992</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45992</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45992</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45992</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45992</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45992</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45992</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45992</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45992</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45992</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46912-2023</t>
        </is>
      </c>
      <c r="B95" s="1" t="n">
        <v>45201</v>
      </c>
      <c r="C95" s="1" t="n">
        <v>45992</v>
      </c>
      <c r="D95" t="inlineStr">
        <is>
          <t>ÖREBRO LÄN</t>
        </is>
      </c>
      <c r="E95" t="inlineStr">
        <is>
          <t>HÄLLEFORS</t>
        </is>
      </c>
      <c r="G95" t="n">
        <v>1</v>
      </c>
      <c r="H95" t="n">
        <v>0</v>
      </c>
      <c r="I95" t="n">
        <v>0</v>
      </c>
      <c r="J95" t="n">
        <v>0</v>
      </c>
      <c r="K95" t="n">
        <v>0</v>
      </c>
      <c r="L95" t="n">
        <v>0</v>
      </c>
      <c r="M95" t="n">
        <v>0</v>
      </c>
      <c r="N95" t="n">
        <v>0</v>
      </c>
      <c r="O95" t="n">
        <v>0</v>
      </c>
      <c r="P95" t="n">
        <v>0</v>
      </c>
      <c r="Q95" t="n">
        <v>0</v>
      </c>
      <c r="R95" s="2" t="inlineStr"/>
    </row>
    <row r="96" ht="15" customHeight="1">
      <c r="A96" t="inlineStr">
        <is>
          <t>A 55453-2023</t>
        </is>
      </c>
      <c r="B96" s="1" t="n">
        <v>45238</v>
      </c>
      <c r="C96" s="1" t="n">
        <v>45992</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45992</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29340-2024</t>
        </is>
      </c>
      <c r="B98" s="1" t="n">
        <v>45483.46465277778</v>
      </c>
      <c r="C98" s="1" t="n">
        <v>45992</v>
      </c>
      <c r="D98" t="inlineStr">
        <is>
          <t>ÖREBRO LÄN</t>
        </is>
      </c>
      <c r="E98" t="inlineStr">
        <is>
          <t>HÄLLEFORS</t>
        </is>
      </c>
      <c r="G98" t="n">
        <v>1.7</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45992</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71766-2021</t>
        </is>
      </c>
      <c r="B100" s="1" t="n">
        <v>44543</v>
      </c>
      <c r="C100" s="1" t="n">
        <v>45992</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12648-2025</t>
        </is>
      </c>
      <c r="B101" s="1" t="n">
        <v>45733.39797453704</v>
      </c>
      <c r="C101" s="1" t="n">
        <v>45992</v>
      </c>
      <c r="D101" t="inlineStr">
        <is>
          <t>ÖREBRO LÄN</t>
        </is>
      </c>
      <c r="E101" t="inlineStr">
        <is>
          <t>HÄLLEFORS</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35861-2024</t>
        </is>
      </c>
      <c r="B102" s="1" t="n">
        <v>45533.33751157407</v>
      </c>
      <c r="C102" s="1" t="n">
        <v>45992</v>
      </c>
      <c r="D102" t="inlineStr">
        <is>
          <t>ÖREBRO LÄN</t>
        </is>
      </c>
      <c r="E102" t="inlineStr">
        <is>
          <t>HÄLLEFORS</t>
        </is>
      </c>
      <c r="F102" t="inlineStr">
        <is>
          <t>Bergvik skog väst AB</t>
        </is>
      </c>
      <c r="G102" t="n">
        <v>25.9</v>
      </c>
      <c r="H102" t="n">
        <v>0</v>
      </c>
      <c r="I102" t="n">
        <v>0</v>
      </c>
      <c r="J102" t="n">
        <v>0</v>
      </c>
      <c r="K102" t="n">
        <v>0</v>
      </c>
      <c r="L102" t="n">
        <v>0</v>
      </c>
      <c r="M102" t="n">
        <v>0</v>
      </c>
      <c r="N102" t="n">
        <v>0</v>
      </c>
      <c r="O102" t="n">
        <v>0</v>
      </c>
      <c r="P102" t="n">
        <v>0</v>
      </c>
      <c r="Q102" t="n">
        <v>0</v>
      </c>
      <c r="R102" s="2" t="inlineStr"/>
    </row>
    <row r="103" ht="15" customHeight="1">
      <c r="A103" t="inlineStr">
        <is>
          <t>A 44122-2024</t>
        </is>
      </c>
      <c r="B103" s="1" t="n">
        <v>45572.6396875</v>
      </c>
      <c r="C103" s="1" t="n">
        <v>45992</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45992</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5263-2025</t>
        </is>
      </c>
      <c r="B105" s="1" t="n">
        <v>45692.37509259259</v>
      </c>
      <c r="C105" s="1" t="n">
        <v>45992</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5237-2025</t>
        </is>
      </c>
      <c r="B106" s="1" t="n">
        <v>45692.30760416666</v>
      </c>
      <c r="C106" s="1" t="n">
        <v>45992</v>
      </c>
      <c r="D106" t="inlineStr">
        <is>
          <t>ÖREBRO LÄN</t>
        </is>
      </c>
      <c r="E106" t="inlineStr">
        <is>
          <t>HÄLLEFORS</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5042-2025</t>
        </is>
      </c>
      <c r="B107" s="1" t="n">
        <v>45691.43619212963</v>
      </c>
      <c r="C107" s="1" t="n">
        <v>45992</v>
      </c>
      <c r="D107" t="inlineStr">
        <is>
          <t>ÖREBRO LÄN</t>
        </is>
      </c>
      <c r="E107" t="inlineStr">
        <is>
          <t>HÄLLEFORS</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16927-2025</t>
        </is>
      </c>
      <c r="B108" s="1" t="n">
        <v>45755.39212962963</v>
      </c>
      <c r="C108" s="1" t="n">
        <v>45992</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38010-2024</t>
        </is>
      </c>
      <c r="B109" s="1" t="n">
        <v>45544.62276620371</v>
      </c>
      <c r="C109" s="1" t="n">
        <v>45992</v>
      </c>
      <c r="D109" t="inlineStr">
        <is>
          <t>ÖREBRO LÄN</t>
        </is>
      </c>
      <c r="E109" t="inlineStr">
        <is>
          <t>HÄLLEFORS</t>
        </is>
      </c>
      <c r="G109" t="n">
        <v>22.7</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45992</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45992</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44088-2024</t>
        </is>
      </c>
      <c r="B112" s="1" t="n">
        <v>45572.61984953703</v>
      </c>
      <c r="C112" s="1" t="n">
        <v>45992</v>
      </c>
      <c r="D112" t="inlineStr">
        <is>
          <t>ÖREBRO LÄN</t>
        </is>
      </c>
      <c r="E112" t="inlineStr">
        <is>
          <t>HÄLLEFORS</t>
        </is>
      </c>
      <c r="G112" t="n">
        <v>4</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45992</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45992</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35188-2023</t>
        </is>
      </c>
      <c r="B115" s="1" t="n">
        <v>45145.60365740741</v>
      </c>
      <c r="C115" s="1" t="n">
        <v>45992</v>
      </c>
      <c r="D115" t="inlineStr">
        <is>
          <t>ÖREBRO LÄN</t>
        </is>
      </c>
      <c r="E115" t="inlineStr">
        <is>
          <t>HÄLLEFORS</t>
        </is>
      </c>
      <c r="F115" t="inlineStr">
        <is>
          <t>Bergvik skog väst AB</t>
        </is>
      </c>
      <c r="G115" t="n">
        <v>12.9</v>
      </c>
      <c r="H115" t="n">
        <v>0</v>
      </c>
      <c r="I115" t="n">
        <v>0</v>
      </c>
      <c r="J115" t="n">
        <v>0</v>
      </c>
      <c r="K115" t="n">
        <v>0</v>
      </c>
      <c r="L115" t="n">
        <v>0</v>
      </c>
      <c r="M115" t="n">
        <v>0</v>
      </c>
      <c r="N115" t="n">
        <v>0</v>
      </c>
      <c r="O115" t="n">
        <v>0</v>
      </c>
      <c r="P115" t="n">
        <v>0</v>
      </c>
      <c r="Q115" t="n">
        <v>0</v>
      </c>
      <c r="R115" s="2" t="inlineStr"/>
    </row>
    <row r="116" ht="15" customHeight="1">
      <c r="A116" t="inlineStr">
        <is>
          <t>A 41089-2022</t>
        </is>
      </c>
      <c r="B116" s="1" t="n">
        <v>44825.64613425926</v>
      </c>
      <c r="C116" s="1" t="n">
        <v>45992</v>
      </c>
      <c r="D116" t="inlineStr">
        <is>
          <t>ÖREBRO LÄN</t>
        </is>
      </c>
      <c r="E116" t="inlineStr">
        <is>
          <t>HÄLLEFORS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29662-2022</t>
        </is>
      </c>
      <c r="B117" s="1" t="n">
        <v>44754</v>
      </c>
      <c r="C117" s="1" t="n">
        <v>45992</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49709-2023</t>
        </is>
      </c>
      <c r="B118" s="1" t="n">
        <v>45212</v>
      </c>
      <c r="C118" s="1" t="n">
        <v>45992</v>
      </c>
      <c r="D118" t="inlineStr">
        <is>
          <t>ÖREBRO LÄN</t>
        </is>
      </c>
      <c r="E118" t="inlineStr">
        <is>
          <t>HÄLLEFORS</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20170-2023</t>
        </is>
      </c>
      <c r="B119" s="1" t="n">
        <v>45055</v>
      </c>
      <c r="C119" s="1" t="n">
        <v>45992</v>
      </c>
      <c r="D119" t="inlineStr">
        <is>
          <t>ÖREBRO LÄN</t>
        </is>
      </c>
      <c r="E119" t="inlineStr">
        <is>
          <t>HÄLLEFORS</t>
        </is>
      </c>
      <c r="G119" t="n">
        <v>1.1</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45992</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39031-2022</t>
        </is>
      </c>
      <c r="B121" s="1" t="n">
        <v>44817.34144675926</v>
      </c>
      <c r="C121" s="1" t="n">
        <v>45992</v>
      </c>
      <c r="D121" t="inlineStr">
        <is>
          <t>ÖREBRO LÄN</t>
        </is>
      </c>
      <c r="E121" t="inlineStr">
        <is>
          <t>HÄLLEFORS</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3643-2025</t>
        </is>
      </c>
      <c r="B122" s="1" t="n">
        <v>45681</v>
      </c>
      <c r="C122" s="1" t="n">
        <v>45992</v>
      </c>
      <c r="D122" t="inlineStr">
        <is>
          <t>ÖREBRO LÄN</t>
        </is>
      </c>
      <c r="E122" t="inlineStr">
        <is>
          <t>HÄLLEFORS</t>
        </is>
      </c>
      <c r="G122" t="n">
        <v>20.8</v>
      </c>
      <c r="H122" t="n">
        <v>0</v>
      </c>
      <c r="I122" t="n">
        <v>0</v>
      </c>
      <c r="J122" t="n">
        <v>0</v>
      </c>
      <c r="K122" t="n">
        <v>0</v>
      </c>
      <c r="L122" t="n">
        <v>0</v>
      </c>
      <c r="M122" t="n">
        <v>0</v>
      </c>
      <c r="N122" t="n">
        <v>0</v>
      </c>
      <c r="O122" t="n">
        <v>0</v>
      </c>
      <c r="P122" t="n">
        <v>0</v>
      </c>
      <c r="Q122" t="n">
        <v>0</v>
      </c>
      <c r="R122" s="2" t="inlineStr"/>
    </row>
    <row r="123" ht="15" customHeight="1">
      <c r="A123" t="inlineStr">
        <is>
          <t>A 15073-2022</t>
        </is>
      </c>
      <c r="B123" s="1" t="n">
        <v>44657</v>
      </c>
      <c r="C123" s="1" t="n">
        <v>45992</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17098-2025</t>
        </is>
      </c>
      <c r="B124" s="1" t="n">
        <v>45755.65709490741</v>
      </c>
      <c r="C124" s="1" t="n">
        <v>45992</v>
      </c>
      <c r="D124" t="inlineStr">
        <is>
          <t>ÖREBRO LÄN</t>
        </is>
      </c>
      <c r="E124" t="inlineStr">
        <is>
          <t>HÄLLEFORS</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62501-2022</t>
        </is>
      </c>
      <c r="B125" s="1" t="n">
        <v>44924.593125</v>
      </c>
      <c r="C125" s="1" t="n">
        <v>45992</v>
      </c>
      <c r="D125" t="inlineStr">
        <is>
          <t>ÖREBRO LÄN</t>
        </is>
      </c>
      <c r="E125" t="inlineStr">
        <is>
          <t>HÄLLEFORS</t>
        </is>
      </c>
      <c r="G125" t="n">
        <v>3</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45992</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67843-2021</t>
        </is>
      </c>
      <c r="B127" s="1" t="n">
        <v>44525.47178240741</v>
      </c>
      <c r="C127" s="1" t="n">
        <v>45992</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41152-2025</t>
        </is>
      </c>
      <c r="B128" s="1" t="n">
        <v>45898.5128587963</v>
      </c>
      <c r="C128" s="1" t="n">
        <v>45992</v>
      </c>
      <c r="D128" t="inlineStr">
        <is>
          <t>ÖREBRO LÄN</t>
        </is>
      </c>
      <c r="E128" t="inlineStr">
        <is>
          <t>HÄLLEFORS</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45992</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45992</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45992</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45992</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28975-2025</t>
        </is>
      </c>
      <c r="B133" s="1" t="n">
        <v>45821</v>
      </c>
      <c r="C133" s="1" t="n">
        <v>45992</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45992</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45992</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45992</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45992</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45992</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65856-2020</t>
        </is>
      </c>
      <c r="B139" s="1" t="n">
        <v>44174</v>
      </c>
      <c r="C139" s="1" t="n">
        <v>45992</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50714-2022</t>
        </is>
      </c>
      <c r="B140" s="1" t="n">
        <v>44867.35501157407</v>
      </c>
      <c r="C140" s="1" t="n">
        <v>45992</v>
      </c>
      <c r="D140" t="inlineStr">
        <is>
          <t>ÖREBRO LÄN</t>
        </is>
      </c>
      <c r="E140" t="inlineStr">
        <is>
          <t>HÄLLEFORS</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42863-2022</t>
        </is>
      </c>
      <c r="B141" s="1" t="n">
        <v>44832.73646990741</v>
      </c>
      <c r="C141" s="1" t="n">
        <v>45992</v>
      </c>
      <c r="D141" t="inlineStr">
        <is>
          <t>ÖREBRO LÄN</t>
        </is>
      </c>
      <c r="E141" t="inlineStr">
        <is>
          <t>HÄLLEFORS</t>
        </is>
      </c>
      <c r="G141" t="n">
        <v>7.2</v>
      </c>
      <c r="H141" t="n">
        <v>0</v>
      </c>
      <c r="I141" t="n">
        <v>0</v>
      </c>
      <c r="J141" t="n">
        <v>0</v>
      </c>
      <c r="K141" t="n">
        <v>0</v>
      </c>
      <c r="L141" t="n">
        <v>0</v>
      </c>
      <c r="M141" t="n">
        <v>0</v>
      </c>
      <c r="N141" t="n">
        <v>0</v>
      </c>
      <c r="O141" t="n">
        <v>0</v>
      </c>
      <c r="P141" t="n">
        <v>0</v>
      </c>
      <c r="Q141" t="n">
        <v>0</v>
      </c>
      <c r="R141" s="2" t="inlineStr"/>
    </row>
    <row r="142" ht="15" customHeight="1">
      <c r="A142" t="inlineStr">
        <is>
          <t>A 4353-2023</t>
        </is>
      </c>
      <c r="B142" s="1" t="n">
        <v>44954.27407407408</v>
      </c>
      <c r="C142" s="1" t="n">
        <v>45992</v>
      </c>
      <c r="D142" t="inlineStr">
        <is>
          <t>ÖREBRO LÄN</t>
        </is>
      </c>
      <c r="E142" t="inlineStr">
        <is>
          <t>HÄLLEFORS</t>
        </is>
      </c>
      <c r="G142" t="n">
        <v>0.5</v>
      </c>
      <c r="H142" t="n">
        <v>0</v>
      </c>
      <c r="I142" t="n">
        <v>0</v>
      </c>
      <c r="J142" t="n">
        <v>0</v>
      </c>
      <c r="K142" t="n">
        <v>0</v>
      </c>
      <c r="L142" t="n">
        <v>0</v>
      </c>
      <c r="M142" t="n">
        <v>0</v>
      </c>
      <c r="N142" t="n">
        <v>0</v>
      </c>
      <c r="O142" t="n">
        <v>0</v>
      </c>
      <c r="P142" t="n">
        <v>0</v>
      </c>
      <c r="Q142" t="n">
        <v>0</v>
      </c>
      <c r="R142" s="2" t="inlineStr"/>
    </row>
    <row r="143" ht="15" customHeight="1">
      <c r="A143" t="inlineStr">
        <is>
          <t>A 30282-2023</t>
        </is>
      </c>
      <c r="B143" s="1" t="n">
        <v>45110.90550925926</v>
      </c>
      <c r="C143" s="1" t="n">
        <v>45992</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45992</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16135-2025</t>
        </is>
      </c>
      <c r="B145" s="1" t="n">
        <v>45750.44355324074</v>
      </c>
      <c r="C145" s="1" t="n">
        <v>45992</v>
      </c>
      <c r="D145" t="inlineStr">
        <is>
          <t>ÖREBRO LÄN</t>
        </is>
      </c>
      <c r="E145" t="inlineStr">
        <is>
          <t>HÄLLEFORS</t>
        </is>
      </c>
      <c r="F145" t="inlineStr">
        <is>
          <t>Kyrkan</t>
        </is>
      </c>
      <c r="G145" t="n">
        <v>4.6</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45992</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45992</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45992</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45992</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32217-2025</t>
        </is>
      </c>
      <c r="B150" s="1" t="n">
        <v>45835.58846064815</v>
      </c>
      <c r="C150" s="1" t="n">
        <v>45992</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45992</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32808-2025</t>
        </is>
      </c>
      <c r="B152" s="1" t="n">
        <v>45839.50719907408</v>
      </c>
      <c r="C152" s="1" t="n">
        <v>45992</v>
      </c>
      <c r="D152" t="inlineStr">
        <is>
          <t>ÖREBRO LÄN</t>
        </is>
      </c>
      <c r="E152" t="inlineStr">
        <is>
          <t>HÄLLEFORS</t>
        </is>
      </c>
      <c r="G152" t="n">
        <v>4.3</v>
      </c>
      <c r="H152" t="n">
        <v>0</v>
      </c>
      <c r="I152" t="n">
        <v>0</v>
      </c>
      <c r="J152" t="n">
        <v>0</v>
      </c>
      <c r="K152" t="n">
        <v>0</v>
      </c>
      <c r="L152" t="n">
        <v>0</v>
      </c>
      <c r="M152" t="n">
        <v>0</v>
      </c>
      <c r="N152" t="n">
        <v>0</v>
      </c>
      <c r="O152" t="n">
        <v>0</v>
      </c>
      <c r="P152" t="n">
        <v>0</v>
      </c>
      <c r="Q152" t="n">
        <v>0</v>
      </c>
      <c r="R152" s="2" t="inlineStr"/>
    </row>
    <row r="153" ht="15" customHeight="1">
      <c r="A153" t="inlineStr">
        <is>
          <t>A 32813-2025</t>
        </is>
      </c>
      <c r="B153" s="1" t="n">
        <v>45839.51949074074</v>
      </c>
      <c r="C153" s="1" t="n">
        <v>45992</v>
      </c>
      <c r="D153" t="inlineStr">
        <is>
          <t>ÖREBRO LÄN</t>
        </is>
      </c>
      <c r="E153" t="inlineStr">
        <is>
          <t>HÄLLEFORS</t>
        </is>
      </c>
      <c r="G153" t="n">
        <v>3.5</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45992</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45992</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52449-2025</t>
        </is>
      </c>
      <c r="B156" s="1" t="n">
        <v>45954.41862268518</v>
      </c>
      <c r="C156" s="1" t="n">
        <v>45992</v>
      </c>
      <c r="D156" t="inlineStr">
        <is>
          <t>ÖREBRO LÄN</t>
        </is>
      </c>
      <c r="E156" t="inlineStr">
        <is>
          <t>HÄLLEFORS</t>
        </is>
      </c>
      <c r="F156" t="inlineStr">
        <is>
          <t>Bergvik skog väst AB</t>
        </is>
      </c>
      <c r="G156" t="n">
        <v>3.1</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45992</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15771-2022</t>
        </is>
      </c>
      <c r="B158" s="1" t="n">
        <v>44663.63033564815</v>
      </c>
      <c r="C158" s="1" t="n">
        <v>45992</v>
      </c>
      <c r="D158" t="inlineStr">
        <is>
          <t>ÖREBRO LÄN</t>
        </is>
      </c>
      <c r="E158" t="inlineStr">
        <is>
          <t>HÄLLEFORS</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58768-2024</t>
        </is>
      </c>
      <c r="B159" s="1" t="n">
        <v>45635</v>
      </c>
      <c r="C159" s="1" t="n">
        <v>45992</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45992</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45992</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34018-2025</t>
        </is>
      </c>
      <c r="B162" s="1" t="n">
        <v>45845.34341435185</v>
      </c>
      <c r="C162" s="1" t="n">
        <v>45992</v>
      </c>
      <c r="D162" t="inlineStr">
        <is>
          <t>ÖREBRO LÄN</t>
        </is>
      </c>
      <c r="E162" t="inlineStr">
        <is>
          <t>HÄLLEFORS</t>
        </is>
      </c>
      <c r="G162" t="n">
        <v>6.4</v>
      </c>
      <c r="H162" t="n">
        <v>0</v>
      </c>
      <c r="I162" t="n">
        <v>0</v>
      </c>
      <c r="J162" t="n">
        <v>0</v>
      </c>
      <c r="K162" t="n">
        <v>0</v>
      </c>
      <c r="L162" t="n">
        <v>0</v>
      </c>
      <c r="M162" t="n">
        <v>0</v>
      </c>
      <c r="N162" t="n">
        <v>0</v>
      </c>
      <c r="O162" t="n">
        <v>0</v>
      </c>
      <c r="P162" t="n">
        <v>0</v>
      </c>
      <c r="Q162" t="n">
        <v>0</v>
      </c>
      <c r="R162" s="2" t="inlineStr"/>
    </row>
    <row r="163" ht="15" customHeight="1">
      <c r="A163" t="inlineStr">
        <is>
          <t>A 34020-2025</t>
        </is>
      </c>
      <c r="B163" s="1" t="n">
        <v>45845.34695601852</v>
      </c>
      <c r="C163" s="1" t="n">
        <v>45992</v>
      </c>
      <c r="D163" t="inlineStr">
        <is>
          <t>ÖREBRO LÄN</t>
        </is>
      </c>
      <c r="E163" t="inlineStr">
        <is>
          <t>HÄLLEFORS</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34042-2025</t>
        </is>
      </c>
      <c r="B164" s="1" t="n">
        <v>45845.37733796296</v>
      </c>
      <c r="C164" s="1" t="n">
        <v>45992</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34045-2025</t>
        </is>
      </c>
      <c r="B165" s="1" t="n">
        <v>45845.38480324074</v>
      </c>
      <c r="C165" s="1" t="n">
        <v>45992</v>
      </c>
      <c r="D165" t="inlineStr">
        <is>
          <t>ÖREBRO LÄN</t>
        </is>
      </c>
      <c r="E165" t="inlineStr">
        <is>
          <t>HÄLLEFORS</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34052-2025</t>
        </is>
      </c>
      <c r="B166" s="1" t="n">
        <v>45845.40813657407</v>
      </c>
      <c r="C166" s="1" t="n">
        <v>45992</v>
      </c>
      <c r="D166" t="inlineStr">
        <is>
          <t>ÖREBRO LÄN</t>
        </is>
      </c>
      <c r="E166" t="inlineStr">
        <is>
          <t>HÄLLEFORS</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51159-2023</t>
        </is>
      </c>
      <c r="B167" s="1" t="n">
        <v>45219.37791666666</v>
      </c>
      <c r="C167" s="1" t="n">
        <v>45992</v>
      </c>
      <c r="D167" t="inlineStr">
        <is>
          <t>ÖREBRO LÄN</t>
        </is>
      </c>
      <c r="E167" t="inlineStr">
        <is>
          <t>HÄLLEFORS</t>
        </is>
      </c>
      <c r="G167" t="n">
        <v>0.4</v>
      </c>
      <c r="H167" t="n">
        <v>0</v>
      </c>
      <c r="I167" t="n">
        <v>0</v>
      </c>
      <c r="J167" t="n">
        <v>0</v>
      </c>
      <c r="K167" t="n">
        <v>0</v>
      </c>
      <c r="L167" t="n">
        <v>0</v>
      </c>
      <c r="M167" t="n">
        <v>0</v>
      </c>
      <c r="N167" t="n">
        <v>0</v>
      </c>
      <c r="O167" t="n">
        <v>0</v>
      </c>
      <c r="P167" t="n">
        <v>0</v>
      </c>
      <c r="Q167" t="n">
        <v>0</v>
      </c>
      <c r="R167" s="2" t="inlineStr"/>
    </row>
    <row r="168" ht="15" customHeight="1">
      <c r="A168" t="inlineStr">
        <is>
          <t>A 34059-2025</t>
        </is>
      </c>
      <c r="B168" s="1" t="n">
        <v>45845.41988425926</v>
      </c>
      <c r="C168" s="1" t="n">
        <v>45992</v>
      </c>
      <c r="D168" t="inlineStr">
        <is>
          <t>ÖREBRO LÄN</t>
        </is>
      </c>
      <c r="E168" t="inlineStr">
        <is>
          <t>HÄLLEFORS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52453-2025</t>
        </is>
      </c>
      <c r="B169" s="1" t="n">
        <v>45954.42596064815</v>
      </c>
      <c r="C169" s="1" t="n">
        <v>45992</v>
      </c>
      <c r="D169" t="inlineStr">
        <is>
          <t>ÖREBRO LÄN</t>
        </is>
      </c>
      <c r="E169" t="inlineStr">
        <is>
          <t>HÄLLEFORS</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34023-2025</t>
        </is>
      </c>
      <c r="B170" s="1" t="n">
        <v>45845.35355324074</v>
      </c>
      <c r="C170" s="1" t="n">
        <v>45992</v>
      </c>
      <c r="D170" t="inlineStr">
        <is>
          <t>ÖREBRO LÄN</t>
        </is>
      </c>
      <c r="E170" t="inlineStr">
        <is>
          <t>HÄLLEFORS</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34057-2025</t>
        </is>
      </c>
      <c r="B171" s="1" t="n">
        <v>45845.41581018519</v>
      </c>
      <c r="C171" s="1" t="n">
        <v>45992</v>
      </c>
      <c r="D171" t="inlineStr">
        <is>
          <t>ÖREBRO LÄN</t>
        </is>
      </c>
      <c r="E171" t="inlineStr">
        <is>
          <t>HÄLLEFORS</t>
        </is>
      </c>
      <c r="G171" t="n">
        <v>2.1</v>
      </c>
      <c r="H171" t="n">
        <v>0</v>
      </c>
      <c r="I171" t="n">
        <v>0</v>
      </c>
      <c r="J171" t="n">
        <v>0</v>
      </c>
      <c r="K171" t="n">
        <v>0</v>
      </c>
      <c r="L171" t="n">
        <v>0</v>
      </c>
      <c r="M171" t="n">
        <v>0</v>
      </c>
      <c r="N171" t="n">
        <v>0</v>
      </c>
      <c r="O171" t="n">
        <v>0</v>
      </c>
      <c r="P171" t="n">
        <v>0</v>
      </c>
      <c r="Q171" t="n">
        <v>0</v>
      </c>
      <c r="R171" s="2" t="inlineStr"/>
    </row>
    <row r="172" ht="15" customHeight="1">
      <c r="A172" t="inlineStr">
        <is>
          <t>A 34029-2025</t>
        </is>
      </c>
      <c r="B172" s="1" t="n">
        <v>45845.36309027778</v>
      </c>
      <c r="C172" s="1" t="n">
        <v>45992</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39513-2024</t>
        </is>
      </c>
      <c r="B173" s="1" t="n">
        <v>45551</v>
      </c>
      <c r="C173" s="1" t="n">
        <v>45992</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34022-2025</t>
        </is>
      </c>
      <c r="B174" s="1" t="n">
        <v>45845.34983796296</v>
      </c>
      <c r="C174" s="1" t="n">
        <v>45992</v>
      </c>
      <c r="D174" t="inlineStr">
        <is>
          <t>ÖREBRO LÄN</t>
        </is>
      </c>
      <c r="E174" t="inlineStr">
        <is>
          <t>HÄLLEFORS</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34025-2025</t>
        </is>
      </c>
      <c r="B175" s="1" t="n">
        <v>45845.35546296297</v>
      </c>
      <c r="C175" s="1" t="n">
        <v>45992</v>
      </c>
      <c r="D175" t="inlineStr">
        <is>
          <t>ÖREBRO LÄN</t>
        </is>
      </c>
      <c r="E175" t="inlineStr">
        <is>
          <t>HÄLLEFORS</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34093-2025</t>
        </is>
      </c>
      <c r="B176" s="1" t="n">
        <v>45845.47775462963</v>
      </c>
      <c r="C176" s="1" t="n">
        <v>45992</v>
      </c>
      <c r="D176" t="inlineStr">
        <is>
          <t>ÖREBRO LÄN</t>
        </is>
      </c>
      <c r="E176" t="inlineStr">
        <is>
          <t>HÄLLEFORS</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34062-2025</t>
        </is>
      </c>
      <c r="B177" s="1" t="n">
        <v>45845.4264699074</v>
      </c>
      <c r="C177" s="1" t="n">
        <v>45992</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1018-2025</t>
        </is>
      </c>
      <c r="B178" s="1" t="n">
        <v>45666.49185185185</v>
      </c>
      <c r="C178" s="1" t="n">
        <v>45992</v>
      </c>
      <c r="D178" t="inlineStr">
        <is>
          <t>ÖREBRO LÄN</t>
        </is>
      </c>
      <c r="E178" t="inlineStr">
        <is>
          <t>HÄLLEFORS</t>
        </is>
      </c>
      <c r="G178" t="n">
        <v>0.8</v>
      </c>
      <c r="H178" t="n">
        <v>0</v>
      </c>
      <c r="I178" t="n">
        <v>0</v>
      </c>
      <c r="J178" t="n">
        <v>0</v>
      </c>
      <c r="K178" t="n">
        <v>0</v>
      </c>
      <c r="L178" t="n">
        <v>0</v>
      </c>
      <c r="M178" t="n">
        <v>0</v>
      </c>
      <c r="N178" t="n">
        <v>0</v>
      </c>
      <c r="O178" t="n">
        <v>0</v>
      </c>
      <c r="P178" t="n">
        <v>0</v>
      </c>
      <c r="Q178" t="n">
        <v>0</v>
      </c>
      <c r="R178" s="2" t="inlineStr"/>
    </row>
    <row r="179" ht="15" customHeight="1">
      <c r="A179" t="inlineStr">
        <is>
          <t>A 53341-2025</t>
        </is>
      </c>
      <c r="B179" s="1" t="n">
        <v>45959.41048611111</v>
      </c>
      <c r="C179" s="1" t="n">
        <v>45992</v>
      </c>
      <c r="D179" t="inlineStr">
        <is>
          <t>ÖREBRO LÄN</t>
        </is>
      </c>
      <c r="E179" t="inlineStr">
        <is>
          <t>HÄLLEFORS</t>
        </is>
      </c>
      <c r="G179" t="n">
        <v>1</v>
      </c>
      <c r="H179" t="n">
        <v>0</v>
      </c>
      <c r="I179" t="n">
        <v>0</v>
      </c>
      <c r="J179" t="n">
        <v>0</v>
      </c>
      <c r="K179" t="n">
        <v>0</v>
      </c>
      <c r="L179" t="n">
        <v>0</v>
      </c>
      <c r="M179" t="n">
        <v>0</v>
      </c>
      <c r="N179" t="n">
        <v>0</v>
      </c>
      <c r="O179" t="n">
        <v>0</v>
      </c>
      <c r="P179" t="n">
        <v>0</v>
      </c>
      <c r="Q179" t="n">
        <v>0</v>
      </c>
      <c r="R179" s="2" t="inlineStr"/>
    </row>
    <row r="180" ht="15" customHeight="1">
      <c r="A180" t="inlineStr">
        <is>
          <t>A 62265-2022</t>
        </is>
      </c>
      <c r="B180" s="1" t="n">
        <v>44923</v>
      </c>
      <c r="C180" s="1" t="n">
        <v>45992</v>
      </c>
      <c r="D180" t="inlineStr">
        <is>
          <t>ÖREBRO LÄN</t>
        </is>
      </c>
      <c r="E180" t="inlineStr">
        <is>
          <t>HÄLLEFORS</t>
        </is>
      </c>
      <c r="G180" t="n">
        <v>0.6</v>
      </c>
      <c r="H180" t="n">
        <v>0</v>
      </c>
      <c r="I180" t="n">
        <v>0</v>
      </c>
      <c r="J180" t="n">
        <v>0</v>
      </c>
      <c r="K180" t="n">
        <v>0</v>
      </c>
      <c r="L180" t="n">
        <v>0</v>
      </c>
      <c r="M180" t="n">
        <v>0</v>
      </c>
      <c r="N180" t="n">
        <v>0</v>
      </c>
      <c r="O180" t="n">
        <v>0</v>
      </c>
      <c r="P180" t="n">
        <v>0</v>
      </c>
      <c r="Q180" t="n">
        <v>0</v>
      </c>
      <c r="R180" s="2" t="inlineStr"/>
    </row>
    <row r="181" ht="15" customHeight="1">
      <c r="A181" t="inlineStr">
        <is>
          <t>A 44400-2025</t>
        </is>
      </c>
      <c r="B181" s="1" t="n">
        <v>45916.5037037037</v>
      </c>
      <c r="C181" s="1" t="n">
        <v>45992</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53331-2025</t>
        </is>
      </c>
      <c r="B182" s="1" t="n">
        <v>45959.37532407408</v>
      </c>
      <c r="C182" s="1" t="n">
        <v>45992</v>
      </c>
      <c r="D182" t="inlineStr">
        <is>
          <t>ÖREBRO LÄN</t>
        </is>
      </c>
      <c r="E182" t="inlineStr">
        <is>
          <t>HÄLLEFORS</t>
        </is>
      </c>
      <c r="G182" t="n">
        <v>3.2</v>
      </c>
      <c r="H182" t="n">
        <v>0</v>
      </c>
      <c r="I182" t="n">
        <v>0</v>
      </c>
      <c r="J182" t="n">
        <v>0</v>
      </c>
      <c r="K182" t="n">
        <v>0</v>
      </c>
      <c r="L182" t="n">
        <v>0</v>
      </c>
      <c r="M182" t="n">
        <v>0</v>
      </c>
      <c r="N182" t="n">
        <v>0</v>
      </c>
      <c r="O182" t="n">
        <v>0</v>
      </c>
      <c r="P182" t="n">
        <v>0</v>
      </c>
      <c r="Q182" t="n">
        <v>0</v>
      </c>
      <c r="R182" s="2" t="inlineStr"/>
    </row>
    <row r="183" ht="15" customHeight="1">
      <c r="A183" t="inlineStr">
        <is>
          <t>A 53335-2025</t>
        </is>
      </c>
      <c r="B183" s="1" t="n">
        <v>45959.38943287037</v>
      </c>
      <c r="C183" s="1" t="n">
        <v>45992</v>
      </c>
      <c r="D183" t="inlineStr">
        <is>
          <t>ÖREBRO LÄN</t>
        </is>
      </c>
      <c r="E183" t="inlineStr">
        <is>
          <t>HÄLLEFORS</t>
        </is>
      </c>
      <c r="G183" t="n">
        <v>2</v>
      </c>
      <c r="H183" t="n">
        <v>0</v>
      </c>
      <c r="I183" t="n">
        <v>0</v>
      </c>
      <c r="J183" t="n">
        <v>0</v>
      </c>
      <c r="K183" t="n">
        <v>0</v>
      </c>
      <c r="L183" t="n">
        <v>0</v>
      </c>
      <c r="M183" t="n">
        <v>0</v>
      </c>
      <c r="N183" t="n">
        <v>0</v>
      </c>
      <c r="O183" t="n">
        <v>0</v>
      </c>
      <c r="P183" t="n">
        <v>0</v>
      </c>
      <c r="Q183" t="n">
        <v>0</v>
      </c>
      <c r="R183" s="2" t="inlineStr"/>
    </row>
    <row r="184" ht="15" customHeight="1">
      <c r="A184" t="inlineStr">
        <is>
          <t>A 53337-2025</t>
        </is>
      </c>
      <c r="B184" s="1" t="n">
        <v>45959.40310185185</v>
      </c>
      <c r="C184" s="1" t="n">
        <v>45992</v>
      </c>
      <c r="D184" t="inlineStr">
        <is>
          <t>ÖREBRO LÄN</t>
        </is>
      </c>
      <c r="E184" t="inlineStr">
        <is>
          <t>HÄLLEFORS</t>
        </is>
      </c>
      <c r="G184" t="n">
        <v>4.8</v>
      </c>
      <c r="H184" t="n">
        <v>0</v>
      </c>
      <c r="I184" t="n">
        <v>0</v>
      </c>
      <c r="J184" t="n">
        <v>0</v>
      </c>
      <c r="K184" t="n">
        <v>0</v>
      </c>
      <c r="L184" t="n">
        <v>0</v>
      </c>
      <c r="M184" t="n">
        <v>0</v>
      </c>
      <c r="N184" t="n">
        <v>0</v>
      </c>
      <c r="O184" t="n">
        <v>0</v>
      </c>
      <c r="P184" t="n">
        <v>0</v>
      </c>
      <c r="Q184" t="n">
        <v>0</v>
      </c>
      <c r="R184" s="2" t="inlineStr"/>
    </row>
    <row r="185" ht="15" customHeight="1">
      <c r="A185" t="inlineStr">
        <is>
          <t>A 17075-2025</t>
        </is>
      </c>
      <c r="B185" s="1" t="n">
        <v>45755.62278935185</v>
      </c>
      <c r="C185" s="1" t="n">
        <v>45992</v>
      </c>
      <c r="D185" t="inlineStr">
        <is>
          <t>ÖREBRO LÄN</t>
        </is>
      </c>
      <c r="E185" t="inlineStr">
        <is>
          <t>HÄLLEFORS</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5033-2025</t>
        </is>
      </c>
      <c r="B186" s="1" t="n">
        <v>45691.425625</v>
      </c>
      <c r="C186" s="1" t="n">
        <v>45992</v>
      </c>
      <c r="D186" t="inlineStr">
        <is>
          <t>ÖREBRO LÄN</t>
        </is>
      </c>
      <c r="E186" t="inlineStr">
        <is>
          <t>HÄLLEFORS</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17350-2025</t>
        </is>
      </c>
      <c r="B187" s="1" t="n">
        <v>45756.68074074074</v>
      </c>
      <c r="C187" s="1" t="n">
        <v>45992</v>
      </c>
      <c r="D187" t="inlineStr">
        <is>
          <t>ÖREBRO LÄN</t>
        </is>
      </c>
      <c r="E187" t="inlineStr">
        <is>
          <t>HÄLLEFORS</t>
        </is>
      </c>
      <c r="F187" t="inlineStr">
        <is>
          <t>Bergvik skog väst AB</t>
        </is>
      </c>
      <c r="G187" t="n">
        <v>6.9</v>
      </c>
      <c r="H187" t="n">
        <v>0</v>
      </c>
      <c r="I187" t="n">
        <v>0</v>
      </c>
      <c r="J187" t="n">
        <v>0</v>
      </c>
      <c r="K187" t="n">
        <v>0</v>
      </c>
      <c r="L187" t="n">
        <v>0</v>
      </c>
      <c r="M187" t="n">
        <v>0</v>
      </c>
      <c r="N187" t="n">
        <v>0</v>
      </c>
      <c r="O187" t="n">
        <v>0</v>
      </c>
      <c r="P187" t="n">
        <v>0</v>
      </c>
      <c r="Q187" t="n">
        <v>0</v>
      </c>
      <c r="R187" s="2" t="inlineStr"/>
    </row>
    <row r="188" ht="15" customHeight="1">
      <c r="A188" t="inlineStr">
        <is>
          <t>A 12082-2025</t>
        </is>
      </c>
      <c r="B188" s="1" t="n">
        <v>45728</v>
      </c>
      <c r="C188" s="1" t="n">
        <v>45992</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9411-2022</t>
        </is>
      </c>
      <c r="B189" s="1" t="n">
        <v>44616</v>
      </c>
      <c r="C189" s="1" t="n">
        <v>45992</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45992</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21901-2023</t>
        </is>
      </c>
      <c r="B191" s="1" t="n">
        <v>45068.53265046296</v>
      </c>
      <c r="C191" s="1" t="n">
        <v>45992</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53952-2025</t>
        </is>
      </c>
      <c r="B192" s="1" t="n">
        <v>45961.5049537037</v>
      </c>
      <c r="C192" s="1" t="n">
        <v>45992</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33944-2024</t>
        </is>
      </c>
      <c r="B193" s="1" t="n">
        <v>45523</v>
      </c>
      <c r="C193" s="1" t="n">
        <v>45992</v>
      </c>
      <c r="D193" t="inlineStr">
        <is>
          <t>ÖREBRO LÄN</t>
        </is>
      </c>
      <c r="E193" t="inlineStr">
        <is>
          <t>HÄLLEFORS</t>
        </is>
      </c>
      <c r="G193" t="n">
        <v>5.9</v>
      </c>
      <c r="H193" t="n">
        <v>0</v>
      </c>
      <c r="I193" t="n">
        <v>0</v>
      </c>
      <c r="J193" t="n">
        <v>0</v>
      </c>
      <c r="K193" t="n">
        <v>0</v>
      </c>
      <c r="L193" t="n">
        <v>0</v>
      </c>
      <c r="M193" t="n">
        <v>0</v>
      </c>
      <c r="N193" t="n">
        <v>0</v>
      </c>
      <c r="O193" t="n">
        <v>0</v>
      </c>
      <c r="P193" t="n">
        <v>0</v>
      </c>
      <c r="Q193" t="n">
        <v>0</v>
      </c>
      <c r="R193" s="2" t="inlineStr"/>
    </row>
    <row r="194" ht="15" customHeight="1">
      <c r="A194" t="inlineStr">
        <is>
          <t>A 29027-2024</t>
        </is>
      </c>
      <c r="B194" s="1" t="n">
        <v>45481.58833333333</v>
      </c>
      <c r="C194" s="1" t="n">
        <v>45992</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5684-2025</t>
        </is>
      </c>
      <c r="B195" s="1" t="n">
        <v>45694</v>
      </c>
      <c r="C195" s="1" t="n">
        <v>45992</v>
      </c>
      <c r="D195" t="inlineStr">
        <is>
          <t>ÖREBRO LÄN</t>
        </is>
      </c>
      <c r="E195" t="inlineStr">
        <is>
          <t>HÄLLEFORS</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45992</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44905-2021</t>
        </is>
      </c>
      <c r="B197" s="1" t="n">
        <v>44438.65045138889</v>
      </c>
      <c r="C197" s="1" t="n">
        <v>45992</v>
      </c>
      <c r="D197" t="inlineStr">
        <is>
          <t>ÖREBRO LÄN</t>
        </is>
      </c>
      <c r="E197" t="inlineStr">
        <is>
          <t>HÄLLEFORS</t>
        </is>
      </c>
      <c r="F197" t="inlineStr">
        <is>
          <t>Sveaskog</t>
        </is>
      </c>
      <c r="G197" t="n">
        <v>5.3</v>
      </c>
      <c r="H197" t="n">
        <v>0</v>
      </c>
      <c r="I197" t="n">
        <v>0</v>
      </c>
      <c r="J197" t="n">
        <v>0</v>
      </c>
      <c r="K197" t="n">
        <v>0</v>
      </c>
      <c r="L197" t="n">
        <v>0</v>
      </c>
      <c r="M197" t="n">
        <v>0</v>
      </c>
      <c r="N197" t="n">
        <v>0</v>
      </c>
      <c r="O197" t="n">
        <v>0</v>
      </c>
      <c r="P197" t="n">
        <v>0</v>
      </c>
      <c r="Q197" t="n">
        <v>0</v>
      </c>
      <c r="R197" s="2" t="inlineStr"/>
    </row>
    <row r="198" ht="15" customHeight="1">
      <c r="A198" t="inlineStr">
        <is>
          <t>A 35183-2023</t>
        </is>
      </c>
      <c r="B198" s="1" t="n">
        <v>45145.59578703704</v>
      </c>
      <c r="C198" s="1" t="n">
        <v>45992</v>
      </c>
      <c r="D198" t="inlineStr">
        <is>
          <t>ÖREBRO LÄN</t>
        </is>
      </c>
      <c r="E198" t="inlineStr">
        <is>
          <t>HÄLLEFORS</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5256-2025</t>
        </is>
      </c>
      <c r="B199" s="1" t="n">
        <v>45692.36032407408</v>
      </c>
      <c r="C199" s="1" t="n">
        <v>45992</v>
      </c>
      <c r="D199" t="inlineStr">
        <is>
          <t>ÖREBRO LÄN</t>
        </is>
      </c>
      <c r="E199" t="inlineStr">
        <is>
          <t>HÄLLEFORS</t>
        </is>
      </c>
      <c r="F199" t="inlineStr">
        <is>
          <t>Bergvik skog väst AB</t>
        </is>
      </c>
      <c r="G199" t="n">
        <v>6.3</v>
      </c>
      <c r="H199" t="n">
        <v>0</v>
      </c>
      <c r="I199" t="n">
        <v>0</v>
      </c>
      <c r="J199" t="n">
        <v>0</v>
      </c>
      <c r="K199" t="n">
        <v>0</v>
      </c>
      <c r="L199" t="n">
        <v>0</v>
      </c>
      <c r="M199" t="n">
        <v>0</v>
      </c>
      <c r="N199" t="n">
        <v>0</v>
      </c>
      <c r="O199" t="n">
        <v>0</v>
      </c>
      <c r="P199" t="n">
        <v>0</v>
      </c>
      <c r="Q199" t="n">
        <v>0</v>
      </c>
      <c r="R199" s="2" t="inlineStr"/>
    </row>
    <row r="200" ht="15" customHeight="1">
      <c r="A200" t="inlineStr">
        <is>
          <t>A 29884-2022</t>
        </is>
      </c>
      <c r="B200" s="1" t="n">
        <v>44756</v>
      </c>
      <c r="C200" s="1" t="n">
        <v>45992</v>
      </c>
      <c r="D200" t="inlineStr">
        <is>
          <t>ÖREBRO LÄN</t>
        </is>
      </c>
      <c r="E200" t="inlineStr">
        <is>
          <t>HÄLLEFORS</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17045-2025</t>
        </is>
      </c>
      <c r="B201" s="1" t="n">
        <v>45755.59307870371</v>
      </c>
      <c r="C201" s="1" t="n">
        <v>45992</v>
      </c>
      <c r="D201" t="inlineStr">
        <is>
          <t>ÖREBRO LÄN</t>
        </is>
      </c>
      <c r="E201" t="inlineStr">
        <is>
          <t>HÄLLEFORS</t>
        </is>
      </c>
      <c r="F201" t="inlineStr">
        <is>
          <t>Bergvik skog väst AB</t>
        </is>
      </c>
      <c r="G201" t="n">
        <v>4.8</v>
      </c>
      <c r="H201" t="n">
        <v>0</v>
      </c>
      <c r="I201" t="n">
        <v>0</v>
      </c>
      <c r="J201" t="n">
        <v>0</v>
      </c>
      <c r="K201" t="n">
        <v>0</v>
      </c>
      <c r="L201" t="n">
        <v>0</v>
      </c>
      <c r="M201" t="n">
        <v>0</v>
      </c>
      <c r="N201" t="n">
        <v>0</v>
      </c>
      <c r="O201" t="n">
        <v>0</v>
      </c>
      <c r="P201" t="n">
        <v>0</v>
      </c>
      <c r="Q201" t="n">
        <v>0</v>
      </c>
      <c r="R201" s="2" t="inlineStr"/>
    </row>
    <row r="202" ht="15" customHeight="1">
      <c r="A202" t="inlineStr">
        <is>
          <t>A 12558-2025</t>
        </is>
      </c>
      <c r="B202" s="1" t="n">
        <v>45731.46960648148</v>
      </c>
      <c r="C202" s="1" t="n">
        <v>45992</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2079-2024</t>
        </is>
      </c>
      <c r="B203" s="1" t="n">
        <v>45309</v>
      </c>
      <c r="C203" s="1" t="n">
        <v>45992</v>
      </c>
      <c r="D203" t="inlineStr">
        <is>
          <t>ÖREBRO LÄN</t>
        </is>
      </c>
      <c r="E203" t="inlineStr">
        <is>
          <t>HÄLLEFORS</t>
        </is>
      </c>
      <c r="G203" t="n">
        <v>0.4</v>
      </c>
      <c r="H203" t="n">
        <v>0</v>
      </c>
      <c r="I203" t="n">
        <v>0</v>
      </c>
      <c r="J203" t="n">
        <v>0</v>
      </c>
      <c r="K203" t="n">
        <v>0</v>
      </c>
      <c r="L203" t="n">
        <v>0</v>
      </c>
      <c r="M203" t="n">
        <v>0</v>
      </c>
      <c r="N203" t="n">
        <v>0</v>
      </c>
      <c r="O203" t="n">
        <v>0</v>
      </c>
      <c r="P203" t="n">
        <v>0</v>
      </c>
      <c r="Q203" t="n">
        <v>0</v>
      </c>
      <c r="R203" s="2" t="inlineStr"/>
    </row>
    <row r="204" ht="15" customHeight="1">
      <c r="A204" t="inlineStr">
        <is>
          <t>A 5245-2025</t>
        </is>
      </c>
      <c r="B204" s="1" t="n">
        <v>45692</v>
      </c>
      <c r="C204" s="1" t="n">
        <v>45992</v>
      </c>
      <c r="D204" t="inlineStr">
        <is>
          <t>ÖREBRO LÄN</t>
        </is>
      </c>
      <c r="E204" t="inlineStr">
        <is>
          <t>HÄLLEFORS</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45916-2025</t>
        </is>
      </c>
      <c r="B205" s="1" t="n">
        <v>45923.83761574074</v>
      </c>
      <c r="C205" s="1" t="n">
        <v>45992</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6761-2025</t>
        </is>
      </c>
      <c r="B206" s="1" t="n">
        <v>45700.62762731482</v>
      </c>
      <c r="C206" s="1" t="n">
        <v>45992</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23561-2023</t>
        </is>
      </c>
      <c r="B207" s="1" t="n">
        <v>45077.39368055556</v>
      </c>
      <c r="C207" s="1" t="n">
        <v>45992</v>
      </c>
      <c r="D207" t="inlineStr">
        <is>
          <t>ÖREBRO LÄN</t>
        </is>
      </c>
      <c r="E207" t="inlineStr">
        <is>
          <t>HÄLLEFORS</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51088-2022</t>
        </is>
      </c>
      <c r="B208" s="1" t="n">
        <v>44868.3935300926</v>
      </c>
      <c r="C208" s="1" t="n">
        <v>45992</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37232-2025</t>
        </is>
      </c>
      <c r="B209" s="1" t="n">
        <v>45876.34452546296</v>
      </c>
      <c r="C209" s="1" t="n">
        <v>45992</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8615-2025</t>
        </is>
      </c>
      <c r="B210" s="1" t="n">
        <v>45710.81305555555</v>
      </c>
      <c r="C210" s="1" t="n">
        <v>45992</v>
      </c>
      <c r="D210" t="inlineStr">
        <is>
          <t>ÖREBRO LÄN</t>
        </is>
      </c>
      <c r="E210" t="inlineStr">
        <is>
          <t>HÄLLEFORS</t>
        </is>
      </c>
      <c r="G210" t="n">
        <v>6.2</v>
      </c>
      <c r="H210" t="n">
        <v>0</v>
      </c>
      <c r="I210" t="n">
        <v>0</v>
      </c>
      <c r="J210" t="n">
        <v>0</v>
      </c>
      <c r="K210" t="n">
        <v>0</v>
      </c>
      <c r="L210" t="n">
        <v>0</v>
      </c>
      <c r="M210" t="n">
        <v>0</v>
      </c>
      <c r="N210" t="n">
        <v>0</v>
      </c>
      <c r="O210" t="n">
        <v>0</v>
      </c>
      <c r="P210" t="n">
        <v>0</v>
      </c>
      <c r="Q210" t="n">
        <v>0</v>
      </c>
      <c r="R210" s="2" t="inlineStr"/>
    </row>
    <row r="211" ht="15" customHeight="1">
      <c r="A211" t="inlineStr">
        <is>
          <t>A 38148-2025</t>
        </is>
      </c>
      <c r="B211" s="1" t="n">
        <v>45882.58855324074</v>
      </c>
      <c r="C211" s="1" t="n">
        <v>45992</v>
      </c>
      <c r="D211" t="inlineStr">
        <is>
          <t>ÖREBRO LÄN</t>
        </is>
      </c>
      <c r="E211" t="inlineStr">
        <is>
          <t>HÄLLEFORS</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18503-2025</t>
        </is>
      </c>
      <c r="B212" s="1" t="n">
        <v>45763.37480324074</v>
      </c>
      <c r="C212" s="1" t="n">
        <v>45992</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55183-2025</t>
        </is>
      </c>
      <c r="B213" s="1" t="n">
        <v>45968.533125</v>
      </c>
      <c r="C213" s="1" t="n">
        <v>45992</v>
      </c>
      <c r="D213" t="inlineStr">
        <is>
          <t>ÖREBRO LÄN</t>
        </is>
      </c>
      <c r="E213" t="inlineStr">
        <is>
          <t>HÄLLEFORS</t>
        </is>
      </c>
      <c r="G213" t="n">
        <v>0.7</v>
      </c>
      <c r="H213" t="n">
        <v>0</v>
      </c>
      <c r="I213" t="n">
        <v>0</v>
      </c>
      <c r="J213" t="n">
        <v>0</v>
      </c>
      <c r="K213" t="n">
        <v>0</v>
      </c>
      <c r="L213" t="n">
        <v>0</v>
      </c>
      <c r="M213" t="n">
        <v>0</v>
      </c>
      <c r="N213" t="n">
        <v>0</v>
      </c>
      <c r="O213" t="n">
        <v>0</v>
      </c>
      <c r="P213" t="n">
        <v>0</v>
      </c>
      <c r="Q213" t="n">
        <v>0</v>
      </c>
      <c r="R213" s="2" t="inlineStr"/>
    </row>
    <row r="214" ht="15" customHeight="1">
      <c r="A214" t="inlineStr">
        <is>
          <t>A 46667-2025</t>
        </is>
      </c>
      <c r="B214" s="1" t="n">
        <v>45926.52738425926</v>
      </c>
      <c r="C214" s="1" t="n">
        <v>45992</v>
      </c>
      <c r="D214" t="inlineStr">
        <is>
          <t>ÖREBRO LÄN</t>
        </is>
      </c>
      <c r="E214" t="inlineStr">
        <is>
          <t>HÄLLEFORS</t>
        </is>
      </c>
      <c r="G214" t="n">
        <v>3.9</v>
      </c>
      <c r="H214" t="n">
        <v>0</v>
      </c>
      <c r="I214" t="n">
        <v>0</v>
      </c>
      <c r="J214" t="n">
        <v>0</v>
      </c>
      <c r="K214" t="n">
        <v>0</v>
      </c>
      <c r="L214" t="n">
        <v>0</v>
      </c>
      <c r="M214" t="n">
        <v>0</v>
      </c>
      <c r="N214" t="n">
        <v>0</v>
      </c>
      <c r="O214" t="n">
        <v>0</v>
      </c>
      <c r="P214" t="n">
        <v>0</v>
      </c>
      <c r="Q214" t="n">
        <v>0</v>
      </c>
      <c r="R214" s="2" t="inlineStr"/>
    </row>
    <row r="215" ht="15" customHeight="1">
      <c r="A215" t="inlineStr">
        <is>
          <t>A 44693-2025</t>
        </is>
      </c>
      <c r="B215" s="1" t="n">
        <v>45917</v>
      </c>
      <c r="C215" s="1" t="n">
        <v>45992</v>
      </c>
      <c r="D215" t="inlineStr">
        <is>
          <t>ÖREBRO LÄN</t>
        </is>
      </c>
      <c r="E215" t="inlineStr">
        <is>
          <t>HÄLLEFORS</t>
        </is>
      </c>
      <c r="G215" t="n">
        <v>10.3</v>
      </c>
      <c r="H215" t="n">
        <v>0</v>
      </c>
      <c r="I215" t="n">
        <v>0</v>
      </c>
      <c r="J215" t="n">
        <v>0</v>
      </c>
      <c r="K215" t="n">
        <v>0</v>
      </c>
      <c r="L215" t="n">
        <v>0</v>
      </c>
      <c r="M215" t="n">
        <v>0</v>
      </c>
      <c r="N215" t="n">
        <v>0</v>
      </c>
      <c r="O215" t="n">
        <v>0</v>
      </c>
      <c r="P215" t="n">
        <v>0</v>
      </c>
      <c r="Q215" t="n">
        <v>0</v>
      </c>
      <c r="R215" s="2" t="inlineStr"/>
    </row>
    <row r="216" ht="15" customHeight="1">
      <c r="A216" t="inlineStr">
        <is>
          <t>A 29280-2025</t>
        </is>
      </c>
      <c r="B216" s="1" t="n">
        <v>45824</v>
      </c>
      <c r="C216" s="1" t="n">
        <v>45992</v>
      </c>
      <c r="D216" t="inlineStr">
        <is>
          <t>ÖREBRO LÄN</t>
        </is>
      </c>
      <c r="E216" t="inlineStr">
        <is>
          <t>HÄLLEFORS</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36635-2022</t>
        </is>
      </c>
      <c r="B217" s="1" t="n">
        <v>44804.70893518518</v>
      </c>
      <c r="C217" s="1" t="n">
        <v>45992</v>
      </c>
      <c r="D217" t="inlineStr">
        <is>
          <t>ÖREBRO LÄN</t>
        </is>
      </c>
      <c r="E217" t="inlineStr">
        <is>
          <t>HÄLLEFORS</t>
        </is>
      </c>
      <c r="G217" t="n">
        <v>2.5</v>
      </c>
      <c r="H217" t="n">
        <v>0</v>
      </c>
      <c r="I217" t="n">
        <v>0</v>
      </c>
      <c r="J217" t="n">
        <v>0</v>
      </c>
      <c r="K217" t="n">
        <v>0</v>
      </c>
      <c r="L217" t="n">
        <v>0</v>
      </c>
      <c r="M217" t="n">
        <v>0</v>
      </c>
      <c r="N217" t="n">
        <v>0</v>
      </c>
      <c r="O217" t="n">
        <v>0</v>
      </c>
      <c r="P217" t="n">
        <v>0</v>
      </c>
      <c r="Q217" t="n">
        <v>0</v>
      </c>
      <c r="R217" s="2" t="inlineStr"/>
    </row>
    <row r="218" ht="15" customHeight="1">
      <c r="A218" t="inlineStr">
        <is>
          <t>A 9009-2023</t>
        </is>
      </c>
      <c r="B218" s="1" t="n">
        <v>44979</v>
      </c>
      <c r="C218" s="1" t="n">
        <v>45992</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45992</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5657-2024</t>
        </is>
      </c>
      <c r="B220" s="1" t="n">
        <v>45334</v>
      </c>
      <c r="C220" s="1" t="n">
        <v>45992</v>
      </c>
      <c r="D220" t="inlineStr">
        <is>
          <t>ÖREBRO LÄN</t>
        </is>
      </c>
      <c r="E220" t="inlineStr">
        <is>
          <t>HÄLLEFORS</t>
        </is>
      </c>
      <c r="G220" t="n">
        <v>0.3</v>
      </c>
      <c r="H220" t="n">
        <v>0</v>
      </c>
      <c r="I220" t="n">
        <v>0</v>
      </c>
      <c r="J220" t="n">
        <v>0</v>
      </c>
      <c r="K220" t="n">
        <v>0</v>
      </c>
      <c r="L220" t="n">
        <v>0</v>
      </c>
      <c r="M220" t="n">
        <v>0</v>
      </c>
      <c r="N220" t="n">
        <v>0</v>
      </c>
      <c r="O220" t="n">
        <v>0</v>
      </c>
      <c r="P220" t="n">
        <v>0</v>
      </c>
      <c r="Q220" t="n">
        <v>0</v>
      </c>
      <c r="R220" s="2" t="inlineStr"/>
    </row>
    <row r="221" ht="15" customHeight="1">
      <c r="A221" t="inlineStr">
        <is>
          <t>A 18927-2025</t>
        </is>
      </c>
      <c r="B221" s="1" t="n">
        <v>45764.4846412037</v>
      </c>
      <c r="C221" s="1" t="n">
        <v>45992</v>
      </c>
      <c r="D221" t="inlineStr">
        <is>
          <t>ÖREBRO LÄN</t>
        </is>
      </c>
      <c r="E221" t="inlineStr">
        <is>
          <t>HÄLLEFORS</t>
        </is>
      </c>
      <c r="F221" t="inlineStr">
        <is>
          <t>Bergvik skog väst AB</t>
        </is>
      </c>
      <c r="G221" t="n">
        <v>2.3</v>
      </c>
      <c r="H221" t="n">
        <v>0</v>
      </c>
      <c r="I221" t="n">
        <v>0</v>
      </c>
      <c r="J221" t="n">
        <v>0</v>
      </c>
      <c r="K221" t="n">
        <v>0</v>
      </c>
      <c r="L221" t="n">
        <v>0</v>
      </c>
      <c r="M221" t="n">
        <v>0</v>
      </c>
      <c r="N221" t="n">
        <v>0</v>
      </c>
      <c r="O221" t="n">
        <v>0</v>
      </c>
      <c r="P221" t="n">
        <v>0</v>
      </c>
      <c r="Q221" t="n">
        <v>0</v>
      </c>
      <c r="R221" s="2" t="inlineStr"/>
    </row>
    <row r="222" ht="15" customHeight="1">
      <c r="A222" t="inlineStr">
        <is>
          <t>A 18941-2025</t>
        </is>
      </c>
      <c r="B222" s="1" t="n">
        <v>45764.495625</v>
      </c>
      <c r="C222" s="1" t="n">
        <v>45992</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18582-2025</t>
        </is>
      </c>
      <c r="B223" s="1" t="n">
        <v>45763</v>
      </c>
      <c r="C223" s="1" t="n">
        <v>45992</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38532-2025</t>
        </is>
      </c>
      <c r="B224" s="1" t="n">
        <v>45884</v>
      </c>
      <c r="C224" s="1" t="n">
        <v>45992</v>
      </c>
      <c r="D224" t="inlineStr">
        <is>
          <t>ÖREBRO LÄN</t>
        </is>
      </c>
      <c r="E224" t="inlineStr">
        <is>
          <t>HÄLLEFORS</t>
        </is>
      </c>
      <c r="F224" t="inlineStr">
        <is>
          <t>Bergvik skog väst AB</t>
        </is>
      </c>
      <c r="G224" t="n">
        <v>6.6</v>
      </c>
      <c r="H224" t="n">
        <v>0</v>
      </c>
      <c r="I224" t="n">
        <v>0</v>
      </c>
      <c r="J224" t="n">
        <v>0</v>
      </c>
      <c r="K224" t="n">
        <v>0</v>
      </c>
      <c r="L224" t="n">
        <v>0</v>
      </c>
      <c r="M224" t="n">
        <v>0</v>
      </c>
      <c r="N224" t="n">
        <v>0</v>
      </c>
      <c r="O224" t="n">
        <v>0</v>
      </c>
      <c r="P224" t="n">
        <v>0</v>
      </c>
      <c r="Q224" t="n">
        <v>0</v>
      </c>
      <c r="R224" s="2" t="inlineStr"/>
    </row>
    <row r="225" ht="15" customHeight="1">
      <c r="A225" t="inlineStr">
        <is>
          <t>A 47847-2025</t>
        </is>
      </c>
      <c r="B225" s="1" t="n">
        <v>45932.38244212963</v>
      </c>
      <c r="C225" s="1" t="n">
        <v>45992</v>
      </c>
      <c r="D225" t="inlineStr">
        <is>
          <t>ÖREBRO LÄN</t>
        </is>
      </c>
      <c r="E225" t="inlineStr">
        <is>
          <t>HÄLLEFORS</t>
        </is>
      </c>
      <c r="F225" t="inlineStr">
        <is>
          <t>Bergvik skog väst AB</t>
        </is>
      </c>
      <c r="G225" t="n">
        <v>11.5</v>
      </c>
      <c r="H225" t="n">
        <v>0</v>
      </c>
      <c r="I225" t="n">
        <v>0</v>
      </c>
      <c r="J225" t="n">
        <v>0</v>
      </c>
      <c r="K225" t="n">
        <v>0</v>
      </c>
      <c r="L225" t="n">
        <v>0</v>
      </c>
      <c r="M225" t="n">
        <v>0</v>
      </c>
      <c r="N225" t="n">
        <v>0</v>
      </c>
      <c r="O225" t="n">
        <v>0</v>
      </c>
      <c r="P225" t="n">
        <v>0</v>
      </c>
      <c r="Q225" t="n">
        <v>0</v>
      </c>
      <c r="R225" s="2" t="inlineStr"/>
    </row>
    <row r="226" ht="15" customHeight="1">
      <c r="A226" t="inlineStr">
        <is>
          <t>A 47862-2025</t>
        </is>
      </c>
      <c r="B226" s="1" t="n">
        <v>45932.42637731481</v>
      </c>
      <c r="C226" s="1" t="n">
        <v>45992</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47190-2022</t>
        </is>
      </c>
      <c r="B227" s="1" t="n">
        <v>44852</v>
      </c>
      <c r="C227" s="1" t="n">
        <v>45992</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34478-2022</t>
        </is>
      </c>
      <c r="B228" s="1" t="n">
        <v>44792.64494212963</v>
      </c>
      <c r="C228" s="1" t="n">
        <v>45992</v>
      </c>
      <c r="D228" t="inlineStr">
        <is>
          <t>ÖREBRO LÄN</t>
        </is>
      </c>
      <c r="E228" t="inlineStr">
        <is>
          <t>HÄLLEFORS</t>
        </is>
      </c>
      <c r="G228" t="n">
        <v>0.9</v>
      </c>
      <c r="H228" t="n">
        <v>0</v>
      </c>
      <c r="I228" t="n">
        <v>0</v>
      </c>
      <c r="J228" t="n">
        <v>0</v>
      </c>
      <c r="K228" t="n">
        <v>0</v>
      </c>
      <c r="L228" t="n">
        <v>0</v>
      </c>
      <c r="M228" t="n">
        <v>0</v>
      </c>
      <c r="N228" t="n">
        <v>0</v>
      </c>
      <c r="O228" t="n">
        <v>0</v>
      </c>
      <c r="P228" t="n">
        <v>0</v>
      </c>
      <c r="Q228" t="n">
        <v>0</v>
      </c>
      <c r="R228" s="2" t="inlineStr"/>
    </row>
    <row r="229" ht="15" customHeight="1">
      <c r="A229" t="inlineStr">
        <is>
          <t>A 47854-2025</t>
        </is>
      </c>
      <c r="B229" s="1" t="n">
        <v>45932.39532407407</v>
      </c>
      <c r="C229" s="1" t="n">
        <v>45992</v>
      </c>
      <c r="D229" t="inlineStr">
        <is>
          <t>ÖREBRO LÄN</t>
        </is>
      </c>
      <c r="E229" t="inlineStr">
        <is>
          <t>HÄLLEFORS</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15013-2024</t>
        </is>
      </c>
      <c r="B230" s="1" t="n">
        <v>45399</v>
      </c>
      <c r="C230" s="1" t="n">
        <v>45992</v>
      </c>
      <c r="D230" t="inlineStr">
        <is>
          <t>ÖREBRO LÄN</t>
        </is>
      </c>
      <c r="E230" t="inlineStr">
        <is>
          <t>HÄLLEFORS</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46980-2023</t>
        </is>
      </c>
      <c r="B231" s="1" t="n">
        <v>45201</v>
      </c>
      <c r="C231" s="1" t="n">
        <v>45992</v>
      </c>
      <c r="D231" t="inlineStr">
        <is>
          <t>ÖREBRO LÄN</t>
        </is>
      </c>
      <c r="E231" t="inlineStr">
        <is>
          <t>HÄLLEFORS</t>
        </is>
      </c>
      <c r="F231" t="inlineStr">
        <is>
          <t>Bergvik skog väst AB</t>
        </is>
      </c>
      <c r="G231" t="n">
        <v>7.5</v>
      </c>
      <c r="H231" t="n">
        <v>0</v>
      </c>
      <c r="I231" t="n">
        <v>0</v>
      </c>
      <c r="J231" t="n">
        <v>0</v>
      </c>
      <c r="K231" t="n">
        <v>0</v>
      </c>
      <c r="L231" t="n">
        <v>0</v>
      </c>
      <c r="M231" t="n">
        <v>0</v>
      </c>
      <c r="N231" t="n">
        <v>0</v>
      </c>
      <c r="O231" t="n">
        <v>0</v>
      </c>
      <c r="P231" t="n">
        <v>0</v>
      </c>
      <c r="Q231" t="n">
        <v>0</v>
      </c>
      <c r="R231" s="2" t="inlineStr"/>
    </row>
    <row r="232" ht="15" customHeight="1">
      <c r="A232" t="inlineStr">
        <is>
          <t>A 47852-2025</t>
        </is>
      </c>
      <c r="B232" s="1" t="n">
        <v>45932.38914351852</v>
      </c>
      <c r="C232" s="1" t="n">
        <v>45992</v>
      </c>
      <c r="D232" t="inlineStr">
        <is>
          <t>ÖREBRO LÄN</t>
        </is>
      </c>
      <c r="E232" t="inlineStr">
        <is>
          <t>HÄLLEFORS</t>
        </is>
      </c>
      <c r="F232" t="inlineStr">
        <is>
          <t>Bergvik skog väst AB</t>
        </is>
      </c>
      <c r="G232" t="n">
        <v>12.9</v>
      </c>
      <c r="H232" t="n">
        <v>0</v>
      </c>
      <c r="I232" t="n">
        <v>0</v>
      </c>
      <c r="J232" t="n">
        <v>0</v>
      </c>
      <c r="K232" t="n">
        <v>0</v>
      </c>
      <c r="L232" t="n">
        <v>0</v>
      </c>
      <c r="M232" t="n">
        <v>0</v>
      </c>
      <c r="N232" t="n">
        <v>0</v>
      </c>
      <c r="O232" t="n">
        <v>0</v>
      </c>
      <c r="P232" t="n">
        <v>0</v>
      </c>
      <c r="Q232" t="n">
        <v>0</v>
      </c>
      <c r="R232" s="2" t="inlineStr"/>
    </row>
    <row r="233" ht="15" customHeight="1">
      <c r="A233" t="inlineStr">
        <is>
          <t>A 47856-2025</t>
        </is>
      </c>
      <c r="B233" s="1" t="n">
        <v>45932.40252314815</v>
      </c>
      <c r="C233" s="1" t="n">
        <v>45992</v>
      </c>
      <c r="D233" t="inlineStr">
        <is>
          <t>ÖREBRO LÄN</t>
        </is>
      </c>
      <c r="E233" t="inlineStr">
        <is>
          <t>HÄLLEFORS</t>
        </is>
      </c>
      <c r="F233" t="inlineStr">
        <is>
          <t>Bergvik skog väst AB</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45992</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57421-2025</t>
        </is>
      </c>
      <c r="B235" s="1" t="n">
        <v>45980.45798611111</v>
      </c>
      <c r="C235" s="1" t="n">
        <v>45992</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1019-2025</t>
        </is>
      </c>
      <c r="B236" s="1" t="n">
        <v>45666.49216435185</v>
      </c>
      <c r="C236" s="1" t="n">
        <v>45992</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55747-2024</t>
        </is>
      </c>
      <c r="B237" s="1" t="n">
        <v>45623.32141203704</v>
      </c>
      <c r="C237" s="1" t="n">
        <v>45992</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39171-2024</t>
        </is>
      </c>
      <c r="B238" s="1" t="n">
        <v>45548</v>
      </c>
      <c r="C238" s="1" t="n">
        <v>45992</v>
      </c>
      <c r="D238" t="inlineStr">
        <is>
          <t>ÖREBRO LÄN</t>
        </is>
      </c>
      <c r="E238" t="inlineStr">
        <is>
          <t>HÄLLEFORS</t>
        </is>
      </c>
      <c r="G238" t="n">
        <v>3.8</v>
      </c>
      <c r="H238" t="n">
        <v>0</v>
      </c>
      <c r="I238" t="n">
        <v>0</v>
      </c>
      <c r="J238" t="n">
        <v>0</v>
      </c>
      <c r="K238" t="n">
        <v>0</v>
      </c>
      <c r="L238" t="n">
        <v>0</v>
      </c>
      <c r="M238" t="n">
        <v>0</v>
      </c>
      <c r="N238" t="n">
        <v>0</v>
      </c>
      <c r="O238" t="n">
        <v>0</v>
      </c>
      <c r="P238" t="n">
        <v>0</v>
      </c>
      <c r="Q238" t="n">
        <v>0</v>
      </c>
      <c r="R238" s="2" t="inlineStr"/>
    </row>
    <row r="239" ht="15" customHeight="1">
      <c r="A239" t="inlineStr">
        <is>
          <t>A 55397-2023</t>
        </is>
      </c>
      <c r="B239" s="1" t="n">
        <v>45238</v>
      </c>
      <c r="C239" s="1" t="n">
        <v>45992</v>
      </c>
      <c r="D239" t="inlineStr">
        <is>
          <t>ÖREBRO LÄN</t>
        </is>
      </c>
      <c r="E239" t="inlineStr">
        <is>
          <t>HÄLLEFORS</t>
        </is>
      </c>
      <c r="G239" t="n">
        <v>1.3</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45992</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45992</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48765-2025</t>
        </is>
      </c>
      <c r="B242" s="1" t="n">
        <v>45936.85859953704</v>
      </c>
      <c r="C242" s="1" t="n">
        <v>45992</v>
      </c>
      <c r="D242" t="inlineStr">
        <is>
          <t>ÖREBRO LÄN</t>
        </is>
      </c>
      <c r="E242" t="inlineStr">
        <is>
          <t>HÄLLEFORS</t>
        </is>
      </c>
      <c r="F242" t="inlineStr">
        <is>
          <t>Bergvik skog väst AB</t>
        </is>
      </c>
      <c r="G242" t="n">
        <v>17.6</v>
      </c>
      <c r="H242" t="n">
        <v>0</v>
      </c>
      <c r="I242" t="n">
        <v>0</v>
      </c>
      <c r="J242" t="n">
        <v>0</v>
      </c>
      <c r="K242" t="n">
        <v>0</v>
      </c>
      <c r="L242" t="n">
        <v>0</v>
      </c>
      <c r="M242" t="n">
        <v>0</v>
      </c>
      <c r="N242" t="n">
        <v>0</v>
      </c>
      <c r="O242" t="n">
        <v>0</v>
      </c>
      <c r="P242" t="n">
        <v>0</v>
      </c>
      <c r="Q242" t="n">
        <v>0</v>
      </c>
      <c r="R242" s="2" t="inlineStr"/>
    </row>
    <row r="243" ht="15" customHeight="1">
      <c r="A243" t="inlineStr">
        <is>
          <t>A 16169-2025</t>
        </is>
      </c>
      <c r="B243" s="1" t="n">
        <v>45750</v>
      </c>
      <c r="C243" s="1" t="n">
        <v>45992</v>
      </c>
      <c r="D243" t="inlineStr">
        <is>
          <t>ÖREBRO LÄN</t>
        </is>
      </c>
      <c r="E243" t="inlineStr">
        <is>
          <t>HÄLLEFORS</t>
        </is>
      </c>
      <c r="F243" t="inlineStr">
        <is>
          <t>Kyrkan</t>
        </is>
      </c>
      <c r="G243" t="n">
        <v>2.1</v>
      </c>
      <c r="H243" t="n">
        <v>0</v>
      </c>
      <c r="I243" t="n">
        <v>0</v>
      </c>
      <c r="J243" t="n">
        <v>0</v>
      </c>
      <c r="K243" t="n">
        <v>0</v>
      </c>
      <c r="L243" t="n">
        <v>0</v>
      </c>
      <c r="M243" t="n">
        <v>0</v>
      </c>
      <c r="N243" t="n">
        <v>0</v>
      </c>
      <c r="O243" t="n">
        <v>0</v>
      </c>
      <c r="P243" t="n">
        <v>0</v>
      </c>
      <c r="Q243" t="n">
        <v>0</v>
      </c>
      <c r="R243" s="2" t="inlineStr"/>
    </row>
    <row r="244" ht="15" customHeight="1">
      <c r="A244" t="inlineStr">
        <is>
          <t>A 26537-2021</t>
        </is>
      </c>
      <c r="B244" s="1" t="n">
        <v>44348</v>
      </c>
      <c r="C244" s="1" t="n">
        <v>45992</v>
      </c>
      <c r="D244" t="inlineStr">
        <is>
          <t>ÖREBRO LÄN</t>
        </is>
      </c>
      <c r="E244" t="inlineStr">
        <is>
          <t>HÄLLEFORS</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18664-2025</t>
        </is>
      </c>
      <c r="B245" s="1" t="n">
        <v>45763.58991898148</v>
      </c>
      <c r="C245" s="1" t="n">
        <v>45992</v>
      </c>
      <c r="D245" t="inlineStr">
        <is>
          <t>ÖREBRO LÄN</t>
        </is>
      </c>
      <c r="E245" t="inlineStr">
        <is>
          <t>HÄLLEFORS</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46599-2024</t>
        </is>
      </c>
      <c r="B246" s="1" t="n">
        <v>45582</v>
      </c>
      <c r="C246" s="1" t="n">
        <v>45992</v>
      </c>
      <c r="D246" t="inlineStr">
        <is>
          <t>ÖREBRO LÄN</t>
        </is>
      </c>
      <c r="E246" t="inlineStr">
        <is>
          <t>HÄLLEFORS</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623-2023</t>
        </is>
      </c>
      <c r="B247" s="1" t="n">
        <v>44930</v>
      </c>
      <c r="C247" s="1" t="n">
        <v>45992</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60303-2024</t>
        </is>
      </c>
      <c r="B248" s="1" t="n">
        <v>45643</v>
      </c>
      <c r="C248" s="1" t="n">
        <v>45992</v>
      </c>
      <c r="D248" t="inlineStr">
        <is>
          <t>ÖREBRO LÄN</t>
        </is>
      </c>
      <c r="E248" t="inlineStr">
        <is>
          <t>HÄLLEFORS</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8503-2022</t>
        </is>
      </c>
      <c r="B249" s="1" t="n">
        <v>44613</v>
      </c>
      <c r="C249" s="1" t="n">
        <v>45992</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42920-2024</t>
        </is>
      </c>
      <c r="B250" s="1" t="n">
        <v>45567.29131944444</v>
      </c>
      <c r="C250" s="1" t="n">
        <v>45992</v>
      </c>
      <c r="D250" t="inlineStr">
        <is>
          <t>ÖREBRO LÄN</t>
        </is>
      </c>
      <c r="E250" t="inlineStr">
        <is>
          <t>HÄLLEFORS</t>
        </is>
      </c>
      <c r="F250" t="inlineStr">
        <is>
          <t>Bergvik skog väst AB</t>
        </is>
      </c>
      <c r="G250" t="n">
        <v>5.5</v>
      </c>
      <c r="H250" t="n">
        <v>0</v>
      </c>
      <c r="I250" t="n">
        <v>0</v>
      </c>
      <c r="J250" t="n">
        <v>0</v>
      </c>
      <c r="K250" t="n">
        <v>0</v>
      </c>
      <c r="L250" t="n">
        <v>0</v>
      </c>
      <c r="M250" t="n">
        <v>0</v>
      </c>
      <c r="N250" t="n">
        <v>0</v>
      </c>
      <c r="O250" t="n">
        <v>0</v>
      </c>
      <c r="P250" t="n">
        <v>0</v>
      </c>
      <c r="Q250" t="n">
        <v>0</v>
      </c>
      <c r="R250" s="2" t="inlineStr"/>
    </row>
    <row r="251" ht="15" customHeight="1">
      <c r="A251" t="inlineStr">
        <is>
          <t>A 58941-2025</t>
        </is>
      </c>
      <c r="B251" s="1" t="n">
        <v>45987.57491898148</v>
      </c>
      <c r="C251" s="1" t="n">
        <v>45992</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58947-2025</t>
        </is>
      </c>
      <c r="B252" s="1" t="n">
        <v>45987.58177083333</v>
      </c>
      <c r="C252" s="1" t="n">
        <v>45992</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58949-2025</t>
        </is>
      </c>
      <c r="B253" s="1" t="n">
        <v>45987.58652777778</v>
      </c>
      <c r="C253" s="1" t="n">
        <v>45992</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17041-2025</t>
        </is>
      </c>
      <c r="B254" s="1" t="n">
        <v>45755.58488425926</v>
      </c>
      <c r="C254" s="1" t="n">
        <v>45992</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58938-2025</t>
        </is>
      </c>
      <c r="B255" s="1" t="n">
        <v>45987.56550925926</v>
      </c>
      <c r="C255" s="1" t="n">
        <v>45992</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58934-2025</t>
        </is>
      </c>
      <c r="B256" s="1" t="n">
        <v>45987.56333333333</v>
      </c>
      <c r="C256" s="1" t="n">
        <v>45992</v>
      </c>
      <c r="D256" t="inlineStr">
        <is>
          <t>ÖREBRO LÄN</t>
        </is>
      </c>
      <c r="E256" t="inlineStr">
        <is>
          <t>HÄLLEFORS</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45992</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58942-2025</t>
        </is>
      </c>
      <c r="B258" s="1" t="n">
        <v>45987.57672453704</v>
      </c>
      <c r="C258" s="1" t="n">
        <v>45992</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58930-2025</t>
        </is>
      </c>
      <c r="B259" s="1" t="n">
        <v>45987.55640046296</v>
      </c>
      <c r="C259" s="1" t="n">
        <v>45992</v>
      </c>
      <c r="D259" t="inlineStr">
        <is>
          <t>ÖREBRO LÄN</t>
        </is>
      </c>
      <c r="E259" t="inlineStr">
        <is>
          <t>HÄLLEFORS</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8513-2022</t>
        </is>
      </c>
      <c r="B260" s="1" t="n">
        <v>44613</v>
      </c>
      <c r="C260" s="1" t="n">
        <v>45992</v>
      </c>
      <c r="D260" t="inlineStr">
        <is>
          <t>ÖREBRO LÄN</t>
        </is>
      </c>
      <c r="E260" t="inlineStr">
        <is>
          <t>HÄLLEFORS</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50881-2025</t>
        </is>
      </c>
      <c r="B261" s="1" t="n">
        <v>45946.62914351852</v>
      </c>
      <c r="C261" s="1" t="n">
        <v>45992</v>
      </c>
      <c r="D261" t="inlineStr">
        <is>
          <t>ÖREBRO LÄN</t>
        </is>
      </c>
      <c r="E261" t="inlineStr">
        <is>
          <t>HÄLLEFORS</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50794-2025</t>
        </is>
      </c>
      <c r="B262" s="1" t="n">
        <v>45946.47722222222</v>
      </c>
      <c r="C262" s="1" t="n">
        <v>45992</v>
      </c>
      <c r="D262" t="inlineStr">
        <is>
          <t>ÖREBRO LÄN</t>
        </is>
      </c>
      <c r="E262" t="inlineStr">
        <is>
          <t>HÄLLEFORS</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50798-2025</t>
        </is>
      </c>
      <c r="B263" s="1" t="n">
        <v>45946.48537037037</v>
      </c>
      <c r="C263" s="1" t="n">
        <v>45992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11467-2024</t>
        </is>
      </c>
      <c r="B264" s="1" t="n">
        <v>45372.59753472222</v>
      </c>
      <c r="C264" s="1" t="n">
        <v>45992</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30592-2024</t>
        </is>
      </c>
      <c r="B265" s="1" t="n">
        <v>45493.31666666667</v>
      </c>
      <c r="C265" s="1" t="n">
        <v>45992</v>
      </c>
      <c r="D265" t="inlineStr">
        <is>
          <t>ÖREBRO LÄN</t>
        </is>
      </c>
      <c r="E265" t="inlineStr">
        <is>
          <t>HÄLLEFORS</t>
        </is>
      </c>
      <c r="G265" t="n">
        <v>7.1</v>
      </c>
      <c r="H265" t="n">
        <v>0</v>
      </c>
      <c r="I265" t="n">
        <v>0</v>
      </c>
      <c r="J265" t="n">
        <v>0</v>
      </c>
      <c r="K265" t="n">
        <v>0</v>
      </c>
      <c r="L265" t="n">
        <v>0</v>
      </c>
      <c r="M265" t="n">
        <v>0</v>
      </c>
      <c r="N265" t="n">
        <v>0</v>
      </c>
      <c r="O265" t="n">
        <v>0</v>
      </c>
      <c r="P265" t="n">
        <v>0</v>
      </c>
      <c r="Q265" t="n">
        <v>0</v>
      </c>
      <c r="R265" s="2" t="inlineStr"/>
    </row>
    <row r="266" ht="15" customHeight="1">
      <c r="A266" t="inlineStr">
        <is>
          <t>A 46987-2023</t>
        </is>
      </c>
      <c r="B266" s="1" t="n">
        <v>45201</v>
      </c>
      <c r="C266" s="1" t="n">
        <v>45992</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35243-2022</t>
        </is>
      </c>
      <c r="B267" s="1" t="n">
        <v>44798</v>
      </c>
      <c r="C267" s="1" t="n">
        <v>45992</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18627-2025</t>
        </is>
      </c>
      <c r="B268" s="1" t="n">
        <v>45763.53284722222</v>
      </c>
      <c r="C268" s="1" t="n">
        <v>45992</v>
      </c>
      <c r="D268" t="inlineStr">
        <is>
          <t>ÖREBRO LÄN</t>
        </is>
      </c>
      <c r="E268" t="inlineStr">
        <is>
          <t>HÄLLEFORS</t>
        </is>
      </c>
      <c r="F268" t="inlineStr">
        <is>
          <t>Bergvik skog väst AB</t>
        </is>
      </c>
      <c r="G268" t="n">
        <v>5.3</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45992</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3057-2024</t>
        </is>
      </c>
      <c r="B270" s="1" t="n">
        <v>45316</v>
      </c>
      <c r="C270" s="1" t="n">
        <v>45992</v>
      </c>
      <c r="D270" t="inlineStr">
        <is>
          <t>ÖREBRO LÄN</t>
        </is>
      </c>
      <c r="E270" t="inlineStr">
        <is>
          <t>HÄLLEFORS</t>
        </is>
      </c>
      <c r="F270" t="inlineStr">
        <is>
          <t>Bergvik skog väst AB</t>
        </is>
      </c>
      <c r="G270" t="n">
        <v>12.2</v>
      </c>
      <c r="H270" t="n">
        <v>0</v>
      </c>
      <c r="I270" t="n">
        <v>0</v>
      </c>
      <c r="J270" t="n">
        <v>0</v>
      </c>
      <c r="K270" t="n">
        <v>0</v>
      </c>
      <c r="L270" t="n">
        <v>0</v>
      </c>
      <c r="M270" t="n">
        <v>0</v>
      </c>
      <c r="N270" t="n">
        <v>0</v>
      </c>
      <c r="O270" t="n">
        <v>0</v>
      </c>
      <c r="P270" t="n">
        <v>0</v>
      </c>
      <c r="Q270" t="n">
        <v>0</v>
      </c>
      <c r="R270" s="2" t="inlineStr"/>
    </row>
    <row r="271" ht="15" customHeight="1">
      <c r="A271" t="inlineStr">
        <is>
          <t>A 55756-2023</t>
        </is>
      </c>
      <c r="B271" s="1" t="n">
        <v>45239</v>
      </c>
      <c r="C271" s="1" t="n">
        <v>45992</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19055-2024</t>
        </is>
      </c>
      <c r="B272" s="1" t="n">
        <v>45427.79534722222</v>
      </c>
      <c r="C272" s="1" t="n">
        <v>45992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16928-2025</t>
        </is>
      </c>
      <c r="B273" s="1" t="n">
        <v>45755.39711805555</v>
      </c>
      <c r="C273" s="1" t="n">
        <v>45992</v>
      </c>
      <c r="D273" t="inlineStr">
        <is>
          <t>ÖREBRO LÄN</t>
        </is>
      </c>
      <c r="E273" t="inlineStr">
        <is>
          <t>HÄLLEFORS</t>
        </is>
      </c>
      <c r="F273" t="inlineStr">
        <is>
          <t>Bergvik skog väst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44107-2024</t>
        </is>
      </c>
      <c r="B274" s="1" t="n">
        <v>45572.63357638889</v>
      </c>
      <c r="C274" s="1" t="n">
        <v>45992</v>
      </c>
      <c r="D274" t="inlineStr">
        <is>
          <t>ÖREBRO LÄN</t>
        </is>
      </c>
      <c r="E274" t="inlineStr">
        <is>
          <t>HÄLLEFORS</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45992</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51212-2023</t>
        </is>
      </c>
      <c r="B276" s="1" t="n">
        <v>45219.44366898148</v>
      </c>
      <c r="C276" s="1" t="n">
        <v>45992</v>
      </c>
      <c r="D276" t="inlineStr">
        <is>
          <t>ÖREBRO LÄN</t>
        </is>
      </c>
      <c r="E276" t="inlineStr">
        <is>
          <t>HÄLLEFORS</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45710-2023</t>
        </is>
      </c>
      <c r="B277" s="1" t="n">
        <v>45195.35254629629</v>
      </c>
      <c r="C277" s="1" t="n">
        <v>45992</v>
      </c>
      <c r="D277" t="inlineStr">
        <is>
          <t>ÖREBRO LÄN</t>
        </is>
      </c>
      <c r="E277" t="inlineStr">
        <is>
          <t>HÄLLEFORS</t>
        </is>
      </c>
      <c r="G277" t="n">
        <v>5.4</v>
      </c>
      <c r="H277" t="n">
        <v>0</v>
      </c>
      <c r="I277" t="n">
        <v>0</v>
      </c>
      <c r="J277" t="n">
        <v>0</v>
      </c>
      <c r="K277" t="n">
        <v>0</v>
      </c>
      <c r="L277" t="n">
        <v>0</v>
      </c>
      <c r="M277" t="n">
        <v>0</v>
      </c>
      <c r="N277" t="n">
        <v>0</v>
      </c>
      <c r="O277" t="n">
        <v>0</v>
      </c>
      <c r="P277" t="n">
        <v>0</v>
      </c>
      <c r="Q277" t="n">
        <v>0</v>
      </c>
      <c r="R277" s="2" t="inlineStr"/>
    </row>
    <row r="278" ht="15" customHeight="1">
      <c r="A278" t="inlineStr">
        <is>
          <t>A 15941-2023</t>
        </is>
      </c>
      <c r="B278" s="1" t="n">
        <v>45022</v>
      </c>
      <c r="C278" s="1" t="n">
        <v>45992</v>
      </c>
      <c r="D278" t="inlineStr">
        <is>
          <t>ÖREBRO LÄN</t>
        </is>
      </c>
      <c r="E278" t="inlineStr">
        <is>
          <t>HÄLLEFORS</t>
        </is>
      </c>
      <c r="G278" t="n">
        <v>1.9</v>
      </c>
      <c r="H278" t="n">
        <v>0</v>
      </c>
      <c r="I278" t="n">
        <v>0</v>
      </c>
      <c r="J278" t="n">
        <v>0</v>
      </c>
      <c r="K278" t="n">
        <v>0</v>
      </c>
      <c r="L278" t="n">
        <v>0</v>
      </c>
      <c r="M278" t="n">
        <v>0</v>
      </c>
      <c r="N278" t="n">
        <v>0</v>
      </c>
      <c r="O278" t="n">
        <v>0</v>
      </c>
      <c r="P278" t="n">
        <v>0</v>
      </c>
      <c r="Q278" t="n">
        <v>0</v>
      </c>
      <c r="R278" s="2" t="inlineStr"/>
    </row>
    <row r="279" ht="15" customHeight="1">
      <c r="A279" t="inlineStr">
        <is>
          <t>A 18987-2025</t>
        </is>
      </c>
      <c r="B279" s="1" t="n">
        <v>45764.56091435185</v>
      </c>
      <c r="C279" s="1" t="n">
        <v>45992</v>
      </c>
      <c r="D279" t="inlineStr">
        <is>
          <t>ÖREBRO LÄN</t>
        </is>
      </c>
      <c r="E279" t="inlineStr">
        <is>
          <t>HÄLLEFORS</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55745-2024</t>
        </is>
      </c>
      <c r="B280" s="1" t="n">
        <v>45623.3168287037</v>
      </c>
      <c r="C280" s="1" t="n">
        <v>45992</v>
      </c>
      <c r="D280" t="inlineStr">
        <is>
          <t>ÖREBRO LÄN</t>
        </is>
      </c>
      <c r="E280" t="inlineStr">
        <is>
          <t>HÄLLEFORS</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45992</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45992</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45992</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45992</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45992</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30591-2024</t>
        </is>
      </c>
      <c r="B286" s="1" t="n">
        <v>45493.3153125</v>
      </c>
      <c r="C286" s="1" t="n">
        <v>45992</v>
      </c>
      <c r="D286" t="inlineStr">
        <is>
          <t>ÖREBRO LÄN</t>
        </is>
      </c>
      <c r="E286" t="inlineStr">
        <is>
          <t>HÄLLEFORS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12545-2023</t>
        </is>
      </c>
      <c r="B287" s="1" t="n">
        <v>45000</v>
      </c>
      <c r="C287" s="1" t="n">
        <v>45992</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45992</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19245-2025</t>
        </is>
      </c>
      <c r="B289" s="1" t="n">
        <v>45769</v>
      </c>
      <c r="C289" s="1" t="n">
        <v>45992</v>
      </c>
      <c r="D289" t="inlineStr">
        <is>
          <t>ÖREBRO LÄN</t>
        </is>
      </c>
      <c r="E289" t="inlineStr">
        <is>
          <t>HÄLLEFORS</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38908-2021</t>
        </is>
      </c>
      <c r="B290" s="1" t="n">
        <v>44411</v>
      </c>
      <c r="C290" s="1" t="n">
        <v>45992</v>
      </c>
      <c r="D290" t="inlineStr">
        <is>
          <t>ÖREBRO LÄN</t>
        </is>
      </c>
      <c r="E290" t="inlineStr">
        <is>
          <t>HÄLLEFORS</t>
        </is>
      </c>
      <c r="G290" t="n">
        <v>3.9</v>
      </c>
      <c r="H290" t="n">
        <v>0</v>
      </c>
      <c r="I290" t="n">
        <v>0</v>
      </c>
      <c r="J290" t="n">
        <v>0</v>
      </c>
      <c r="K290" t="n">
        <v>0</v>
      </c>
      <c r="L290" t="n">
        <v>0</v>
      </c>
      <c r="M290" t="n">
        <v>0</v>
      </c>
      <c r="N290" t="n">
        <v>0</v>
      </c>
      <c r="O290" t="n">
        <v>0</v>
      </c>
      <c r="P290" t="n">
        <v>0</v>
      </c>
      <c r="Q290" t="n">
        <v>0</v>
      </c>
      <c r="R290" s="2" t="inlineStr"/>
    </row>
    <row r="291" ht="15" customHeight="1">
      <c r="A291" t="inlineStr">
        <is>
          <t>A 34898-2021</t>
        </is>
      </c>
      <c r="B291" s="1" t="n">
        <v>44383</v>
      </c>
      <c r="C291" s="1" t="n">
        <v>45992</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28004-2022</t>
        </is>
      </c>
      <c r="B292" s="1" t="n">
        <v>44746.34457175926</v>
      </c>
      <c r="C292" s="1" t="n">
        <v>45992</v>
      </c>
      <c r="D292" t="inlineStr">
        <is>
          <t>ÖREBRO LÄN</t>
        </is>
      </c>
      <c r="E292" t="inlineStr">
        <is>
          <t>HÄLLEFORS</t>
        </is>
      </c>
      <c r="G292" t="n">
        <v>2.9</v>
      </c>
      <c r="H292" t="n">
        <v>0</v>
      </c>
      <c r="I292" t="n">
        <v>0</v>
      </c>
      <c r="J292" t="n">
        <v>0</v>
      </c>
      <c r="K292" t="n">
        <v>0</v>
      </c>
      <c r="L292" t="n">
        <v>0</v>
      </c>
      <c r="M292" t="n">
        <v>0</v>
      </c>
      <c r="N292" t="n">
        <v>0</v>
      </c>
      <c r="O292" t="n">
        <v>0</v>
      </c>
      <c r="P292" t="n">
        <v>0</v>
      </c>
      <c r="Q292" t="n">
        <v>0</v>
      </c>
      <c r="R292" s="2" t="inlineStr"/>
    </row>
    <row r="293" ht="15" customHeight="1">
      <c r="A293" t="inlineStr">
        <is>
          <t>A 67953-2021</t>
        </is>
      </c>
      <c r="B293" s="1" t="n">
        <v>44525.63929398148</v>
      </c>
      <c r="C293" s="1" t="n">
        <v>45992</v>
      </c>
      <c r="D293" t="inlineStr">
        <is>
          <t>ÖREBRO LÄN</t>
        </is>
      </c>
      <c r="E293" t="inlineStr">
        <is>
          <t>HÄLLEFORS</t>
        </is>
      </c>
      <c r="G293" t="n">
        <v>2</v>
      </c>
      <c r="H293" t="n">
        <v>0</v>
      </c>
      <c r="I293" t="n">
        <v>0</v>
      </c>
      <c r="J293" t="n">
        <v>0</v>
      </c>
      <c r="K293" t="n">
        <v>0</v>
      </c>
      <c r="L293" t="n">
        <v>0</v>
      </c>
      <c r="M293" t="n">
        <v>0</v>
      </c>
      <c r="N293" t="n">
        <v>0</v>
      </c>
      <c r="O293" t="n">
        <v>0</v>
      </c>
      <c r="P293" t="n">
        <v>0</v>
      </c>
      <c r="Q293" t="n">
        <v>0</v>
      </c>
      <c r="R293" s="2" t="inlineStr"/>
    </row>
    <row r="294" ht="15" customHeight="1">
      <c r="A294" t="inlineStr">
        <is>
          <t>A 41822-2023</t>
        </is>
      </c>
      <c r="B294" s="1" t="n">
        <v>45176.56863425926</v>
      </c>
      <c r="C294" s="1" t="n">
        <v>45992</v>
      </c>
      <c r="D294" t="inlineStr">
        <is>
          <t>ÖREBRO LÄN</t>
        </is>
      </c>
      <c r="E294" t="inlineStr">
        <is>
          <t>HÄLLEFORS</t>
        </is>
      </c>
      <c r="F294" t="inlineStr">
        <is>
          <t>Bergvik skog väst AB</t>
        </is>
      </c>
      <c r="G294" t="n">
        <v>5.6</v>
      </c>
      <c r="H294" t="n">
        <v>0</v>
      </c>
      <c r="I294" t="n">
        <v>0</v>
      </c>
      <c r="J294" t="n">
        <v>0</v>
      </c>
      <c r="K294" t="n">
        <v>0</v>
      </c>
      <c r="L294" t="n">
        <v>0</v>
      </c>
      <c r="M294" t="n">
        <v>0</v>
      </c>
      <c r="N294" t="n">
        <v>0</v>
      </c>
      <c r="O294" t="n">
        <v>0</v>
      </c>
      <c r="P294" t="n">
        <v>0</v>
      </c>
      <c r="Q294" t="n">
        <v>0</v>
      </c>
      <c r="R294" s="2" t="inlineStr"/>
    </row>
    <row r="295" ht="15" customHeight="1">
      <c r="A295" t="inlineStr">
        <is>
          <t>A 14120-2023</t>
        </is>
      </c>
      <c r="B295" s="1" t="n">
        <v>45009</v>
      </c>
      <c r="C295" s="1" t="n">
        <v>45992</v>
      </c>
      <c r="D295" t="inlineStr">
        <is>
          <t>ÖREBRO LÄN</t>
        </is>
      </c>
      <c r="E295" t="inlineStr">
        <is>
          <t>HÄLLEFORS</t>
        </is>
      </c>
      <c r="F295" t="inlineStr">
        <is>
          <t>Bergvik skog väst AB</t>
        </is>
      </c>
      <c r="G295" t="n">
        <v>4.2</v>
      </c>
      <c r="H295" t="n">
        <v>0</v>
      </c>
      <c r="I295" t="n">
        <v>0</v>
      </c>
      <c r="J295" t="n">
        <v>0</v>
      </c>
      <c r="K295" t="n">
        <v>0</v>
      </c>
      <c r="L295" t="n">
        <v>0</v>
      </c>
      <c r="M295" t="n">
        <v>0</v>
      </c>
      <c r="N295" t="n">
        <v>0</v>
      </c>
      <c r="O295" t="n">
        <v>0</v>
      </c>
      <c r="P295" t="n">
        <v>0</v>
      </c>
      <c r="Q295" t="n">
        <v>0</v>
      </c>
      <c r="R295" s="2" t="inlineStr"/>
    </row>
    <row r="296" ht="15" customHeight="1">
      <c r="A296" t="inlineStr">
        <is>
          <t>A 44105-2024</t>
        </is>
      </c>
      <c r="B296" s="1" t="n">
        <v>45572.62980324074</v>
      </c>
      <c r="C296" s="1" t="n">
        <v>45992</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50571-2024</t>
        </is>
      </c>
      <c r="B297" s="1" t="n">
        <v>45601.60576388889</v>
      </c>
      <c r="C297" s="1" t="n">
        <v>45992</v>
      </c>
      <c r="D297" t="inlineStr">
        <is>
          <t>ÖREBRO LÄN</t>
        </is>
      </c>
      <c r="E297" t="inlineStr">
        <is>
          <t>HÄLLEFORS</t>
        </is>
      </c>
      <c r="F297" t="inlineStr">
        <is>
          <t>Bergvik skog väst AB</t>
        </is>
      </c>
      <c r="G297" t="n">
        <v>4.6</v>
      </c>
      <c r="H297" t="n">
        <v>0</v>
      </c>
      <c r="I297" t="n">
        <v>0</v>
      </c>
      <c r="J297" t="n">
        <v>0</v>
      </c>
      <c r="K297" t="n">
        <v>0</v>
      </c>
      <c r="L297" t="n">
        <v>0</v>
      </c>
      <c r="M297" t="n">
        <v>0</v>
      </c>
      <c r="N297" t="n">
        <v>0</v>
      </c>
      <c r="O297" t="n">
        <v>0</v>
      </c>
      <c r="P297" t="n">
        <v>0</v>
      </c>
      <c r="Q297" t="n">
        <v>0</v>
      </c>
      <c r="R297" s="2" t="inlineStr"/>
    </row>
    <row r="298" ht="15" customHeight="1">
      <c r="A298" t="inlineStr">
        <is>
          <t>A 33617-2022</t>
        </is>
      </c>
      <c r="B298" s="1" t="n">
        <v>44782</v>
      </c>
      <c r="C298" s="1" t="n">
        <v>45992</v>
      </c>
      <c r="D298" t="inlineStr">
        <is>
          <t>ÖREBRO LÄN</t>
        </is>
      </c>
      <c r="E298" t="inlineStr">
        <is>
          <t>HÄLLEFORS</t>
        </is>
      </c>
      <c r="G298" t="n">
        <v>8.6</v>
      </c>
      <c r="H298" t="n">
        <v>0</v>
      </c>
      <c r="I298" t="n">
        <v>0</v>
      </c>
      <c r="J298" t="n">
        <v>0</v>
      </c>
      <c r="K298" t="n">
        <v>0</v>
      </c>
      <c r="L298" t="n">
        <v>0</v>
      </c>
      <c r="M298" t="n">
        <v>0</v>
      </c>
      <c r="N298" t="n">
        <v>0</v>
      </c>
      <c r="O298" t="n">
        <v>0</v>
      </c>
      <c r="P298" t="n">
        <v>0</v>
      </c>
      <c r="Q298" t="n">
        <v>0</v>
      </c>
      <c r="R298" s="2" t="inlineStr"/>
    </row>
    <row r="299" ht="15" customHeight="1">
      <c r="A299" t="inlineStr">
        <is>
          <t>A 48429-2024</t>
        </is>
      </c>
      <c r="B299" s="1" t="n">
        <v>45590</v>
      </c>
      <c r="C299" s="1" t="n">
        <v>45992</v>
      </c>
      <c r="D299" t="inlineStr">
        <is>
          <t>ÖREBRO LÄN</t>
        </is>
      </c>
      <c r="E299" t="inlineStr">
        <is>
          <t>HÄLLEFORS</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4716-2022</t>
        </is>
      </c>
      <c r="B300" s="1" t="n">
        <v>44592</v>
      </c>
      <c r="C300" s="1" t="n">
        <v>45992</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9906-2024</t>
        </is>
      </c>
      <c r="B301" s="1" t="n">
        <v>45363.53322916666</v>
      </c>
      <c r="C301" s="1" t="n">
        <v>45992</v>
      </c>
      <c r="D301" t="inlineStr">
        <is>
          <t>ÖREBRO LÄN</t>
        </is>
      </c>
      <c r="E301" t="inlineStr">
        <is>
          <t>HÄLLEFORS</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18555-2025</t>
        </is>
      </c>
      <c r="B302" s="1" t="n">
        <v>45763</v>
      </c>
      <c r="C302" s="1" t="n">
        <v>45992</v>
      </c>
      <c r="D302" t="inlineStr">
        <is>
          <t>ÖREBRO LÄN</t>
        </is>
      </c>
      <c r="E302" t="inlineStr">
        <is>
          <t>HÄLLEFORS</t>
        </is>
      </c>
      <c r="F302" t="inlineStr">
        <is>
          <t>Bergvik skog väst AB</t>
        </is>
      </c>
      <c r="G302" t="n">
        <v>4.5</v>
      </c>
      <c r="H302" t="n">
        <v>0</v>
      </c>
      <c r="I302" t="n">
        <v>0</v>
      </c>
      <c r="J302" t="n">
        <v>0</v>
      </c>
      <c r="K302" t="n">
        <v>0</v>
      </c>
      <c r="L302" t="n">
        <v>0</v>
      </c>
      <c r="M302" t="n">
        <v>0</v>
      </c>
      <c r="N302" t="n">
        <v>0</v>
      </c>
      <c r="O302" t="n">
        <v>0</v>
      </c>
      <c r="P302" t="n">
        <v>0</v>
      </c>
      <c r="Q302" t="n">
        <v>0</v>
      </c>
      <c r="R302" s="2" t="inlineStr"/>
    </row>
    <row r="303" ht="15" customHeight="1">
      <c r="A303" t="inlineStr">
        <is>
          <t>A 52367-2022</t>
        </is>
      </c>
      <c r="B303" s="1" t="n">
        <v>44874</v>
      </c>
      <c r="C303" s="1" t="n">
        <v>45992</v>
      </c>
      <c r="D303" t="inlineStr">
        <is>
          <t>ÖREBRO LÄN</t>
        </is>
      </c>
      <c r="E303" t="inlineStr">
        <is>
          <t>HÄLLEFORS</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19033-2021</t>
        </is>
      </c>
      <c r="B304" s="1" t="n">
        <v>44308</v>
      </c>
      <c r="C304" s="1" t="n">
        <v>45992</v>
      </c>
      <c r="D304" t="inlineStr">
        <is>
          <t>ÖREBRO LÄN</t>
        </is>
      </c>
      <c r="E304" t="inlineStr">
        <is>
          <t>HÄLLEFORS</t>
        </is>
      </c>
      <c r="G304" t="n">
        <v>7.8</v>
      </c>
      <c r="H304" t="n">
        <v>0</v>
      </c>
      <c r="I304" t="n">
        <v>0</v>
      </c>
      <c r="J304" t="n">
        <v>0</v>
      </c>
      <c r="K304" t="n">
        <v>0</v>
      </c>
      <c r="L304" t="n">
        <v>0</v>
      </c>
      <c r="M304" t="n">
        <v>0</v>
      </c>
      <c r="N304" t="n">
        <v>0</v>
      </c>
      <c r="O304" t="n">
        <v>0</v>
      </c>
      <c r="P304" t="n">
        <v>0</v>
      </c>
      <c r="Q304" t="n">
        <v>0</v>
      </c>
      <c r="R304" s="2" t="inlineStr"/>
    </row>
    <row r="305" ht="15" customHeight="1">
      <c r="A305" t="inlineStr">
        <is>
          <t>A 36276-2024</t>
        </is>
      </c>
      <c r="B305" s="1" t="n">
        <v>45534.58140046296</v>
      </c>
      <c r="C305" s="1" t="n">
        <v>45992</v>
      </c>
      <c r="D305" t="inlineStr">
        <is>
          <t>ÖREBRO LÄN</t>
        </is>
      </c>
      <c r="E305" t="inlineStr">
        <is>
          <t>HÄLLEFORS</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51488-2021</t>
        </is>
      </c>
      <c r="B306" s="1" t="n">
        <v>44460</v>
      </c>
      <c r="C306" s="1" t="n">
        <v>45992</v>
      </c>
      <c r="D306" t="inlineStr">
        <is>
          <t>ÖREBRO LÄN</t>
        </is>
      </c>
      <c r="E306" t="inlineStr">
        <is>
          <t>HÄLLEFORS</t>
        </is>
      </c>
      <c r="G306" t="n">
        <v>2.8</v>
      </c>
      <c r="H306" t="n">
        <v>0</v>
      </c>
      <c r="I306" t="n">
        <v>0</v>
      </c>
      <c r="J306" t="n">
        <v>0</v>
      </c>
      <c r="K306" t="n">
        <v>0</v>
      </c>
      <c r="L306" t="n">
        <v>0</v>
      </c>
      <c r="M306" t="n">
        <v>0</v>
      </c>
      <c r="N306" t="n">
        <v>0</v>
      </c>
      <c r="O306" t="n">
        <v>0</v>
      </c>
      <c r="P306" t="n">
        <v>0</v>
      </c>
      <c r="Q306" t="n">
        <v>0</v>
      </c>
      <c r="R306" s="2" t="inlineStr"/>
    </row>
    <row r="307" ht="15" customHeight="1">
      <c r="A307" t="inlineStr">
        <is>
          <t>A 28788-2022</t>
        </is>
      </c>
      <c r="B307" s="1" t="n">
        <v>44749.39806712963</v>
      </c>
      <c r="C307" s="1" t="n">
        <v>45992</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55477-2023</t>
        </is>
      </c>
      <c r="B308" s="1" t="n">
        <v>45238</v>
      </c>
      <c r="C308" s="1" t="n">
        <v>45992</v>
      </c>
      <c r="D308" t="inlineStr">
        <is>
          <t>ÖREBRO LÄN</t>
        </is>
      </c>
      <c r="E308" t="inlineStr">
        <is>
          <t>HÄLLEFORS</t>
        </is>
      </c>
      <c r="F308" t="inlineStr">
        <is>
          <t>Bergvik skog väst AB</t>
        </is>
      </c>
      <c r="G308" t="n">
        <v>6.6</v>
      </c>
      <c r="H308" t="n">
        <v>0</v>
      </c>
      <c r="I308" t="n">
        <v>0</v>
      </c>
      <c r="J308" t="n">
        <v>0</v>
      </c>
      <c r="K308" t="n">
        <v>0</v>
      </c>
      <c r="L308" t="n">
        <v>0</v>
      </c>
      <c r="M308" t="n">
        <v>0</v>
      </c>
      <c r="N308" t="n">
        <v>0</v>
      </c>
      <c r="O308" t="n">
        <v>0</v>
      </c>
      <c r="P308" t="n">
        <v>0</v>
      </c>
      <c r="Q308" t="n">
        <v>0</v>
      </c>
      <c r="R308" s="2" t="inlineStr"/>
    </row>
    <row r="309" ht="15" customHeight="1">
      <c r="A309" t="inlineStr">
        <is>
          <t>A 43966-2024</t>
        </is>
      </c>
      <c r="B309" s="1" t="n">
        <v>45572.48516203704</v>
      </c>
      <c r="C309" s="1" t="n">
        <v>45992</v>
      </c>
      <c r="D309" t="inlineStr">
        <is>
          <t>ÖREBRO LÄN</t>
        </is>
      </c>
      <c r="E309" t="inlineStr">
        <is>
          <t>HÄLLEFORS</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4583-2025</t>
        </is>
      </c>
      <c r="B310" s="1" t="n">
        <v>45687.51539351852</v>
      </c>
      <c r="C310" s="1" t="n">
        <v>45992</v>
      </c>
      <c r="D310" t="inlineStr">
        <is>
          <t>ÖREBRO LÄN</t>
        </is>
      </c>
      <c r="E310" t="inlineStr">
        <is>
          <t>HÄLLEFORS</t>
        </is>
      </c>
      <c r="G310" t="n">
        <v>3.3</v>
      </c>
      <c r="H310" t="n">
        <v>0</v>
      </c>
      <c r="I310" t="n">
        <v>0</v>
      </c>
      <c r="J310" t="n">
        <v>0</v>
      </c>
      <c r="K310" t="n">
        <v>0</v>
      </c>
      <c r="L310" t="n">
        <v>0</v>
      </c>
      <c r="M310" t="n">
        <v>0</v>
      </c>
      <c r="N310" t="n">
        <v>0</v>
      </c>
      <c r="O310" t="n">
        <v>0</v>
      </c>
      <c r="P310" t="n">
        <v>0</v>
      </c>
      <c r="Q310" t="n">
        <v>0</v>
      </c>
      <c r="R310" s="2" t="inlineStr"/>
    </row>
    <row r="311" ht="15" customHeight="1">
      <c r="A311" t="inlineStr">
        <is>
          <t>A 17072-2025</t>
        </is>
      </c>
      <c r="B311" s="1" t="n">
        <v>45755.61793981482</v>
      </c>
      <c r="C311" s="1" t="n">
        <v>45992</v>
      </c>
      <c r="D311" t="inlineStr">
        <is>
          <t>ÖREBRO LÄN</t>
        </is>
      </c>
      <c r="E311" t="inlineStr">
        <is>
          <t>HÄLLEFORS</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27935-2023</t>
        </is>
      </c>
      <c r="B312" s="1" t="n">
        <v>45098.65641203704</v>
      </c>
      <c r="C312" s="1" t="n">
        <v>45992</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23036-2024</t>
        </is>
      </c>
      <c r="B313" s="1" t="n">
        <v>45450.39145833333</v>
      </c>
      <c r="C313" s="1" t="n">
        <v>45992</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60312-2024</t>
        </is>
      </c>
      <c r="B314" s="1" t="n">
        <v>45643</v>
      </c>
      <c r="C314" s="1" t="n">
        <v>45992</v>
      </c>
      <c r="D314" t="inlineStr">
        <is>
          <t>ÖREBRO LÄN</t>
        </is>
      </c>
      <c r="E314" t="inlineStr">
        <is>
          <t>HÄLLEFORS</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67027-2021</t>
        </is>
      </c>
      <c r="B315" s="1" t="n">
        <v>44522.66836805556</v>
      </c>
      <c r="C315" s="1" t="n">
        <v>45992</v>
      </c>
      <c r="D315" t="inlineStr">
        <is>
          <t>ÖREBRO LÄN</t>
        </is>
      </c>
      <c r="E315" t="inlineStr">
        <is>
          <t>HÄLLEFORS</t>
        </is>
      </c>
      <c r="G315" t="n">
        <v>1.7</v>
      </c>
      <c r="H315" t="n">
        <v>0</v>
      </c>
      <c r="I315" t="n">
        <v>0</v>
      </c>
      <c r="J315" t="n">
        <v>0</v>
      </c>
      <c r="K315" t="n">
        <v>0</v>
      </c>
      <c r="L315" t="n">
        <v>0</v>
      </c>
      <c r="M315" t="n">
        <v>0</v>
      </c>
      <c r="N315" t="n">
        <v>0</v>
      </c>
      <c r="O315" t="n">
        <v>0</v>
      </c>
      <c r="P315" t="n">
        <v>0</v>
      </c>
      <c r="Q315" t="n">
        <v>0</v>
      </c>
      <c r="R315" s="2" t="inlineStr"/>
    </row>
    <row r="316" ht="15" customHeight="1">
      <c r="A316" t="inlineStr">
        <is>
          <t>A 51213-2023</t>
        </is>
      </c>
      <c r="B316" s="1" t="n">
        <v>45219.44515046296</v>
      </c>
      <c r="C316" s="1" t="n">
        <v>45992</v>
      </c>
      <c r="D316" t="inlineStr">
        <is>
          <t>ÖREBRO LÄN</t>
        </is>
      </c>
      <c r="E316" t="inlineStr">
        <is>
          <t>HÄLLEFORS</t>
        </is>
      </c>
      <c r="F316" t="inlineStr">
        <is>
          <t>Bergvik skog väst AB</t>
        </is>
      </c>
      <c r="G316" t="n">
        <v>3.5</v>
      </c>
      <c r="H316" t="n">
        <v>0</v>
      </c>
      <c r="I316" t="n">
        <v>0</v>
      </c>
      <c r="J316" t="n">
        <v>0</v>
      </c>
      <c r="K316" t="n">
        <v>0</v>
      </c>
      <c r="L316" t="n">
        <v>0</v>
      </c>
      <c r="M316" t="n">
        <v>0</v>
      </c>
      <c r="N316" t="n">
        <v>0</v>
      </c>
      <c r="O316" t="n">
        <v>0</v>
      </c>
      <c r="P316" t="n">
        <v>0</v>
      </c>
      <c r="Q316" t="n">
        <v>0</v>
      </c>
      <c r="R316" s="2" t="inlineStr"/>
    </row>
    <row r="317" ht="15" customHeight="1">
      <c r="A317" t="inlineStr">
        <is>
          <t>A 18715-2025</t>
        </is>
      </c>
      <c r="B317" s="1" t="n">
        <v>45763.64383101852</v>
      </c>
      <c r="C317" s="1" t="n">
        <v>45992</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45992</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41810-2023</t>
        </is>
      </c>
      <c r="B319" s="1" t="n">
        <v>45176</v>
      </c>
      <c r="C319" s="1" t="n">
        <v>45992</v>
      </c>
      <c r="D319" t="inlineStr">
        <is>
          <t>ÖREBRO LÄN</t>
        </is>
      </c>
      <c r="E319" t="inlineStr">
        <is>
          <t>HÄLLEFORS</t>
        </is>
      </c>
      <c r="F319" t="inlineStr">
        <is>
          <t>Bergvik skog väst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55300-2023</t>
        </is>
      </c>
      <c r="B320" s="1" t="n">
        <v>45237.83621527778</v>
      </c>
      <c r="C320" s="1" t="n">
        <v>45992</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18535-2025</t>
        </is>
      </c>
      <c r="B321" s="1" t="n">
        <v>45763</v>
      </c>
      <c r="C321" s="1" t="n">
        <v>45992</v>
      </c>
      <c r="D321" t="inlineStr">
        <is>
          <t>ÖREBRO LÄN</t>
        </is>
      </c>
      <c r="E321" t="inlineStr">
        <is>
          <t>HÄLLEFORS</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59976-2024</t>
        </is>
      </c>
      <c r="B322" s="1" t="n">
        <v>45642.37226851852</v>
      </c>
      <c r="C322" s="1" t="n">
        <v>45992</v>
      </c>
      <c r="D322" t="inlineStr">
        <is>
          <t>ÖREBRO LÄN</t>
        </is>
      </c>
      <c r="E322" t="inlineStr">
        <is>
          <t>HÄLLEFORS</t>
        </is>
      </c>
      <c r="F322" t="inlineStr">
        <is>
          <t>Bergvik skog väst AB</t>
        </is>
      </c>
      <c r="G322" t="n">
        <v>8.9</v>
      </c>
      <c r="H322" t="n">
        <v>0</v>
      </c>
      <c r="I322" t="n">
        <v>0</v>
      </c>
      <c r="J322" t="n">
        <v>0</v>
      </c>
      <c r="K322" t="n">
        <v>0</v>
      </c>
      <c r="L322" t="n">
        <v>0</v>
      </c>
      <c r="M322" t="n">
        <v>0</v>
      </c>
      <c r="N322" t="n">
        <v>0</v>
      </c>
      <c r="O322" t="n">
        <v>0</v>
      </c>
      <c r="P322" t="n">
        <v>0</v>
      </c>
      <c r="Q322" t="n">
        <v>0</v>
      </c>
      <c r="R322" s="2" t="inlineStr"/>
    </row>
    <row r="323" ht="15" customHeight="1">
      <c r="A323" t="inlineStr">
        <is>
          <t>A 67439-2021</t>
        </is>
      </c>
      <c r="B323" s="1" t="n">
        <v>44523</v>
      </c>
      <c r="C323" s="1" t="n">
        <v>45992</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45992</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35862-2024</t>
        </is>
      </c>
      <c r="B325" s="1" t="n">
        <v>45533.33909722222</v>
      </c>
      <c r="C325" s="1" t="n">
        <v>45992</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45992</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3619-2021</t>
        </is>
      </c>
      <c r="B327" s="1" t="n">
        <v>44221</v>
      </c>
      <c r="C327" s="1" t="n">
        <v>45992</v>
      </c>
      <c r="D327" t="inlineStr">
        <is>
          <t>ÖREBRO LÄN</t>
        </is>
      </c>
      <c r="E327" t="inlineStr">
        <is>
          <t>HÄLLEFORS</t>
        </is>
      </c>
      <c r="F327" t="inlineStr">
        <is>
          <t>Kyrkan</t>
        </is>
      </c>
      <c r="G327" t="n">
        <v>0.6</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45992</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5583-2023</t>
        </is>
      </c>
      <c r="B329" s="1" t="n">
        <v>44960.50733796296</v>
      </c>
      <c r="C329" s="1" t="n">
        <v>45992</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45992</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45992</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45992</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1288-2024</t>
        </is>
      </c>
      <c r="B333" s="1" t="n">
        <v>45303</v>
      </c>
      <c r="C333" s="1" t="n">
        <v>45992</v>
      </c>
      <c r="D333" t="inlineStr">
        <is>
          <t>ÖREBRO LÄN</t>
        </is>
      </c>
      <c r="E333" t="inlineStr">
        <is>
          <t>HÄLLEFORS</t>
        </is>
      </c>
      <c r="G333" t="n">
        <v>1.2</v>
      </c>
      <c r="H333" t="n">
        <v>0</v>
      </c>
      <c r="I333" t="n">
        <v>0</v>
      </c>
      <c r="J333" t="n">
        <v>0</v>
      </c>
      <c r="K333" t="n">
        <v>0</v>
      </c>
      <c r="L333" t="n">
        <v>0</v>
      </c>
      <c r="M333" t="n">
        <v>0</v>
      </c>
      <c r="N333" t="n">
        <v>0</v>
      </c>
      <c r="O333" t="n">
        <v>0</v>
      </c>
      <c r="P333" t="n">
        <v>0</v>
      </c>
      <c r="Q333" t="n">
        <v>0</v>
      </c>
      <c r="R333" s="2" t="inlineStr"/>
    </row>
    <row r="334" ht="15" customHeight="1">
      <c r="A334" t="inlineStr">
        <is>
          <t>A 55099-2024</t>
        </is>
      </c>
      <c r="B334" s="1" t="n">
        <v>45621</v>
      </c>
      <c r="C334" s="1" t="n">
        <v>45992</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58499-2022</t>
        </is>
      </c>
      <c r="B335" s="1" t="n">
        <v>44902.3759375</v>
      </c>
      <c r="C335" s="1" t="n">
        <v>45992</v>
      </c>
      <c r="D335" t="inlineStr">
        <is>
          <t>ÖREBRO LÄN</t>
        </is>
      </c>
      <c r="E335" t="inlineStr">
        <is>
          <t>HÄLLEFORS</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38402-2023</t>
        </is>
      </c>
      <c r="B336" s="1" t="n">
        <v>45162</v>
      </c>
      <c r="C336" s="1" t="n">
        <v>45992</v>
      </c>
      <c r="D336" t="inlineStr">
        <is>
          <t>ÖREBRO LÄN</t>
        </is>
      </c>
      <c r="E336" t="inlineStr">
        <is>
          <t>HÄLLEFORS</t>
        </is>
      </c>
      <c r="F336" t="inlineStr">
        <is>
          <t>Bergvik skog väst AB</t>
        </is>
      </c>
      <c r="G336" t="n">
        <v>8.5</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45992</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12559-2025</t>
        </is>
      </c>
      <c r="B338" s="1" t="n">
        <v>45731.47399305556</v>
      </c>
      <c r="C338" s="1" t="n">
        <v>45992</v>
      </c>
      <c r="D338" t="inlineStr">
        <is>
          <t>ÖREBRO LÄN</t>
        </is>
      </c>
      <c r="E338" t="inlineStr">
        <is>
          <t>HÄLLEFORS</t>
        </is>
      </c>
      <c r="G338" t="n">
        <v>2.4</v>
      </c>
      <c r="H338" t="n">
        <v>0</v>
      </c>
      <c r="I338" t="n">
        <v>0</v>
      </c>
      <c r="J338" t="n">
        <v>0</v>
      </c>
      <c r="K338" t="n">
        <v>0</v>
      </c>
      <c r="L338" t="n">
        <v>0</v>
      </c>
      <c r="M338" t="n">
        <v>0</v>
      </c>
      <c r="N338" t="n">
        <v>0</v>
      </c>
      <c r="O338" t="n">
        <v>0</v>
      </c>
      <c r="P338" t="n">
        <v>0</v>
      </c>
      <c r="Q338" t="n">
        <v>0</v>
      </c>
      <c r="R338" s="2" t="inlineStr"/>
    </row>
    <row r="339" ht="15" customHeight="1">
      <c r="A339" t="inlineStr">
        <is>
          <t>A 17811-2025</t>
        </is>
      </c>
      <c r="B339" s="1" t="n">
        <v>45758.5594212963</v>
      </c>
      <c r="C339" s="1" t="n">
        <v>45992</v>
      </c>
      <c r="D339" t="inlineStr">
        <is>
          <t>ÖREBRO LÄN</t>
        </is>
      </c>
      <c r="E339" t="inlineStr">
        <is>
          <t>HÄLLEFORS</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14669-2025</t>
        </is>
      </c>
      <c r="B340" s="1" t="n">
        <v>45742.55043981481</v>
      </c>
      <c r="C340" s="1" t="n">
        <v>45992</v>
      </c>
      <c r="D340" t="inlineStr">
        <is>
          <t>ÖREBRO LÄN</t>
        </is>
      </c>
      <c r="E340" t="inlineStr">
        <is>
          <t>HÄLLEFORS</t>
        </is>
      </c>
      <c r="G340" t="n">
        <v>0.8</v>
      </c>
      <c r="H340" t="n">
        <v>0</v>
      </c>
      <c r="I340" t="n">
        <v>0</v>
      </c>
      <c r="J340" t="n">
        <v>0</v>
      </c>
      <c r="K340" t="n">
        <v>0</v>
      </c>
      <c r="L340" t="n">
        <v>0</v>
      </c>
      <c r="M340" t="n">
        <v>0</v>
      </c>
      <c r="N340" t="n">
        <v>0</v>
      </c>
      <c r="O340" t="n">
        <v>0</v>
      </c>
      <c r="P340" t="n">
        <v>0</v>
      </c>
      <c r="Q340" t="n">
        <v>0</v>
      </c>
      <c r="R340" s="2" t="inlineStr"/>
    </row>
    <row r="341" ht="15" customHeight="1">
      <c r="A341" t="inlineStr">
        <is>
          <t>A 11044-2021</t>
        </is>
      </c>
      <c r="B341" s="1" t="n">
        <v>44260</v>
      </c>
      <c r="C341" s="1" t="n">
        <v>45992</v>
      </c>
      <c r="D341" t="inlineStr">
        <is>
          <t>ÖREBRO LÄN</t>
        </is>
      </c>
      <c r="E341" t="inlineStr">
        <is>
          <t>HÄLLEFORS</t>
        </is>
      </c>
      <c r="F341" t="inlineStr">
        <is>
          <t>Kyrkan</t>
        </is>
      </c>
      <c r="G341" t="n">
        <v>3.6</v>
      </c>
      <c r="H341" t="n">
        <v>0</v>
      </c>
      <c r="I341" t="n">
        <v>0</v>
      </c>
      <c r="J341" t="n">
        <v>0</v>
      </c>
      <c r="K341" t="n">
        <v>0</v>
      </c>
      <c r="L341" t="n">
        <v>0</v>
      </c>
      <c r="M341" t="n">
        <v>0</v>
      </c>
      <c r="N341" t="n">
        <v>0</v>
      </c>
      <c r="O341" t="n">
        <v>0</v>
      </c>
      <c r="P341" t="n">
        <v>0</v>
      </c>
      <c r="Q341" t="n">
        <v>0</v>
      </c>
      <c r="R341" s="2" t="inlineStr"/>
    </row>
    <row r="342" ht="15" customHeight="1">
      <c r="A342" t="inlineStr">
        <is>
          <t>A 17333-2025</t>
        </is>
      </c>
      <c r="B342" s="1" t="n">
        <v>45756</v>
      </c>
      <c r="C342" s="1" t="n">
        <v>45992</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17338-2025</t>
        </is>
      </c>
      <c r="B343" s="1" t="n">
        <v>45756</v>
      </c>
      <c r="C343" s="1" t="n">
        <v>45992</v>
      </c>
      <c r="D343" t="inlineStr">
        <is>
          <t>ÖREBRO LÄN</t>
        </is>
      </c>
      <c r="E343" t="inlineStr">
        <is>
          <t>HÄLLEFORS</t>
        </is>
      </c>
      <c r="G343" t="n">
        <v>2.5</v>
      </c>
      <c r="H343" t="n">
        <v>0</v>
      </c>
      <c r="I343" t="n">
        <v>0</v>
      </c>
      <c r="J343" t="n">
        <v>0</v>
      </c>
      <c r="K343" t="n">
        <v>0</v>
      </c>
      <c r="L343" t="n">
        <v>0</v>
      </c>
      <c r="M343" t="n">
        <v>0</v>
      </c>
      <c r="N343" t="n">
        <v>0</v>
      </c>
      <c r="O343" t="n">
        <v>0</v>
      </c>
      <c r="P343" t="n">
        <v>0</v>
      </c>
      <c r="Q343" t="n">
        <v>0</v>
      </c>
      <c r="R343" s="2" t="inlineStr"/>
    </row>
    <row r="344" ht="15" customHeight="1">
      <c r="A344" t="inlineStr">
        <is>
          <t>A 53892-2023</t>
        </is>
      </c>
      <c r="B344" s="1" t="n">
        <v>45231</v>
      </c>
      <c r="C344" s="1" t="n">
        <v>45992</v>
      </c>
      <c r="D344" t="inlineStr">
        <is>
          <t>ÖREBRO LÄN</t>
        </is>
      </c>
      <c r="E344" t="inlineStr">
        <is>
          <t>HÄLLEFORS</t>
        </is>
      </c>
      <c r="G344" t="n">
        <v>2.3</v>
      </c>
      <c r="H344" t="n">
        <v>0</v>
      </c>
      <c r="I344" t="n">
        <v>0</v>
      </c>
      <c r="J344" t="n">
        <v>0</v>
      </c>
      <c r="K344" t="n">
        <v>0</v>
      </c>
      <c r="L344" t="n">
        <v>0</v>
      </c>
      <c r="M344" t="n">
        <v>0</v>
      </c>
      <c r="N344" t="n">
        <v>0</v>
      </c>
      <c r="O344" t="n">
        <v>0</v>
      </c>
      <c r="P344" t="n">
        <v>0</v>
      </c>
      <c r="Q344" t="n">
        <v>0</v>
      </c>
      <c r="R344" s="2" t="inlineStr"/>
    </row>
    <row r="345" ht="15" customHeight="1">
      <c r="A345" t="inlineStr">
        <is>
          <t>A 7774-2022</t>
        </is>
      </c>
      <c r="B345" s="1" t="n">
        <v>44608.45725694444</v>
      </c>
      <c r="C345" s="1" t="n">
        <v>45992</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2283-2023</t>
        </is>
      </c>
      <c r="B346" s="1" t="n">
        <v>44942</v>
      </c>
      <c r="C346" s="1" t="n">
        <v>45992</v>
      </c>
      <c r="D346" t="inlineStr">
        <is>
          <t>ÖREBRO LÄN</t>
        </is>
      </c>
      <c r="E346" t="inlineStr">
        <is>
          <t>HÄLLEFORS</t>
        </is>
      </c>
      <c r="G346" t="n">
        <v>3.2</v>
      </c>
      <c r="H346" t="n">
        <v>0</v>
      </c>
      <c r="I346" t="n">
        <v>0</v>
      </c>
      <c r="J346" t="n">
        <v>0</v>
      </c>
      <c r="K346" t="n">
        <v>0</v>
      </c>
      <c r="L346" t="n">
        <v>0</v>
      </c>
      <c r="M346" t="n">
        <v>0</v>
      </c>
      <c r="N346" t="n">
        <v>0</v>
      </c>
      <c r="O346" t="n">
        <v>0</v>
      </c>
      <c r="P346" t="n">
        <v>0</v>
      </c>
      <c r="Q346" t="n">
        <v>0</v>
      </c>
      <c r="R346" s="2" t="inlineStr"/>
    </row>
    <row r="347" ht="15" customHeight="1">
      <c r="A347" t="inlineStr">
        <is>
          <t>A 43886-2024</t>
        </is>
      </c>
      <c r="B347" s="1" t="n">
        <v>45572.40844907407</v>
      </c>
      <c r="C347" s="1" t="n">
        <v>45992</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60523-2024</t>
        </is>
      </c>
      <c r="B348" s="1" t="n">
        <v>45643.69060185185</v>
      </c>
      <c r="C348" s="1" t="n">
        <v>45992</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40530-2022</t>
        </is>
      </c>
      <c r="B349" s="1" t="n">
        <v>44823</v>
      </c>
      <c r="C349" s="1" t="n">
        <v>45992</v>
      </c>
      <c r="D349" t="inlineStr">
        <is>
          <t>ÖREBRO LÄN</t>
        </is>
      </c>
      <c r="E349" t="inlineStr">
        <is>
          <t>HÄLLEFORS</t>
        </is>
      </c>
      <c r="G349" t="n">
        <v>0.6</v>
      </c>
      <c r="H349" t="n">
        <v>0</v>
      </c>
      <c r="I349" t="n">
        <v>0</v>
      </c>
      <c r="J349" t="n">
        <v>0</v>
      </c>
      <c r="K349" t="n">
        <v>0</v>
      </c>
      <c r="L349" t="n">
        <v>0</v>
      </c>
      <c r="M349" t="n">
        <v>0</v>
      </c>
      <c r="N349" t="n">
        <v>0</v>
      </c>
      <c r="O349" t="n">
        <v>0</v>
      </c>
      <c r="P349" t="n">
        <v>0</v>
      </c>
      <c r="Q349" t="n">
        <v>0</v>
      </c>
      <c r="R349" s="2" t="inlineStr"/>
    </row>
    <row r="350" ht="15" customHeight="1">
      <c r="A350" t="inlineStr">
        <is>
          <t>A 9536-2025</t>
        </is>
      </c>
      <c r="B350" s="1" t="n">
        <v>45715.57746527778</v>
      </c>
      <c r="C350" s="1" t="n">
        <v>45992</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17810-2025</t>
        </is>
      </c>
      <c r="B351" s="1" t="n">
        <v>45758.55883101852</v>
      </c>
      <c r="C351" s="1" t="n">
        <v>45992</v>
      </c>
      <c r="D351" t="inlineStr">
        <is>
          <t>ÖREBRO LÄN</t>
        </is>
      </c>
      <c r="E351" t="inlineStr">
        <is>
          <t>HÄLLEFORS</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5268-2025</t>
        </is>
      </c>
      <c r="B352" s="1" t="n">
        <v>45692.40298611111</v>
      </c>
      <c r="C352" s="1" t="n">
        <v>45992</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17120-2025</t>
        </is>
      </c>
      <c r="B353" s="1" t="n">
        <v>45755.68921296296</v>
      </c>
      <c r="C353" s="1" t="n">
        <v>45992</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18657-2025</t>
        </is>
      </c>
      <c r="B354" s="1" t="n">
        <v>45763.57651620371</v>
      </c>
      <c r="C354" s="1" t="n">
        <v>45992</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49215-2022</t>
        </is>
      </c>
      <c r="B355" s="1" t="n">
        <v>44861</v>
      </c>
      <c r="C355" s="1" t="n">
        <v>45992</v>
      </c>
      <c r="D355" t="inlineStr">
        <is>
          <t>ÖREBRO LÄN</t>
        </is>
      </c>
      <c r="E355" t="inlineStr">
        <is>
          <t>HÄLLEFORS</t>
        </is>
      </c>
      <c r="F355" t="inlineStr">
        <is>
          <t>Bergvik skog väst AB</t>
        </is>
      </c>
      <c r="G355" t="n">
        <v>9</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45992</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59957-2024</t>
        </is>
      </c>
      <c r="B357" s="1" t="n">
        <v>45642.35061342592</v>
      </c>
      <c r="C357" s="1" t="n">
        <v>45992</v>
      </c>
      <c r="D357" t="inlineStr">
        <is>
          <t>ÖREBRO LÄN</t>
        </is>
      </c>
      <c r="E357" t="inlineStr">
        <is>
          <t>HÄLLEFORS</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59959-2024</t>
        </is>
      </c>
      <c r="B358" s="1" t="n">
        <v>45642.35097222222</v>
      </c>
      <c r="C358" s="1" t="n">
        <v>45992</v>
      </c>
      <c r="D358" t="inlineStr">
        <is>
          <t>ÖREBRO LÄN</t>
        </is>
      </c>
      <c r="E358" t="inlineStr">
        <is>
          <t>HÄLLEFORS</t>
        </is>
      </c>
      <c r="F358" t="inlineStr">
        <is>
          <t>Bergvik skog väst AB</t>
        </is>
      </c>
      <c r="G358" t="n">
        <v>4.9</v>
      </c>
      <c r="H358" t="n">
        <v>0</v>
      </c>
      <c r="I358" t="n">
        <v>0</v>
      </c>
      <c r="J358" t="n">
        <v>0</v>
      </c>
      <c r="K358" t="n">
        <v>0</v>
      </c>
      <c r="L358" t="n">
        <v>0</v>
      </c>
      <c r="M358" t="n">
        <v>0</v>
      </c>
      <c r="N358" t="n">
        <v>0</v>
      </c>
      <c r="O358" t="n">
        <v>0</v>
      </c>
      <c r="P358" t="n">
        <v>0</v>
      </c>
      <c r="Q358" t="n">
        <v>0</v>
      </c>
      <c r="R358" s="2" t="inlineStr"/>
    </row>
    <row r="359" ht="15" customHeight="1">
      <c r="A359" t="inlineStr">
        <is>
          <t>A 59557-2022</t>
        </is>
      </c>
      <c r="B359" s="1" t="n">
        <v>44907.59805555556</v>
      </c>
      <c r="C359" s="1" t="n">
        <v>45992</v>
      </c>
      <c r="D359" t="inlineStr">
        <is>
          <t>ÖREBRO LÄN</t>
        </is>
      </c>
      <c r="E359" t="inlineStr">
        <is>
          <t>HÄLLEFORS</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20951-2025</t>
        </is>
      </c>
      <c r="B360" s="1" t="n">
        <v>45777.43930555556</v>
      </c>
      <c r="C360" s="1" t="n">
        <v>45992</v>
      </c>
      <c r="D360" t="inlineStr">
        <is>
          <t>ÖREBRO LÄN</t>
        </is>
      </c>
      <c r="E360" t="inlineStr">
        <is>
          <t>HÄLLEFORS</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20670-2025</t>
        </is>
      </c>
      <c r="B361" s="1" t="n">
        <v>45776.43351851852</v>
      </c>
      <c r="C361" s="1" t="n">
        <v>45992</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21050-2025</t>
        </is>
      </c>
      <c r="B362" s="1" t="n">
        <v>45777.56322916667</v>
      </c>
      <c r="C362" s="1" t="n">
        <v>45992</v>
      </c>
      <c r="D362" t="inlineStr">
        <is>
          <t>ÖREBRO LÄN</t>
        </is>
      </c>
      <c r="E362" t="inlineStr">
        <is>
          <t>HÄLLEFORS</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21099-2025</t>
        </is>
      </c>
      <c r="B363" s="1" t="n">
        <v>45777.64827546296</v>
      </c>
      <c r="C363" s="1" t="n">
        <v>45992</v>
      </c>
      <c r="D363" t="inlineStr">
        <is>
          <t>ÖREBRO LÄN</t>
        </is>
      </c>
      <c r="E363" t="inlineStr">
        <is>
          <t>HÄLLEFORS</t>
        </is>
      </c>
      <c r="F363" t="inlineStr">
        <is>
          <t>Kyrkan</t>
        </is>
      </c>
      <c r="G363" t="n">
        <v>1.7</v>
      </c>
      <c r="H363" t="n">
        <v>0</v>
      </c>
      <c r="I363" t="n">
        <v>0</v>
      </c>
      <c r="J363" t="n">
        <v>0</v>
      </c>
      <c r="K363" t="n">
        <v>0</v>
      </c>
      <c r="L363" t="n">
        <v>0</v>
      </c>
      <c r="M363" t="n">
        <v>0</v>
      </c>
      <c r="N363" t="n">
        <v>0</v>
      </c>
      <c r="O363" t="n">
        <v>0</v>
      </c>
      <c r="P363" t="n">
        <v>0</v>
      </c>
      <c r="Q363" t="n">
        <v>0</v>
      </c>
      <c r="R363" s="2" t="inlineStr"/>
    </row>
    <row r="364" ht="15" customHeight="1">
      <c r="A364" t="inlineStr">
        <is>
          <t>A 17112-2025</t>
        </is>
      </c>
      <c r="B364" s="1" t="n">
        <v>45755</v>
      </c>
      <c r="C364" s="1" t="n">
        <v>45992</v>
      </c>
      <c r="D364" t="inlineStr">
        <is>
          <t>ÖREBRO LÄN</t>
        </is>
      </c>
      <c r="E364" t="inlineStr">
        <is>
          <t>HÄLLEFORS</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18891-2025</t>
        </is>
      </c>
      <c r="B365" s="1" t="n">
        <v>45764</v>
      </c>
      <c r="C365" s="1" t="n">
        <v>45992</v>
      </c>
      <c r="D365" t="inlineStr">
        <is>
          <t>ÖREBRO LÄN</t>
        </is>
      </c>
      <c r="E365" t="inlineStr">
        <is>
          <t>HÄLLEFORS</t>
        </is>
      </c>
      <c r="G365" t="n">
        <v>2.2</v>
      </c>
      <c r="H365" t="n">
        <v>0</v>
      </c>
      <c r="I365" t="n">
        <v>0</v>
      </c>
      <c r="J365" t="n">
        <v>0</v>
      </c>
      <c r="K365" t="n">
        <v>0</v>
      </c>
      <c r="L365" t="n">
        <v>0</v>
      </c>
      <c r="M365" t="n">
        <v>0</v>
      </c>
      <c r="N365" t="n">
        <v>0</v>
      </c>
      <c r="O365" t="n">
        <v>0</v>
      </c>
      <c r="P365" t="n">
        <v>0</v>
      </c>
      <c r="Q365" t="n">
        <v>0</v>
      </c>
      <c r="R365" s="2" t="inlineStr"/>
    </row>
    <row r="366" ht="15" customHeight="1">
      <c r="A366" t="inlineStr">
        <is>
          <t>A 45694-2023</t>
        </is>
      </c>
      <c r="B366" s="1" t="n">
        <v>45195</v>
      </c>
      <c r="C366" s="1" t="n">
        <v>45992</v>
      </c>
      <c r="D366" t="inlineStr">
        <is>
          <t>ÖREBRO LÄN</t>
        </is>
      </c>
      <c r="E366" t="inlineStr">
        <is>
          <t>HÄLLEFORS</t>
        </is>
      </c>
      <c r="G366" t="n">
        <v>10.8</v>
      </c>
      <c r="H366" t="n">
        <v>0</v>
      </c>
      <c r="I366" t="n">
        <v>0</v>
      </c>
      <c r="J366" t="n">
        <v>0</v>
      </c>
      <c r="K366" t="n">
        <v>0</v>
      </c>
      <c r="L366" t="n">
        <v>0</v>
      </c>
      <c r="M366" t="n">
        <v>0</v>
      </c>
      <c r="N366" t="n">
        <v>0</v>
      </c>
      <c r="O366" t="n">
        <v>0</v>
      </c>
      <c r="P366" t="n">
        <v>0</v>
      </c>
      <c r="Q366" t="n">
        <v>0</v>
      </c>
      <c r="R366" s="2" t="inlineStr"/>
    </row>
    <row r="367" ht="15" customHeight="1">
      <c r="A367" t="inlineStr">
        <is>
          <t>A 30307-2024</t>
        </is>
      </c>
      <c r="B367" s="1" t="n">
        <v>45490.70074074074</v>
      </c>
      <c r="C367" s="1" t="n">
        <v>45992</v>
      </c>
      <c r="D367" t="inlineStr">
        <is>
          <t>ÖREBRO LÄN</t>
        </is>
      </c>
      <c r="E367" t="inlineStr">
        <is>
          <t>HÄLLEFORS</t>
        </is>
      </c>
      <c r="G367" t="n">
        <v>2.5</v>
      </c>
      <c r="H367" t="n">
        <v>0</v>
      </c>
      <c r="I367" t="n">
        <v>0</v>
      </c>
      <c r="J367" t="n">
        <v>0</v>
      </c>
      <c r="K367" t="n">
        <v>0</v>
      </c>
      <c r="L367" t="n">
        <v>0</v>
      </c>
      <c r="M367" t="n">
        <v>0</v>
      </c>
      <c r="N367" t="n">
        <v>0</v>
      </c>
      <c r="O367" t="n">
        <v>0</v>
      </c>
      <c r="P367" t="n">
        <v>0</v>
      </c>
      <c r="Q367" t="n">
        <v>0</v>
      </c>
      <c r="R367" s="2" t="inlineStr"/>
    </row>
    <row r="368" ht="15" customHeight="1">
      <c r="A368" t="inlineStr">
        <is>
          <t>A 18168-2024</t>
        </is>
      </c>
      <c r="B368" s="1" t="n">
        <v>45420</v>
      </c>
      <c r="C368" s="1" t="n">
        <v>45992</v>
      </c>
      <c r="D368" t="inlineStr">
        <is>
          <t>ÖREBRO LÄN</t>
        </is>
      </c>
      <c r="E368" t="inlineStr">
        <is>
          <t>HÄLLEFORS</t>
        </is>
      </c>
      <c r="G368" t="n">
        <v>1.4</v>
      </c>
      <c r="H368" t="n">
        <v>0</v>
      </c>
      <c r="I368" t="n">
        <v>0</v>
      </c>
      <c r="J368" t="n">
        <v>0</v>
      </c>
      <c r="K368" t="n">
        <v>0</v>
      </c>
      <c r="L368" t="n">
        <v>0</v>
      </c>
      <c r="M368" t="n">
        <v>0</v>
      </c>
      <c r="N368" t="n">
        <v>0</v>
      </c>
      <c r="O368" t="n">
        <v>0</v>
      </c>
      <c r="P368" t="n">
        <v>0</v>
      </c>
      <c r="Q368" t="n">
        <v>0</v>
      </c>
      <c r="R368" s="2" t="inlineStr"/>
    </row>
    <row r="369" ht="15" customHeight="1">
      <c r="A369" t="inlineStr">
        <is>
          <t>A 18878-2025</t>
        </is>
      </c>
      <c r="B369" s="1" t="n">
        <v>45764</v>
      </c>
      <c r="C369" s="1" t="n">
        <v>45992</v>
      </c>
      <c r="D369" t="inlineStr">
        <is>
          <t>ÖREBRO LÄN</t>
        </is>
      </c>
      <c r="E369" t="inlineStr">
        <is>
          <t>HÄLLEFORS</t>
        </is>
      </c>
      <c r="G369" t="n">
        <v>1.4</v>
      </c>
      <c r="H369" t="n">
        <v>0</v>
      </c>
      <c r="I369" t="n">
        <v>0</v>
      </c>
      <c r="J369" t="n">
        <v>0</v>
      </c>
      <c r="K369" t="n">
        <v>0</v>
      </c>
      <c r="L369" t="n">
        <v>0</v>
      </c>
      <c r="M369" t="n">
        <v>0</v>
      </c>
      <c r="N369" t="n">
        <v>0</v>
      </c>
      <c r="O369" t="n">
        <v>0</v>
      </c>
      <c r="P369" t="n">
        <v>0</v>
      </c>
      <c r="Q369" t="n">
        <v>0</v>
      </c>
      <c r="R369" s="2" t="inlineStr"/>
    </row>
    <row r="370" ht="15" customHeight="1">
      <c r="A370" t="inlineStr">
        <is>
          <t>A 18790-2025</t>
        </is>
      </c>
      <c r="B370" s="1" t="n">
        <v>45764</v>
      </c>
      <c r="C370" s="1" t="n">
        <v>45992</v>
      </c>
      <c r="D370" t="inlineStr">
        <is>
          <t>ÖREBRO LÄN</t>
        </is>
      </c>
      <c r="E370" t="inlineStr">
        <is>
          <t>HÄLLEFORS</t>
        </is>
      </c>
      <c r="G370" t="n">
        <v>14.9</v>
      </c>
      <c r="H370" t="n">
        <v>0</v>
      </c>
      <c r="I370" t="n">
        <v>0</v>
      </c>
      <c r="J370" t="n">
        <v>0</v>
      </c>
      <c r="K370" t="n">
        <v>0</v>
      </c>
      <c r="L370" t="n">
        <v>0</v>
      </c>
      <c r="M370" t="n">
        <v>0</v>
      </c>
      <c r="N370" t="n">
        <v>0</v>
      </c>
      <c r="O370" t="n">
        <v>0</v>
      </c>
      <c r="P370" t="n">
        <v>0</v>
      </c>
      <c r="Q370" t="n">
        <v>0</v>
      </c>
      <c r="R370" s="2" t="inlineStr"/>
    </row>
    <row r="371" ht="15" customHeight="1">
      <c r="A371" t="inlineStr">
        <is>
          <t>A 53340-2024</t>
        </is>
      </c>
      <c r="B371" s="1" t="n">
        <v>45614.43358796297</v>
      </c>
      <c r="C371" s="1" t="n">
        <v>45992</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18852-2025</t>
        </is>
      </c>
      <c r="B372" s="1" t="n">
        <v>45764</v>
      </c>
      <c r="C372" s="1" t="n">
        <v>45992</v>
      </c>
      <c r="D372" t="inlineStr">
        <is>
          <t>ÖREBRO LÄN</t>
        </is>
      </c>
      <c r="E372" t="inlineStr">
        <is>
          <t>HÄLLEFORS</t>
        </is>
      </c>
      <c r="G372" t="n">
        <v>6.8</v>
      </c>
      <c r="H372" t="n">
        <v>0</v>
      </c>
      <c r="I372" t="n">
        <v>0</v>
      </c>
      <c r="J372" t="n">
        <v>0</v>
      </c>
      <c r="K372" t="n">
        <v>0</v>
      </c>
      <c r="L372" t="n">
        <v>0</v>
      </c>
      <c r="M372" t="n">
        <v>0</v>
      </c>
      <c r="N372" t="n">
        <v>0</v>
      </c>
      <c r="O372" t="n">
        <v>0</v>
      </c>
      <c r="P372" t="n">
        <v>0</v>
      </c>
      <c r="Q372" t="n">
        <v>0</v>
      </c>
      <c r="R372" s="2" t="inlineStr"/>
    </row>
    <row r="373" ht="15" customHeight="1">
      <c r="A373" t="inlineStr">
        <is>
          <t>A 18869-2025</t>
        </is>
      </c>
      <c r="B373" s="1" t="n">
        <v>45764</v>
      </c>
      <c r="C373" s="1" t="n">
        <v>45992</v>
      </c>
      <c r="D373" t="inlineStr">
        <is>
          <t>ÖREBRO LÄN</t>
        </is>
      </c>
      <c r="E373" t="inlineStr">
        <is>
          <t>HÄLLEFORS</t>
        </is>
      </c>
      <c r="G373" t="n">
        <v>3.7</v>
      </c>
      <c r="H373" t="n">
        <v>0</v>
      </c>
      <c r="I373" t="n">
        <v>0</v>
      </c>
      <c r="J373" t="n">
        <v>0</v>
      </c>
      <c r="K373" t="n">
        <v>0</v>
      </c>
      <c r="L373" t="n">
        <v>0</v>
      </c>
      <c r="M373" t="n">
        <v>0</v>
      </c>
      <c r="N373" t="n">
        <v>0</v>
      </c>
      <c r="O373" t="n">
        <v>0</v>
      </c>
      <c r="P373" t="n">
        <v>0</v>
      </c>
      <c r="Q373" t="n">
        <v>0</v>
      </c>
      <c r="R373" s="2" t="inlineStr"/>
    </row>
    <row r="374" ht="15" customHeight="1">
      <c r="A374" t="inlineStr">
        <is>
          <t>A 35106-2023</t>
        </is>
      </c>
      <c r="B374" s="1" t="n">
        <v>45145</v>
      </c>
      <c r="C374" s="1" t="n">
        <v>45992</v>
      </c>
      <c r="D374" t="inlineStr">
        <is>
          <t>ÖREBRO LÄN</t>
        </is>
      </c>
      <c r="E374" t="inlineStr">
        <is>
          <t>HÄLLEFORS</t>
        </is>
      </c>
      <c r="F374" t="inlineStr">
        <is>
          <t>Bergvik skog väst AB</t>
        </is>
      </c>
      <c r="G374" t="n">
        <v>13.9</v>
      </c>
      <c r="H374" t="n">
        <v>0</v>
      </c>
      <c r="I374" t="n">
        <v>0</v>
      </c>
      <c r="J374" t="n">
        <v>0</v>
      </c>
      <c r="K374" t="n">
        <v>0</v>
      </c>
      <c r="L374" t="n">
        <v>0</v>
      </c>
      <c r="M374" t="n">
        <v>0</v>
      </c>
      <c r="N374" t="n">
        <v>0</v>
      </c>
      <c r="O374" t="n">
        <v>0</v>
      </c>
      <c r="P374" t="n">
        <v>0</v>
      </c>
      <c r="Q374" t="n">
        <v>0</v>
      </c>
      <c r="R374" s="2" t="inlineStr"/>
    </row>
    <row r="375" ht="15" customHeight="1">
      <c r="A375" t="inlineStr">
        <is>
          <t>A 21852-2025</t>
        </is>
      </c>
      <c r="B375" s="1" t="n">
        <v>45784</v>
      </c>
      <c r="C375" s="1" t="n">
        <v>45992</v>
      </c>
      <c r="D375" t="inlineStr">
        <is>
          <t>ÖREBRO LÄN</t>
        </is>
      </c>
      <c r="E375" t="inlineStr">
        <is>
          <t>HÄLLEFORS</t>
        </is>
      </c>
      <c r="G375" t="n">
        <v>4.2</v>
      </c>
      <c r="H375" t="n">
        <v>0</v>
      </c>
      <c r="I375" t="n">
        <v>0</v>
      </c>
      <c r="J375" t="n">
        <v>0</v>
      </c>
      <c r="K375" t="n">
        <v>0</v>
      </c>
      <c r="L375" t="n">
        <v>0</v>
      </c>
      <c r="M375" t="n">
        <v>0</v>
      </c>
      <c r="N375" t="n">
        <v>0</v>
      </c>
      <c r="O375" t="n">
        <v>0</v>
      </c>
      <c r="P375" t="n">
        <v>0</v>
      </c>
      <c r="Q375" t="n">
        <v>0</v>
      </c>
      <c r="R375" s="2" t="inlineStr"/>
    </row>
    <row r="376" ht="15" customHeight="1">
      <c r="A376" t="inlineStr">
        <is>
          <t>A 47907-2024</t>
        </is>
      </c>
      <c r="B376" s="1" t="n">
        <v>45589.31677083333</v>
      </c>
      <c r="C376" s="1" t="n">
        <v>45992</v>
      </c>
      <c r="D376" t="inlineStr">
        <is>
          <t>ÖREBRO LÄN</t>
        </is>
      </c>
      <c r="E376" t="inlineStr">
        <is>
          <t>HÄLLEFORS</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59963-2024</t>
        </is>
      </c>
      <c r="B377" s="1" t="n">
        <v>45642.35274305556</v>
      </c>
      <c r="C377" s="1" t="n">
        <v>45992</v>
      </c>
      <c r="D377" t="inlineStr">
        <is>
          <t>ÖREBRO LÄN</t>
        </is>
      </c>
      <c r="E377" t="inlineStr">
        <is>
          <t>HÄLLEFORS</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36090-2024</t>
        </is>
      </c>
      <c r="B378" s="1" t="n">
        <v>45533.68363425926</v>
      </c>
      <c r="C378" s="1" t="n">
        <v>45992</v>
      </c>
      <c r="D378" t="inlineStr">
        <is>
          <t>ÖREBRO LÄN</t>
        </is>
      </c>
      <c r="E378" t="inlineStr">
        <is>
          <t>HÄLLEFORS</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45992</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39178-2022</t>
        </is>
      </c>
      <c r="B380" s="1" t="n">
        <v>44817.50186342592</v>
      </c>
      <c r="C380" s="1" t="n">
        <v>45992</v>
      </c>
      <c r="D380" t="inlineStr">
        <is>
          <t>ÖREBRO LÄN</t>
        </is>
      </c>
      <c r="E380" t="inlineStr">
        <is>
          <t>HÄLLEFORS</t>
        </is>
      </c>
      <c r="G380" t="n">
        <v>1.1</v>
      </c>
      <c r="H380" t="n">
        <v>0</v>
      </c>
      <c r="I380" t="n">
        <v>0</v>
      </c>
      <c r="J380" t="n">
        <v>0</v>
      </c>
      <c r="K380" t="n">
        <v>0</v>
      </c>
      <c r="L380" t="n">
        <v>0</v>
      </c>
      <c r="M380" t="n">
        <v>0</v>
      </c>
      <c r="N380" t="n">
        <v>0</v>
      </c>
      <c r="O380" t="n">
        <v>0</v>
      </c>
      <c r="P380" t="n">
        <v>0</v>
      </c>
      <c r="Q380" t="n">
        <v>0</v>
      </c>
      <c r="R380" s="2" t="inlineStr"/>
    </row>
    <row r="381" ht="15" customHeight="1">
      <c r="A381" t="inlineStr">
        <is>
          <t>A 35860-2024</t>
        </is>
      </c>
      <c r="B381" s="1" t="n">
        <v>45533</v>
      </c>
      <c r="C381" s="1" t="n">
        <v>45992</v>
      </c>
      <c r="D381" t="inlineStr">
        <is>
          <t>ÖREBRO LÄN</t>
        </is>
      </c>
      <c r="E381" t="inlineStr">
        <is>
          <t>HÄLLEFORS</t>
        </is>
      </c>
      <c r="F381" t="inlineStr">
        <is>
          <t>Bergvik skog väst AB</t>
        </is>
      </c>
      <c r="G381" t="n">
        <v>4.1</v>
      </c>
      <c r="H381" t="n">
        <v>0</v>
      </c>
      <c r="I381" t="n">
        <v>0</v>
      </c>
      <c r="J381" t="n">
        <v>0</v>
      </c>
      <c r="K381" t="n">
        <v>0</v>
      </c>
      <c r="L381" t="n">
        <v>0</v>
      </c>
      <c r="M381" t="n">
        <v>0</v>
      </c>
      <c r="N381" t="n">
        <v>0</v>
      </c>
      <c r="O381" t="n">
        <v>0</v>
      </c>
      <c r="P381" t="n">
        <v>0</v>
      </c>
      <c r="Q381" t="n">
        <v>0</v>
      </c>
      <c r="R381" s="2" t="inlineStr"/>
    </row>
    <row r="382" ht="15" customHeight="1">
      <c r="A382" t="inlineStr">
        <is>
          <t>A 53344-2024</t>
        </is>
      </c>
      <c r="B382" s="1" t="n">
        <v>45614.44175925926</v>
      </c>
      <c r="C382" s="1" t="n">
        <v>45992</v>
      </c>
      <c r="D382" t="inlineStr">
        <is>
          <t>ÖREBRO LÄN</t>
        </is>
      </c>
      <c r="E382" t="inlineStr">
        <is>
          <t>HÄLLEFORS</t>
        </is>
      </c>
      <c r="G382" t="n">
        <v>0.9</v>
      </c>
      <c r="H382" t="n">
        <v>0</v>
      </c>
      <c r="I382" t="n">
        <v>0</v>
      </c>
      <c r="J382" t="n">
        <v>0</v>
      </c>
      <c r="K382" t="n">
        <v>0</v>
      </c>
      <c r="L382" t="n">
        <v>0</v>
      </c>
      <c r="M382" t="n">
        <v>0</v>
      </c>
      <c r="N382" t="n">
        <v>0</v>
      </c>
      <c r="O382" t="n">
        <v>0</v>
      </c>
      <c r="P382" t="n">
        <v>0</v>
      </c>
      <c r="Q382" t="n">
        <v>0</v>
      </c>
      <c r="R382" s="2" t="inlineStr"/>
    </row>
    <row r="383" ht="15" customHeight="1">
      <c r="A383" t="inlineStr">
        <is>
          <t>A 25059-2024</t>
        </is>
      </c>
      <c r="B383" s="1" t="n">
        <v>45462.35787037037</v>
      </c>
      <c r="C383" s="1" t="n">
        <v>45992</v>
      </c>
      <c r="D383" t="inlineStr">
        <is>
          <t>ÖREBRO LÄN</t>
        </is>
      </c>
      <c r="E383" t="inlineStr">
        <is>
          <t>HÄLLEFORS</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60306-2024</t>
        </is>
      </c>
      <c r="B384" s="1" t="n">
        <v>45643.34040509259</v>
      </c>
      <c r="C384" s="1" t="n">
        <v>45992</v>
      </c>
      <c r="D384" t="inlineStr">
        <is>
          <t>ÖREBRO LÄN</t>
        </is>
      </c>
      <c r="E384" t="inlineStr">
        <is>
          <t>HÄLLEFORS</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28564-2024</t>
        </is>
      </c>
      <c r="B385" s="1" t="n">
        <v>45478.38640046296</v>
      </c>
      <c r="C385" s="1" t="n">
        <v>45992</v>
      </c>
      <c r="D385" t="inlineStr">
        <is>
          <t>ÖREBRO LÄN</t>
        </is>
      </c>
      <c r="E385" t="inlineStr">
        <is>
          <t>HÄLLEFORS</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36114-2024</t>
        </is>
      </c>
      <c r="B386" s="1" t="n">
        <v>45534.30509259259</v>
      </c>
      <c r="C386" s="1" t="n">
        <v>45992</v>
      </c>
      <c r="D386" t="inlineStr">
        <is>
          <t>ÖREBRO LÄN</t>
        </is>
      </c>
      <c r="E386" t="inlineStr">
        <is>
          <t>HÄLLEFORS</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32937-2024</t>
        </is>
      </c>
      <c r="B387" s="1" t="n">
        <v>45517.32866898148</v>
      </c>
      <c r="C387" s="1" t="n">
        <v>45992</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47811-2024</t>
        </is>
      </c>
      <c r="B388" s="1" t="n">
        <v>45588.61716435185</v>
      </c>
      <c r="C388" s="1" t="n">
        <v>45992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53035-2022</t>
        </is>
      </c>
      <c r="B389" s="1" t="n">
        <v>44876.30667824074</v>
      </c>
      <c r="C389" s="1" t="n">
        <v>45992</v>
      </c>
      <c r="D389" t="inlineStr">
        <is>
          <t>ÖREBRO LÄN</t>
        </is>
      </c>
      <c r="E389" t="inlineStr">
        <is>
          <t>HÄLLEFORS</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c r="A390" t="inlineStr">
        <is>
          <t>A 7066-2024</t>
        </is>
      </c>
      <c r="B390" s="1" t="n">
        <v>45343</v>
      </c>
      <c r="C390" s="1" t="n">
        <v>45992</v>
      </c>
      <c r="D390" t="inlineStr">
        <is>
          <t>ÖREBRO LÄN</t>
        </is>
      </c>
      <c r="E390" t="inlineStr">
        <is>
          <t>HÄLLEFORS</t>
        </is>
      </c>
      <c r="G390" t="n">
        <v>1.2</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2025-12-01T10:25:38Z</dcterms:created>
  <dcterms:modified xmlns:dcterms="http://purl.org/dc/terms/" xmlns:xsi="http://www.w3.org/2001/XMLSchema-instance" xsi:type="dcterms:W3CDTF">2025-12-01T10:25:38Z</dcterms:modified>
</cp:coreProperties>
</file>