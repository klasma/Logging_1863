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46102</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46102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46102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46102</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59521-2025</t>
        </is>
      </c>
      <c r="B13" s="1" t="n">
        <v>45989.65802083333</v>
      </c>
      <c r="C13" s="1" t="n">
        <v>46102</v>
      </c>
      <c r="D13" t="inlineStr">
        <is>
          <t>ÖREBRO LÄN</t>
        </is>
      </c>
      <c r="E13" t="inlineStr">
        <is>
          <t>HÄLLEFORS</t>
        </is>
      </c>
      <c r="F13" t="inlineStr">
        <is>
          <t>Sveaskog</t>
        </is>
      </c>
      <c r="G13" t="n">
        <v>8.800000000000001</v>
      </c>
      <c r="H13" t="n">
        <v>2</v>
      </c>
      <c r="I13" t="n">
        <v>0</v>
      </c>
      <c r="J13" t="n">
        <v>0</v>
      </c>
      <c r="K13" t="n">
        <v>0</v>
      </c>
      <c r="L13" t="n">
        <v>0</v>
      </c>
      <c r="M13" t="n">
        <v>0</v>
      </c>
      <c r="N13" t="n">
        <v>0</v>
      </c>
      <c r="O13" t="n">
        <v>0</v>
      </c>
      <c r="P13" t="n">
        <v>0</v>
      </c>
      <c r="Q13" t="n">
        <v>2</v>
      </c>
      <c r="R13" s="2" t="inlineStr">
        <is>
          <t>Gråspett
Blåsippa</t>
        </is>
      </c>
      <c r="S13">
        <f>HYPERLINK("https://klasma.github.io/Logging_1863/artfynd/A 59521-2025 artfynd.xlsx", "A 59521-2025")</f>
        <v/>
      </c>
      <c r="T13">
        <f>HYPERLINK("https://klasma.github.io/Logging_1863/kartor/A 59521-2025 karta.png", "A 59521-2025")</f>
        <v/>
      </c>
      <c r="V13">
        <f>HYPERLINK("https://klasma.github.io/Logging_1863/klagomål/A 59521-2025 FSC-klagomål.docx", "A 59521-2025")</f>
        <v/>
      </c>
      <c r="W13">
        <f>HYPERLINK("https://klasma.github.io/Logging_1863/klagomålsmail/A 59521-2025 FSC-klagomål mail.docx", "A 59521-2025")</f>
        <v/>
      </c>
      <c r="X13">
        <f>HYPERLINK("https://klasma.github.io/Logging_1863/tillsyn/A 59521-2025 tillsynsbegäran.docx", "A 59521-2025")</f>
        <v/>
      </c>
      <c r="Y13">
        <f>HYPERLINK("https://klasma.github.io/Logging_1863/tillsynsmail/A 59521-2025 tillsynsbegäran mail.docx", "A 59521-2025")</f>
        <v/>
      </c>
      <c r="Z13">
        <f>HYPERLINK("https://klasma.github.io/Logging_1863/fåglar/A 59521-2025 prioriterade fågelarter.docx", "A 59521-2025")</f>
        <v/>
      </c>
    </row>
    <row r="14" ht="15" customHeight="1">
      <c r="A14" t="inlineStr">
        <is>
          <t>A 5360-2022</t>
        </is>
      </c>
      <c r="B14" s="1" t="n">
        <v>44594</v>
      </c>
      <c r="C14" s="1" t="n">
        <v>46102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46102</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46102</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61590-2024</t>
        </is>
      </c>
      <c r="B17" s="1" t="n">
        <v>45646.63039351852</v>
      </c>
      <c r="C17" s="1" t="n">
        <v>46102</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46102</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46102</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21848-2025</t>
        </is>
      </c>
      <c r="B20" s="1" t="n">
        <v>45784</v>
      </c>
      <c r="C20" s="1" t="n">
        <v>46102</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46102</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46102</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46102</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46102</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46102</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46102</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46102</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61140-2025</t>
        </is>
      </c>
      <c r="B28" s="1" t="n">
        <v>46000.515625</v>
      </c>
      <c r="C28" s="1" t="n">
        <v>46102</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5244-2025</t>
        </is>
      </c>
      <c r="B29" s="1" t="n">
        <v>45692</v>
      </c>
      <c r="C29" s="1" t="n">
        <v>46102</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46102</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18617-2025</t>
        </is>
      </c>
      <c r="B31" s="1" t="n">
        <v>45763.51037037037</v>
      </c>
      <c r="C31" s="1" t="n">
        <v>46102</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46102</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46102</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46102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20354-2022</t>
        </is>
      </c>
      <c r="B35" s="1" t="n">
        <v>44699</v>
      </c>
      <c r="C35" s="1" t="n">
        <v>46102</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46102</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46102</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46102</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46102</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46102</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46102</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46102</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46102</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46102</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46102</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46102</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46102</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46102</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46102</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46102</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46102</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46102</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22673-2022</t>
        </is>
      </c>
      <c r="B54" s="1" t="n">
        <v>44714.49141203704</v>
      </c>
      <c r="C54" s="1" t="n">
        <v>46102</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65240-2021</t>
        </is>
      </c>
      <c r="B55" s="1" t="n">
        <v>44515</v>
      </c>
      <c r="C55" s="1" t="n">
        <v>46102</v>
      </c>
      <c r="D55" t="inlineStr">
        <is>
          <t>ÖREBRO LÄN</t>
        </is>
      </c>
      <c r="E55" t="inlineStr">
        <is>
          <t>HÄLLEFORS</t>
        </is>
      </c>
      <c r="G55" t="n">
        <v>0.8</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46102</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46102</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46102</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46102</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46102</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38245-2022</t>
        </is>
      </c>
      <c r="B61" s="1" t="n">
        <v>44812.48020833333</v>
      </c>
      <c r="C61" s="1" t="n">
        <v>46102</v>
      </c>
      <c r="D61" t="inlineStr">
        <is>
          <t>ÖREBRO LÄN</t>
        </is>
      </c>
      <c r="E61" t="inlineStr">
        <is>
          <t>HÄLLEFORS</t>
        </is>
      </c>
      <c r="G61" t="n">
        <v>2.4</v>
      </c>
      <c r="H61" t="n">
        <v>0</v>
      </c>
      <c r="I61" t="n">
        <v>0</v>
      </c>
      <c r="J61" t="n">
        <v>0</v>
      </c>
      <c r="K61" t="n">
        <v>0</v>
      </c>
      <c r="L61" t="n">
        <v>0</v>
      </c>
      <c r="M61" t="n">
        <v>0</v>
      </c>
      <c r="N61" t="n">
        <v>0</v>
      </c>
      <c r="O61" t="n">
        <v>0</v>
      </c>
      <c r="P61" t="n">
        <v>0</v>
      </c>
      <c r="Q61" t="n">
        <v>0</v>
      </c>
      <c r="R61" s="2" t="inlineStr"/>
    </row>
    <row r="62" ht="15" customHeight="1">
      <c r="A62" t="inlineStr">
        <is>
          <t>A 34313-2022</t>
        </is>
      </c>
      <c r="B62" s="1" t="n">
        <v>44792</v>
      </c>
      <c r="C62" s="1" t="n">
        <v>46102</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46102</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46102</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46102</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46102</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46102</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46102</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46102</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46102</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29669-2022</t>
        </is>
      </c>
      <c r="B71" s="1" t="n">
        <v>44754</v>
      </c>
      <c r="C71" s="1" t="n">
        <v>46102</v>
      </c>
      <c r="D71" t="inlineStr">
        <is>
          <t>ÖREBRO LÄN</t>
        </is>
      </c>
      <c r="E71" t="inlineStr">
        <is>
          <t>HÄLLEFORS</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29665-2022</t>
        </is>
      </c>
      <c r="B72" s="1" t="n">
        <v>44754</v>
      </c>
      <c r="C72" s="1" t="n">
        <v>46102</v>
      </c>
      <c r="D72" t="inlineStr">
        <is>
          <t>ÖREBRO LÄN</t>
        </is>
      </c>
      <c r="E72" t="inlineStr">
        <is>
          <t>HÄLLEFORS</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46102</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46102</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46102</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46102</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46102</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46102</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39869-2023</t>
        </is>
      </c>
      <c r="B79" s="1" t="n">
        <v>45168</v>
      </c>
      <c r="C79" s="1" t="n">
        <v>46102</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59485-2022</t>
        </is>
      </c>
      <c r="B80" s="1" t="n">
        <v>44907</v>
      </c>
      <c r="C80" s="1" t="n">
        <v>46102</v>
      </c>
      <c r="D80" t="inlineStr">
        <is>
          <t>ÖREBRO LÄN</t>
        </is>
      </c>
      <c r="E80" t="inlineStr">
        <is>
          <t>HÄLLEFORS</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56298-2024</t>
        </is>
      </c>
      <c r="B81" s="1" t="n">
        <v>45624.68584490741</v>
      </c>
      <c r="C81" s="1" t="n">
        <v>46102</v>
      </c>
      <c r="D81" t="inlineStr">
        <is>
          <t>ÖREBRO LÄN</t>
        </is>
      </c>
      <c r="E81" t="inlineStr">
        <is>
          <t>HÄLLEFORS</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44052-2024</t>
        </is>
      </c>
      <c r="B82" s="1" t="n">
        <v>45572.59605324074</v>
      </c>
      <c r="C82" s="1" t="n">
        <v>46102</v>
      </c>
      <c r="D82" t="inlineStr">
        <is>
          <t>ÖREBRO LÄN</t>
        </is>
      </c>
      <c r="E82" t="inlineStr">
        <is>
          <t>HÄLLEFORS</t>
        </is>
      </c>
      <c r="G82" t="n">
        <v>2.2</v>
      </c>
      <c r="H82" t="n">
        <v>0</v>
      </c>
      <c r="I82" t="n">
        <v>0</v>
      </c>
      <c r="J82" t="n">
        <v>0</v>
      </c>
      <c r="K82" t="n">
        <v>0</v>
      </c>
      <c r="L82" t="n">
        <v>0</v>
      </c>
      <c r="M82" t="n">
        <v>0</v>
      </c>
      <c r="N82" t="n">
        <v>0</v>
      </c>
      <c r="O82" t="n">
        <v>0</v>
      </c>
      <c r="P82" t="n">
        <v>0</v>
      </c>
      <c r="Q82" t="n">
        <v>0</v>
      </c>
      <c r="R82" s="2" t="inlineStr"/>
    </row>
    <row r="83" ht="15" customHeight="1">
      <c r="A83" t="inlineStr">
        <is>
          <t>A 13758-2023</t>
        </is>
      </c>
      <c r="B83" s="1" t="n">
        <v>45007.42528935185</v>
      </c>
      <c r="C83" s="1" t="n">
        <v>46102</v>
      </c>
      <c r="D83" t="inlineStr">
        <is>
          <t>ÖREBRO LÄN</t>
        </is>
      </c>
      <c r="E83" t="inlineStr">
        <is>
          <t>HÄLLEFORS</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74464-2021</t>
        </is>
      </c>
      <c r="B84" s="1" t="n">
        <v>44560.52915509259</v>
      </c>
      <c r="C84" s="1" t="n">
        <v>46102</v>
      </c>
      <c r="D84" t="inlineStr">
        <is>
          <t>ÖREBRO LÄN</t>
        </is>
      </c>
      <c r="E84" t="inlineStr">
        <is>
          <t>HÄLLEFORS</t>
        </is>
      </c>
      <c r="F84" t="inlineStr">
        <is>
          <t>Bergvik skog väst AB</t>
        </is>
      </c>
      <c r="G84" t="n">
        <v>3.2</v>
      </c>
      <c r="H84" t="n">
        <v>0</v>
      </c>
      <c r="I84" t="n">
        <v>0</v>
      </c>
      <c r="J84" t="n">
        <v>0</v>
      </c>
      <c r="K84" t="n">
        <v>0</v>
      </c>
      <c r="L84" t="n">
        <v>0</v>
      </c>
      <c r="M84" t="n">
        <v>0</v>
      </c>
      <c r="N84" t="n">
        <v>0</v>
      </c>
      <c r="O84" t="n">
        <v>0</v>
      </c>
      <c r="P84" t="n">
        <v>0</v>
      </c>
      <c r="Q84" t="n">
        <v>0</v>
      </c>
      <c r="R84" s="2" t="inlineStr"/>
    </row>
    <row r="85" ht="15" customHeight="1">
      <c r="A85" t="inlineStr">
        <is>
          <t>A 5762-2024</t>
        </is>
      </c>
      <c r="B85" s="1" t="n">
        <v>45335</v>
      </c>
      <c r="C85" s="1" t="n">
        <v>46102</v>
      </c>
      <c r="D85" t="inlineStr">
        <is>
          <t>ÖREBRO LÄN</t>
        </is>
      </c>
      <c r="E85" t="inlineStr">
        <is>
          <t>HÄLLEFORS</t>
        </is>
      </c>
      <c r="G85" t="n">
        <v>12.1</v>
      </c>
      <c r="H85" t="n">
        <v>0</v>
      </c>
      <c r="I85" t="n">
        <v>0</v>
      </c>
      <c r="J85" t="n">
        <v>0</v>
      </c>
      <c r="K85" t="n">
        <v>0</v>
      </c>
      <c r="L85" t="n">
        <v>0</v>
      </c>
      <c r="M85" t="n">
        <v>0</v>
      </c>
      <c r="N85" t="n">
        <v>0</v>
      </c>
      <c r="O85" t="n">
        <v>0</v>
      </c>
      <c r="P85" t="n">
        <v>0</v>
      </c>
      <c r="Q85" t="n">
        <v>0</v>
      </c>
      <c r="R85" s="2" t="inlineStr"/>
    </row>
    <row r="86" ht="15" customHeight="1">
      <c r="A86" t="inlineStr">
        <is>
          <t>A 18888-2025</t>
        </is>
      </c>
      <c r="B86" s="1" t="n">
        <v>45764.44396990741</v>
      </c>
      <c r="C86" s="1" t="n">
        <v>46102</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18582-2025</t>
        </is>
      </c>
      <c r="B87" s="1" t="n">
        <v>45763</v>
      </c>
      <c r="C87" s="1" t="n">
        <v>46102</v>
      </c>
      <c r="D87" t="inlineStr">
        <is>
          <t>ÖREBRO LÄN</t>
        </is>
      </c>
      <c r="E87" t="inlineStr">
        <is>
          <t>HÄLLEFORS</t>
        </is>
      </c>
      <c r="F87" t="inlineStr">
        <is>
          <t>Bergvik skog väst AB</t>
        </is>
      </c>
      <c r="G87" t="n">
        <v>4.1</v>
      </c>
      <c r="H87" t="n">
        <v>0</v>
      </c>
      <c r="I87" t="n">
        <v>0</v>
      </c>
      <c r="J87" t="n">
        <v>0</v>
      </c>
      <c r="K87" t="n">
        <v>0</v>
      </c>
      <c r="L87" t="n">
        <v>0</v>
      </c>
      <c r="M87" t="n">
        <v>0</v>
      </c>
      <c r="N87" t="n">
        <v>0</v>
      </c>
      <c r="O87" t="n">
        <v>0</v>
      </c>
      <c r="P87" t="n">
        <v>0</v>
      </c>
      <c r="Q87" t="n">
        <v>0</v>
      </c>
      <c r="R87" s="2" t="inlineStr"/>
    </row>
    <row r="88" ht="15" customHeight="1">
      <c r="A88" t="inlineStr">
        <is>
          <t>A 38532-2025</t>
        </is>
      </c>
      <c r="B88" s="1" t="n">
        <v>45884</v>
      </c>
      <c r="C88" s="1" t="n">
        <v>46102</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55183-2025</t>
        </is>
      </c>
      <c r="B89" s="1" t="n">
        <v>45968.533125</v>
      </c>
      <c r="C89" s="1" t="n">
        <v>46102</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35860-2024</t>
        </is>
      </c>
      <c r="B90" s="1" t="n">
        <v>45533</v>
      </c>
      <c r="C90" s="1" t="n">
        <v>46102</v>
      </c>
      <c r="D90" t="inlineStr">
        <is>
          <t>ÖREBRO LÄN</t>
        </is>
      </c>
      <c r="E90" t="inlineStr">
        <is>
          <t>HÄLLEFORS</t>
        </is>
      </c>
      <c r="F90" t="inlineStr">
        <is>
          <t>Bergvik skog väst AB</t>
        </is>
      </c>
      <c r="G90" t="n">
        <v>4.1</v>
      </c>
      <c r="H90" t="n">
        <v>0</v>
      </c>
      <c r="I90" t="n">
        <v>0</v>
      </c>
      <c r="J90" t="n">
        <v>0</v>
      </c>
      <c r="K90" t="n">
        <v>0</v>
      </c>
      <c r="L90" t="n">
        <v>0</v>
      </c>
      <c r="M90" t="n">
        <v>0</v>
      </c>
      <c r="N90" t="n">
        <v>0</v>
      </c>
      <c r="O90" t="n">
        <v>0</v>
      </c>
      <c r="P90" t="n">
        <v>0</v>
      </c>
      <c r="Q90" t="n">
        <v>0</v>
      </c>
      <c r="R90" s="2" t="inlineStr"/>
    </row>
    <row r="91" ht="15" customHeight="1">
      <c r="A91" t="inlineStr">
        <is>
          <t>A 5263-2025</t>
        </is>
      </c>
      <c r="B91" s="1" t="n">
        <v>45692.37509259259</v>
      </c>
      <c r="C91" s="1" t="n">
        <v>46102</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53344-2024</t>
        </is>
      </c>
      <c r="B92" s="1" t="n">
        <v>45614.44175925926</v>
      </c>
      <c r="C92" s="1" t="n">
        <v>46102</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46102</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46912-2023</t>
        </is>
      </c>
      <c r="B94" s="1" t="n">
        <v>45201</v>
      </c>
      <c r="C94" s="1" t="n">
        <v>46102</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25059-2024</t>
        </is>
      </c>
      <c r="B95" s="1" t="n">
        <v>45462.35787037037</v>
      </c>
      <c r="C95" s="1" t="n">
        <v>46102</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60306-2024</t>
        </is>
      </c>
      <c r="B96" s="1" t="n">
        <v>45643.34040509259</v>
      </c>
      <c r="C96" s="1" t="n">
        <v>46102</v>
      </c>
      <c r="D96" t="inlineStr">
        <is>
          <t>ÖREBRO LÄN</t>
        </is>
      </c>
      <c r="E96" t="inlineStr">
        <is>
          <t>HÄLLEFORS</t>
        </is>
      </c>
      <c r="F96" t="inlineStr">
        <is>
          <t>Bergvik skog väst AB</t>
        </is>
      </c>
      <c r="G96" t="n">
        <v>4.5</v>
      </c>
      <c r="H96" t="n">
        <v>0</v>
      </c>
      <c r="I96" t="n">
        <v>0</v>
      </c>
      <c r="J96" t="n">
        <v>0</v>
      </c>
      <c r="K96" t="n">
        <v>0</v>
      </c>
      <c r="L96" t="n">
        <v>0</v>
      </c>
      <c r="M96" t="n">
        <v>0</v>
      </c>
      <c r="N96" t="n">
        <v>0</v>
      </c>
      <c r="O96" t="n">
        <v>0</v>
      </c>
      <c r="P96" t="n">
        <v>0</v>
      </c>
      <c r="Q96" t="n">
        <v>0</v>
      </c>
      <c r="R96" s="2" t="inlineStr"/>
    </row>
    <row r="97" ht="15" customHeight="1">
      <c r="A97" t="inlineStr">
        <is>
          <t>A 57494-2025</t>
        </is>
      </c>
      <c r="B97" s="1" t="n">
        <v>45980.5859375</v>
      </c>
      <c r="C97" s="1" t="n">
        <v>46102</v>
      </c>
      <c r="D97" t="inlineStr">
        <is>
          <t>ÖREBRO LÄN</t>
        </is>
      </c>
      <c r="E97" t="inlineStr">
        <is>
          <t>HÄLLEFORS</t>
        </is>
      </c>
      <c r="G97" t="n">
        <v>2.3</v>
      </c>
      <c r="H97" t="n">
        <v>0</v>
      </c>
      <c r="I97" t="n">
        <v>0</v>
      </c>
      <c r="J97" t="n">
        <v>0</v>
      </c>
      <c r="K97" t="n">
        <v>0</v>
      </c>
      <c r="L97" t="n">
        <v>0</v>
      </c>
      <c r="M97" t="n">
        <v>0</v>
      </c>
      <c r="N97" t="n">
        <v>0</v>
      </c>
      <c r="O97" t="n">
        <v>0</v>
      </c>
      <c r="P97" t="n">
        <v>0</v>
      </c>
      <c r="Q97" t="n">
        <v>0</v>
      </c>
      <c r="R97" s="2" t="inlineStr"/>
    </row>
    <row r="98" ht="15" customHeight="1">
      <c r="A98" t="inlineStr">
        <is>
          <t>A 39183-2025</t>
        </is>
      </c>
      <c r="B98" s="1" t="n">
        <v>45888.6637962963</v>
      </c>
      <c r="C98" s="1" t="n">
        <v>46102</v>
      </c>
      <c r="D98" t="inlineStr">
        <is>
          <t>ÖREBRO LÄN</t>
        </is>
      </c>
      <c r="E98" t="inlineStr">
        <is>
          <t>HÄLLEFORS</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57421-2025</t>
        </is>
      </c>
      <c r="B99" s="1" t="n">
        <v>45980.45798611111</v>
      </c>
      <c r="C99" s="1" t="n">
        <v>46102</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5045-2025</t>
        </is>
      </c>
      <c r="B100" s="1" t="n">
        <v>45691.44689814815</v>
      </c>
      <c r="C100" s="1" t="n">
        <v>46102</v>
      </c>
      <c r="D100" t="inlineStr">
        <is>
          <t>ÖREBRO LÄN</t>
        </is>
      </c>
      <c r="E100" t="inlineStr">
        <is>
          <t>HÄLLEFORS</t>
        </is>
      </c>
      <c r="F100" t="inlineStr">
        <is>
          <t>Bergvik skog väst AB</t>
        </is>
      </c>
      <c r="G100" t="n">
        <v>6.4</v>
      </c>
      <c r="H100" t="n">
        <v>0</v>
      </c>
      <c r="I100" t="n">
        <v>0</v>
      </c>
      <c r="J100" t="n">
        <v>0</v>
      </c>
      <c r="K100" t="n">
        <v>0</v>
      </c>
      <c r="L100" t="n">
        <v>0</v>
      </c>
      <c r="M100" t="n">
        <v>0</v>
      </c>
      <c r="N100" t="n">
        <v>0</v>
      </c>
      <c r="O100" t="n">
        <v>0</v>
      </c>
      <c r="P100" t="n">
        <v>0</v>
      </c>
      <c r="Q100" t="n">
        <v>0</v>
      </c>
      <c r="R100" s="2" t="inlineStr"/>
    </row>
    <row r="101" ht="15" customHeight="1">
      <c r="A101" t="inlineStr">
        <is>
          <t>A 58930-2025</t>
        </is>
      </c>
      <c r="B101" s="1" t="n">
        <v>45987.55640046296</v>
      </c>
      <c r="C101" s="1" t="n">
        <v>46102</v>
      </c>
      <c r="D101" t="inlineStr">
        <is>
          <t>ÖREBRO LÄN</t>
        </is>
      </c>
      <c r="E101" t="inlineStr">
        <is>
          <t>HÄLLEFORS</t>
        </is>
      </c>
      <c r="F101" t="inlineStr">
        <is>
          <t>Bergvik skog väst AB</t>
        </is>
      </c>
      <c r="G101" t="n">
        <v>5.1</v>
      </c>
      <c r="H101" t="n">
        <v>0</v>
      </c>
      <c r="I101" t="n">
        <v>0</v>
      </c>
      <c r="J101" t="n">
        <v>0</v>
      </c>
      <c r="K101" t="n">
        <v>0</v>
      </c>
      <c r="L101" t="n">
        <v>0</v>
      </c>
      <c r="M101" t="n">
        <v>0</v>
      </c>
      <c r="N101" t="n">
        <v>0</v>
      </c>
      <c r="O101" t="n">
        <v>0</v>
      </c>
      <c r="P101" t="n">
        <v>0</v>
      </c>
      <c r="Q101" t="n">
        <v>0</v>
      </c>
      <c r="R101" s="2" t="inlineStr"/>
    </row>
    <row r="102" ht="15" customHeight="1">
      <c r="A102" t="inlineStr">
        <is>
          <t>A 58941-2025</t>
        </is>
      </c>
      <c r="B102" s="1" t="n">
        <v>45987.57491898148</v>
      </c>
      <c r="C102" s="1" t="n">
        <v>46102</v>
      </c>
      <c r="D102" t="inlineStr">
        <is>
          <t>ÖREBRO LÄN</t>
        </is>
      </c>
      <c r="E102" t="inlineStr">
        <is>
          <t>HÄLLEFORS</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58949-2025</t>
        </is>
      </c>
      <c r="B103" s="1" t="n">
        <v>45987.58652777778</v>
      </c>
      <c r="C103" s="1" t="n">
        <v>46102</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46102</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46102</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46102</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58938-2025</t>
        </is>
      </c>
      <c r="B107" s="1" t="n">
        <v>45987.56550925926</v>
      </c>
      <c r="C107" s="1" t="n">
        <v>46102</v>
      </c>
      <c r="D107" t="inlineStr">
        <is>
          <t>ÖREBRO LÄN</t>
        </is>
      </c>
      <c r="E107" t="inlineStr">
        <is>
          <t>HÄLLEFORS</t>
        </is>
      </c>
      <c r="F107" t="inlineStr">
        <is>
          <t>Bergvik skog väst AB</t>
        </is>
      </c>
      <c r="G107" t="n">
        <v>3.7</v>
      </c>
      <c r="H107" t="n">
        <v>0</v>
      </c>
      <c r="I107" t="n">
        <v>0</v>
      </c>
      <c r="J107" t="n">
        <v>0</v>
      </c>
      <c r="K107" t="n">
        <v>0</v>
      </c>
      <c r="L107" t="n">
        <v>0</v>
      </c>
      <c r="M107" t="n">
        <v>0</v>
      </c>
      <c r="N107" t="n">
        <v>0</v>
      </c>
      <c r="O107" t="n">
        <v>0</v>
      </c>
      <c r="P107" t="n">
        <v>0</v>
      </c>
      <c r="Q107" t="n">
        <v>0</v>
      </c>
      <c r="R107" s="2" t="inlineStr"/>
    </row>
    <row r="108" ht="15" customHeight="1">
      <c r="A108" t="inlineStr">
        <is>
          <t>A 58942-2025</t>
        </is>
      </c>
      <c r="B108" s="1" t="n">
        <v>45987.57672453704</v>
      </c>
      <c r="C108" s="1" t="n">
        <v>46102</v>
      </c>
      <c r="D108" t="inlineStr">
        <is>
          <t>ÖREBRO LÄN</t>
        </is>
      </c>
      <c r="E108" t="inlineStr">
        <is>
          <t>HÄLLEFORS</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47811-2024</t>
        </is>
      </c>
      <c r="B109" s="1" t="n">
        <v>45588.61716435185</v>
      </c>
      <c r="C109" s="1" t="n">
        <v>46102</v>
      </c>
      <c r="D109" t="inlineStr">
        <is>
          <t>ÖREBRO LÄN</t>
        </is>
      </c>
      <c r="E109" t="inlineStr">
        <is>
          <t>HÄLLEFORS</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58947-2025</t>
        </is>
      </c>
      <c r="B110" s="1" t="n">
        <v>45987.58177083333</v>
      </c>
      <c r="C110" s="1" t="n">
        <v>46102</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46102</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16053-2023</t>
        </is>
      </c>
      <c r="B112" s="1" t="n">
        <v>45027</v>
      </c>
      <c r="C112" s="1" t="n">
        <v>46102</v>
      </c>
      <c r="D112" t="inlineStr">
        <is>
          <t>ÖREBRO LÄN</t>
        </is>
      </c>
      <c r="E112" t="inlineStr">
        <is>
          <t>HÄLLEFORS</t>
        </is>
      </c>
      <c r="F112" t="inlineStr">
        <is>
          <t>Bergvik skog väst AB</t>
        </is>
      </c>
      <c r="G112" t="n">
        <v>14.7</v>
      </c>
      <c r="H112" t="n">
        <v>0</v>
      </c>
      <c r="I112" t="n">
        <v>0</v>
      </c>
      <c r="J112" t="n">
        <v>0</v>
      </c>
      <c r="K112" t="n">
        <v>0</v>
      </c>
      <c r="L112" t="n">
        <v>0</v>
      </c>
      <c r="M112" t="n">
        <v>0</v>
      </c>
      <c r="N112" t="n">
        <v>0</v>
      </c>
      <c r="O112" t="n">
        <v>0</v>
      </c>
      <c r="P112" t="n">
        <v>0</v>
      </c>
      <c r="Q112" t="n">
        <v>0</v>
      </c>
      <c r="R112" s="2" t="inlineStr"/>
    </row>
    <row r="113" ht="15" customHeight="1">
      <c r="A113" t="inlineStr">
        <is>
          <t>A 29340-2024</t>
        </is>
      </c>
      <c r="B113" s="1" t="n">
        <v>45483.46465277778</v>
      </c>
      <c r="C113" s="1" t="n">
        <v>46102</v>
      </c>
      <c r="D113" t="inlineStr">
        <is>
          <t>ÖREBRO LÄN</t>
        </is>
      </c>
      <c r="E113" t="inlineStr">
        <is>
          <t>HÄLLEFORS</t>
        </is>
      </c>
      <c r="G113" t="n">
        <v>1.7</v>
      </c>
      <c r="H113" t="n">
        <v>0</v>
      </c>
      <c r="I113" t="n">
        <v>0</v>
      </c>
      <c r="J113" t="n">
        <v>0</v>
      </c>
      <c r="K113" t="n">
        <v>0</v>
      </c>
      <c r="L113" t="n">
        <v>0</v>
      </c>
      <c r="M113" t="n">
        <v>0</v>
      </c>
      <c r="N113" t="n">
        <v>0</v>
      </c>
      <c r="O113" t="n">
        <v>0</v>
      </c>
      <c r="P113" t="n">
        <v>0</v>
      </c>
      <c r="Q113" t="n">
        <v>0</v>
      </c>
      <c r="R113" s="2" t="inlineStr"/>
    </row>
    <row r="114" ht="15" customHeight="1">
      <c r="A114" t="inlineStr">
        <is>
          <t>A 53035-2022</t>
        </is>
      </c>
      <c r="B114" s="1" t="n">
        <v>44876.30667824074</v>
      </c>
      <c r="C114" s="1" t="n">
        <v>46102</v>
      </c>
      <c r="D114" t="inlineStr">
        <is>
          <t>ÖREBRO LÄN</t>
        </is>
      </c>
      <c r="E114" t="inlineStr">
        <is>
          <t>HÄLLEFORS</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58940-2025</t>
        </is>
      </c>
      <c r="B115" s="1" t="n">
        <v>45987.57128472222</v>
      </c>
      <c r="C115" s="1" t="n">
        <v>46102</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58934-2025</t>
        </is>
      </c>
      <c r="B116" s="1" t="n">
        <v>45987.56333333333</v>
      </c>
      <c r="C116" s="1" t="n">
        <v>46102</v>
      </c>
      <c r="D116" t="inlineStr">
        <is>
          <t>ÖREBRO LÄN</t>
        </is>
      </c>
      <c r="E116" t="inlineStr">
        <is>
          <t>HÄLLEFORS</t>
        </is>
      </c>
      <c r="F116" t="inlineStr">
        <is>
          <t>Bergvik skog väst AB</t>
        </is>
      </c>
      <c r="G116" t="n">
        <v>4.8</v>
      </c>
      <c r="H116" t="n">
        <v>0</v>
      </c>
      <c r="I116" t="n">
        <v>0</v>
      </c>
      <c r="J116" t="n">
        <v>0</v>
      </c>
      <c r="K116" t="n">
        <v>0</v>
      </c>
      <c r="L116" t="n">
        <v>0</v>
      </c>
      <c r="M116" t="n">
        <v>0</v>
      </c>
      <c r="N116" t="n">
        <v>0</v>
      </c>
      <c r="O116" t="n">
        <v>0</v>
      </c>
      <c r="P116" t="n">
        <v>0</v>
      </c>
      <c r="Q116" t="n">
        <v>0</v>
      </c>
      <c r="R116" s="2" t="inlineStr"/>
    </row>
    <row r="117" ht="15" customHeight="1">
      <c r="A117" t="inlineStr">
        <is>
          <t>A 71766-2021</t>
        </is>
      </c>
      <c r="B117" s="1" t="n">
        <v>44543</v>
      </c>
      <c r="C117" s="1" t="n">
        <v>46102</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17098-2025</t>
        </is>
      </c>
      <c r="B118" s="1" t="n">
        <v>45755.65709490741</v>
      </c>
      <c r="C118" s="1" t="n">
        <v>46102</v>
      </c>
      <c r="D118" t="inlineStr">
        <is>
          <t>ÖREBRO LÄN</t>
        </is>
      </c>
      <c r="E118" t="inlineStr">
        <is>
          <t>HÄLLEFORS</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37027-2022</t>
        </is>
      </c>
      <c r="B119" s="1" t="n">
        <v>44806</v>
      </c>
      <c r="C119" s="1" t="n">
        <v>46102</v>
      </c>
      <c r="D119" t="inlineStr">
        <is>
          <t>ÖREBRO LÄN</t>
        </is>
      </c>
      <c r="E119" t="inlineStr">
        <is>
          <t>HÄLLEFORS</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40485-2025</t>
        </is>
      </c>
      <c r="B120" s="1" t="n">
        <v>45895.85320601852</v>
      </c>
      <c r="C120" s="1" t="n">
        <v>46102</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41152-2025</t>
        </is>
      </c>
      <c r="B121" s="1" t="n">
        <v>45898.5128587963</v>
      </c>
      <c r="C121" s="1" t="n">
        <v>46102</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38010-2024</t>
        </is>
      </c>
      <c r="B122" s="1" t="n">
        <v>45544.62276620371</v>
      </c>
      <c r="C122" s="1" t="n">
        <v>46102</v>
      </c>
      <c r="D122" t="inlineStr">
        <is>
          <t>ÖREBRO LÄN</t>
        </is>
      </c>
      <c r="E122" t="inlineStr">
        <is>
          <t>HÄLLEFORS</t>
        </is>
      </c>
      <c r="G122" t="n">
        <v>22.7</v>
      </c>
      <c r="H122" t="n">
        <v>0</v>
      </c>
      <c r="I122" t="n">
        <v>0</v>
      </c>
      <c r="J122" t="n">
        <v>0</v>
      </c>
      <c r="K122" t="n">
        <v>0</v>
      </c>
      <c r="L122" t="n">
        <v>0</v>
      </c>
      <c r="M122" t="n">
        <v>0</v>
      </c>
      <c r="N122" t="n">
        <v>0</v>
      </c>
      <c r="O122" t="n">
        <v>0</v>
      </c>
      <c r="P122" t="n">
        <v>0</v>
      </c>
      <c r="Q122" t="n">
        <v>0</v>
      </c>
      <c r="R122" s="2" t="inlineStr"/>
    </row>
    <row r="123" ht="15" customHeight="1">
      <c r="A123" t="inlineStr">
        <is>
          <t>A 35191-2023</t>
        </is>
      </c>
      <c r="B123" s="1" t="n">
        <v>45145.61096064815</v>
      </c>
      <c r="C123" s="1" t="n">
        <v>46102</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23037-2024</t>
        </is>
      </c>
      <c r="B124" s="1" t="n">
        <v>45450.3955787037</v>
      </c>
      <c r="C124" s="1" t="n">
        <v>46102</v>
      </c>
      <c r="D124" t="inlineStr">
        <is>
          <t>ÖREBRO LÄN</t>
        </is>
      </c>
      <c r="E124" t="inlineStr">
        <is>
          <t>HÄLLEFORS</t>
        </is>
      </c>
      <c r="G124" t="n">
        <v>2.4</v>
      </c>
      <c r="H124" t="n">
        <v>0</v>
      </c>
      <c r="I124" t="n">
        <v>0</v>
      </c>
      <c r="J124" t="n">
        <v>0</v>
      </c>
      <c r="K124" t="n">
        <v>0</v>
      </c>
      <c r="L124" t="n">
        <v>0</v>
      </c>
      <c r="M124" t="n">
        <v>0</v>
      </c>
      <c r="N124" t="n">
        <v>0</v>
      </c>
      <c r="O124" t="n">
        <v>0</v>
      </c>
      <c r="P124" t="n">
        <v>0</v>
      </c>
      <c r="Q124" t="n">
        <v>0</v>
      </c>
      <c r="R124" s="2" t="inlineStr"/>
    </row>
    <row r="125" ht="15" customHeight="1">
      <c r="A125" t="inlineStr">
        <is>
          <t>A 60852-2025</t>
        </is>
      </c>
      <c r="B125" s="1" t="n">
        <v>45999.50795138889</v>
      </c>
      <c r="C125" s="1" t="n">
        <v>46102</v>
      </c>
      <c r="D125" t="inlineStr">
        <is>
          <t>ÖREBRO LÄN</t>
        </is>
      </c>
      <c r="E125" t="inlineStr">
        <is>
          <t>HÄLLEFORS</t>
        </is>
      </c>
      <c r="F125" t="inlineStr">
        <is>
          <t>Bergvik skog väst AB</t>
        </is>
      </c>
      <c r="G125" t="n">
        <v>4</v>
      </c>
      <c r="H125" t="n">
        <v>0</v>
      </c>
      <c r="I125" t="n">
        <v>0</v>
      </c>
      <c r="J125" t="n">
        <v>0</v>
      </c>
      <c r="K125" t="n">
        <v>0</v>
      </c>
      <c r="L125" t="n">
        <v>0</v>
      </c>
      <c r="M125" t="n">
        <v>0</v>
      </c>
      <c r="N125" t="n">
        <v>0</v>
      </c>
      <c r="O125" t="n">
        <v>0</v>
      </c>
      <c r="P125" t="n">
        <v>0</v>
      </c>
      <c r="Q125" t="n">
        <v>0</v>
      </c>
      <c r="R125" s="2" t="inlineStr"/>
    </row>
    <row r="126" ht="15" customHeight="1">
      <c r="A126" t="inlineStr">
        <is>
          <t>A 61079-2025</t>
        </is>
      </c>
      <c r="B126" s="1" t="n">
        <v>46000.40052083333</v>
      </c>
      <c r="C126" s="1" t="n">
        <v>46102</v>
      </c>
      <c r="D126" t="inlineStr">
        <is>
          <t>ÖREBRO LÄN</t>
        </is>
      </c>
      <c r="E126" t="inlineStr">
        <is>
          <t>HÄLLEFORS</t>
        </is>
      </c>
      <c r="F126" t="inlineStr">
        <is>
          <t>Bergvik skog väst AB</t>
        </is>
      </c>
      <c r="G126" t="n">
        <v>6.8</v>
      </c>
      <c r="H126" t="n">
        <v>0</v>
      </c>
      <c r="I126" t="n">
        <v>0</v>
      </c>
      <c r="J126" t="n">
        <v>0</v>
      </c>
      <c r="K126" t="n">
        <v>0</v>
      </c>
      <c r="L126" t="n">
        <v>0</v>
      </c>
      <c r="M126" t="n">
        <v>0</v>
      </c>
      <c r="N126" t="n">
        <v>0</v>
      </c>
      <c r="O126" t="n">
        <v>0</v>
      </c>
      <c r="P126" t="n">
        <v>0</v>
      </c>
      <c r="Q126" t="n">
        <v>0</v>
      </c>
      <c r="R126" s="2" t="inlineStr"/>
    </row>
    <row r="127" ht="15" customHeight="1">
      <c r="A127" t="inlineStr">
        <is>
          <t>A 61084-2025</t>
        </is>
      </c>
      <c r="B127" s="1" t="n">
        <v>46000.41092592593</v>
      </c>
      <c r="C127" s="1" t="n">
        <v>46102</v>
      </c>
      <c r="D127" t="inlineStr">
        <is>
          <t>ÖREBRO LÄN</t>
        </is>
      </c>
      <c r="E127" t="inlineStr">
        <is>
          <t>HÄLLEFORS</t>
        </is>
      </c>
      <c r="F127" t="inlineStr">
        <is>
          <t>Bergvik skog väst AB</t>
        </is>
      </c>
      <c r="G127" t="n">
        <v>7.7</v>
      </c>
      <c r="H127" t="n">
        <v>0</v>
      </c>
      <c r="I127" t="n">
        <v>0</v>
      </c>
      <c r="J127" t="n">
        <v>0</v>
      </c>
      <c r="K127" t="n">
        <v>0</v>
      </c>
      <c r="L127" t="n">
        <v>0</v>
      </c>
      <c r="M127" t="n">
        <v>0</v>
      </c>
      <c r="N127" t="n">
        <v>0</v>
      </c>
      <c r="O127" t="n">
        <v>0</v>
      </c>
      <c r="P127" t="n">
        <v>0</v>
      </c>
      <c r="Q127" t="n">
        <v>0</v>
      </c>
      <c r="R127" s="2" t="inlineStr"/>
    </row>
    <row r="128" ht="15" customHeight="1">
      <c r="A128" t="inlineStr">
        <is>
          <t>A 61082-2025</t>
        </is>
      </c>
      <c r="B128" s="1" t="n">
        <v>46000.40797453704</v>
      </c>
      <c r="C128" s="1" t="n">
        <v>46102</v>
      </c>
      <c r="D128" t="inlineStr">
        <is>
          <t>ÖREBRO LÄN</t>
        </is>
      </c>
      <c r="E128" t="inlineStr">
        <is>
          <t>HÄLLEFORS</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61366-2025</t>
        </is>
      </c>
      <c r="B129" s="1" t="n">
        <v>46001.42888888889</v>
      </c>
      <c r="C129" s="1" t="n">
        <v>46102</v>
      </c>
      <c r="D129" t="inlineStr">
        <is>
          <t>ÖREBRO LÄN</t>
        </is>
      </c>
      <c r="E129" t="inlineStr">
        <is>
          <t>HÄLLEFORS</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7066-2024</t>
        </is>
      </c>
      <c r="B130" s="1" t="n">
        <v>45343</v>
      </c>
      <c r="C130" s="1" t="n">
        <v>46102</v>
      </c>
      <c r="D130" t="inlineStr">
        <is>
          <t>ÖREBRO LÄN</t>
        </is>
      </c>
      <c r="E130" t="inlineStr">
        <is>
          <t>HÄLLEFORS</t>
        </is>
      </c>
      <c r="G130" t="n">
        <v>1.2</v>
      </c>
      <c r="H130" t="n">
        <v>0</v>
      </c>
      <c r="I130" t="n">
        <v>0</v>
      </c>
      <c r="J130" t="n">
        <v>0</v>
      </c>
      <c r="K130" t="n">
        <v>0</v>
      </c>
      <c r="L130" t="n">
        <v>0</v>
      </c>
      <c r="M130" t="n">
        <v>0</v>
      </c>
      <c r="N130" t="n">
        <v>0</v>
      </c>
      <c r="O130" t="n">
        <v>0</v>
      </c>
      <c r="P130" t="n">
        <v>0</v>
      </c>
      <c r="Q130" t="n">
        <v>0</v>
      </c>
      <c r="R130" s="2" t="inlineStr"/>
    </row>
    <row r="131" ht="15" customHeight="1">
      <c r="A131" t="inlineStr">
        <is>
          <t>A 44088-2024</t>
        </is>
      </c>
      <c r="B131" s="1" t="n">
        <v>45572.61984953703</v>
      </c>
      <c r="C131" s="1" t="n">
        <v>46102</v>
      </c>
      <c r="D131" t="inlineStr">
        <is>
          <t>ÖREBRO LÄN</t>
        </is>
      </c>
      <c r="E131" t="inlineStr">
        <is>
          <t>HÄLLEFORS</t>
        </is>
      </c>
      <c r="G131" t="n">
        <v>4</v>
      </c>
      <c r="H131" t="n">
        <v>0</v>
      </c>
      <c r="I131" t="n">
        <v>0</v>
      </c>
      <c r="J131" t="n">
        <v>0</v>
      </c>
      <c r="K131" t="n">
        <v>0</v>
      </c>
      <c r="L131" t="n">
        <v>0</v>
      </c>
      <c r="M131" t="n">
        <v>0</v>
      </c>
      <c r="N131" t="n">
        <v>0</v>
      </c>
      <c r="O131" t="n">
        <v>0</v>
      </c>
      <c r="P131" t="n">
        <v>0</v>
      </c>
      <c r="Q131" t="n">
        <v>0</v>
      </c>
      <c r="R131" s="2" t="inlineStr"/>
    </row>
    <row r="132" ht="15" customHeight="1">
      <c r="A132" t="inlineStr">
        <is>
          <t>A 61164-2025</t>
        </is>
      </c>
      <c r="B132" s="1" t="n">
        <v>46000.56178240741</v>
      </c>
      <c r="C132" s="1" t="n">
        <v>46102</v>
      </c>
      <c r="D132" t="inlineStr">
        <is>
          <t>ÖREBRO LÄN</t>
        </is>
      </c>
      <c r="E132" t="inlineStr">
        <is>
          <t>HÄLLEFORS</t>
        </is>
      </c>
      <c r="F132" t="inlineStr">
        <is>
          <t>Bergvik skog väst AB</t>
        </is>
      </c>
      <c r="G132" t="n">
        <v>3.1</v>
      </c>
      <c r="H132" t="n">
        <v>0</v>
      </c>
      <c r="I132" t="n">
        <v>0</v>
      </c>
      <c r="J132" t="n">
        <v>0</v>
      </c>
      <c r="K132" t="n">
        <v>0</v>
      </c>
      <c r="L132" t="n">
        <v>0</v>
      </c>
      <c r="M132" t="n">
        <v>0</v>
      </c>
      <c r="N132" t="n">
        <v>0</v>
      </c>
      <c r="O132" t="n">
        <v>0</v>
      </c>
      <c r="P132" t="n">
        <v>0</v>
      </c>
      <c r="Q132" t="n">
        <v>0</v>
      </c>
      <c r="R132" s="2" t="inlineStr"/>
    </row>
    <row r="133" ht="15" customHeight="1">
      <c r="A133" t="inlineStr">
        <is>
          <t>A 35188-2023</t>
        </is>
      </c>
      <c r="B133" s="1" t="n">
        <v>45145.60365740741</v>
      </c>
      <c r="C133" s="1" t="n">
        <v>46102</v>
      </c>
      <c r="D133" t="inlineStr">
        <is>
          <t>ÖREBRO LÄN</t>
        </is>
      </c>
      <c r="E133" t="inlineStr">
        <is>
          <t>HÄLLEFORS</t>
        </is>
      </c>
      <c r="F133" t="inlineStr">
        <is>
          <t>Bergvik skog väst AB</t>
        </is>
      </c>
      <c r="G133" t="n">
        <v>12.9</v>
      </c>
      <c r="H133" t="n">
        <v>0</v>
      </c>
      <c r="I133" t="n">
        <v>0</v>
      </c>
      <c r="J133" t="n">
        <v>0</v>
      </c>
      <c r="K133" t="n">
        <v>0</v>
      </c>
      <c r="L133" t="n">
        <v>0</v>
      </c>
      <c r="M133" t="n">
        <v>0</v>
      </c>
      <c r="N133" t="n">
        <v>0</v>
      </c>
      <c r="O133" t="n">
        <v>0</v>
      </c>
      <c r="P133" t="n">
        <v>0</v>
      </c>
      <c r="Q133" t="n">
        <v>0</v>
      </c>
      <c r="R133" s="2" t="inlineStr"/>
    </row>
    <row r="134" ht="15" customHeight="1">
      <c r="A134" t="inlineStr">
        <is>
          <t>A 41089-2022</t>
        </is>
      </c>
      <c r="B134" s="1" t="n">
        <v>44825.64613425926</v>
      </c>
      <c r="C134" s="1" t="n">
        <v>46102</v>
      </c>
      <c r="D134" t="inlineStr">
        <is>
          <t>ÖREBRO LÄN</t>
        </is>
      </c>
      <c r="E134" t="inlineStr">
        <is>
          <t>HÄLLEFORS</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29662-2022</t>
        </is>
      </c>
      <c r="B135" s="1" t="n">
        <v>44754</v>
      </c>
      <c r="C135" s="1" t="n">
        <v>46102</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49709-2023</t>
        </is>
      </c>
      <c r="B136" s="1" t="n">
        <v>45212</v>
      </c>
      <c r="C136" s="1" t="n">
        <v>46102</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20170-2023</t>
        </is>
      </c>
      <c r="B137" s="1" t="n">
        <v>45055</v>
      </c>
      <c r="C137" s="1" t="n">
        <v>46102</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62400-2025</t>
        </is>
      </c>
      <c r="B138" s="1" t="n">
        <v>46007.40847222223</v>
      </c>
      <c r="C138" s="1" t="n">
        <v>46102</v>
      </c>
      <c r="D138" t="inlineStr">
        <is>
          <t>ÖREBRO LÄN</t>
        </is>
      </c>
      <c r="E138" t="inlineStr">
        <is>
          <t>HÄLLEFORS</t>
        </is>
      </c>
      <c r="F138" t="inlineStr">
        <is>
          <t>Bergvik skog väst AB</t>
        </is>
      </c>
      <c r="G138" t="n">
        <v>7.3</v>
      </c>
      <c r="H138" t="n">
        <v>0</v>
      </c>
      <c r="I138" t="n">
        <v>0</v>
      </c>
      <c r="J138" t="n">
        <v>0</v>
      </c>
      <c r="K138" t="n">
        <v>0</v>
      </c>
      <c r="L138" t="n">
        <v>0</v>
      </c>
      <c r="M138" t="n">
        <v>0</v>
      </c>
      <c r="N138" t="n">
        <v>0</v>
      </c>
      <c r="O138" t="n">
        <v>0</v>
      </c>
      <c r="P138" t="n">
        <v>0</v>
      </c>
      <c r="Q138" t="n">
        <v>0</v>
      </c>
      <c r="R138" s="2" t="inlineStr"/>
    </row>
    <row r="139" ht="15" customHeight="1">
      <c r="A139" t="inlineStr">
        <is>
          <t>A 62262-2025</t>
        </is>
      </c>
      <c r="B139" s="1" t="n">
        <v>46006.61628472222</v>
      </c>
      <c r="C139" s="1" t="n">
        <v>46102</v>
      </c>
      <c r="D139" t="inlineStr">
        <is>
          <t>ÖREBRO LÄN</t>
        </is>
      </c>
      <c r="E139" t="inlineStr">
        <is>
          <t>HÄLLEFORS</t>
        </is>
      </c>
      <c r="G139" t="n">
        <v>13.4</v>
      </c>
      <c r="H139" t="n">
        <v>0</v>
      </c>
      <c r="I139" t="n">
        <v>0</v>
      </c>
      <c r="J139" t="n">
        <v>0</v>
      </c>
      <c r="K139" t="n">
        <v>0</v>
      </c>
      <c r="L139" t="n">
        <v>0</v>
      </c>
      <c r="M139" t="n">
        <v>0</v>
      </c>
      <c r="N139" t="n">
        <v>0</v>
      </c>
      <c r="O139" t="n">
        <v>0</v>
      </c>
      <c r="P139" t="n">
        <v>0</v>
      </c>
      <c r="Q139" t="n">
        <v>0</v>
      </c>
      <c r="R139" s="2" t="inlineStr"/>
    </row>
    <row r="140" ht="15" customHeight="1">
      <c r="A140" t="inlineStr">
        <is>
          <t>A 3643-2025</t>
        </is>
      </c>
      <c r="B140" s="1" t="n">
        <v>45681</v>
      </c>
      <c r="C140" s="1" t="n">
        <v>46102</v>
      </c>
      <c r="D140" t="inlineStr">
        <is>
          <t>ÖREBRO LÄN</t>
        </is>
      </c>
      <c r="E140" t="inlineStr">
        <is>
          <t>HÄLLEFORS</t>
        </is>
      </c>
      <c r="G140" t="n">
        <v>20.8</v>
      </c>
      <c r="H140" t="n">
        <v>0</v>
      </c>
      <c r="I140" t="n">
        <v>0</v>
      </c>
      <c r="J140" t="n">
        <v>0</v>
      </c>
      <c r="K140" t="n">
        <v>0</v>
      </c>
      <c r="L140" t="n">
        <v>0</v>
      </c>
      <c r="M140" t="n">
        <v>0</v>
      </c>
      <c r="N140" t="n">
        <v>0</v>
      </c>
      <c r="O140" t="n">
        <v>0</v>
      </c>
      <c r="P140" t="n">
        <v>0</v>
      </c>
      <c r="Q140" t="n">
        <v>0</v>
      </c>
      <c r="R140" s="2" t="inlineStr"/>
    </row>
    <row r="141" ht="15" customHeight="1">
      <c r="A141" t="inlineStr">
        <is>
          <t>A 12648-2025</t>
        </is>
      </c>
      <c r="B141" s="1" t="n">
        <v>45733.39797453704</v>
      </c>
      <c r="C141" s="1" t="n">
        <v>46102</v>
      </c>
      <c r="D141" t="inlineStr">
        <is>
          <t>ÖREBRO LÄN</t>
        </is>
      </c>
      <c r="E141" t="inlineStr">
        <is>
          <t>HÄLLEFORS</t>
        </is>
      </c>
      <c r="F141" t="inlineStr">
        <is>
          <t>Bergvik skog väst AB</t>
        </is>
      </c>
      <c r="G141" t="n">
        <v>5</v>
      </c>
      <c r="H141" t="n">
        <v>0</v>
      </c>
      <c r="I141" t="n">
        <v>0</v>
      </c>
      <c r="J141" t="n">
        <v>0</v>
      </c>
      <c r="K141" t="n">
        <v>0</v>
      </c>
      <c r="L141" t="n">
        <v>0</v>
      </c>
      <c r="M141" t="n">
        <v>0</v>
      </c>
      <c r="N141" t="n">
        <v>0</v>
      </c>
      <c r="O141" t="n">
        <v>0</v>
      </c>
      <c r="P141" t="n">
        <v>0</v>
      </c>
      <c r="Q141" t="n">
        <v>0</v>
      </c>
      <c r="R141" s="2" t="inlineStr"/>
    </row>
    <row r="142" ht="15" customHeight="1">
      <c r="A142" t="inlineStr">
        <is>
          <t>A 15073-2022</t>
        </is>
      </c>
      <c r="B142" s="1" t="n">
        <v>44657</v>
      </c>
      <c r="C142" s="1" t="n">
        <v>46102</v>
      </c>
      <c r="D142" t="inlineStr">
        <is>
          <t>ÖREBRO LÄN</t>
        </is>
      </c>
      <c r="E142" t="inlineStr">
        <is>
          <t>HÄLLEFORS</t>
        </is>
      </c>
      <c r="G142" t="n">
        <v>2.3</v>
      </c>
      <c r="H142" t="n">
        <v>0</v>
      </c>
      <c r="I142" t="n">
        <v>0</v>
      </c>
      <c r="J142" t="n">
        <v>0</v>
      </c>
      <c r="K142" t="n">
        <v>0</v>
      </c>
      <c r="L142" t="n">
        <v>0</v>
      </c>
      <c r="M142" t="n">
        <v>0</v>
      </c>
      <c r="N142" t="n">
        <v>0</v>
      </c>
      <c r="O142" t="n">
        <v>0</v>
      </c>
      <c r="P142" t="n">
        <v>0</v>
      </c>
      <c r="Q142" t="n">
        <v>0</v>
      </c>
      <c r="R142" s="2" t="inlineStr"/>
    </row>
    <row r="143" ht="15" customHeight="1">
      <c r="A143" t="inlineStr">
        <is>
          <t>A 35861-2024</t>
        </is>
      </c>
      <c r="B143" s="1" t="n">
        <v>45533.33751157407</v>
      </c>
      <c r="C143" s="1" t="n">
        <v>46102</v>
      </c>
      <c r="D143" t="inlineStr">
        <is>
          <t>ÖREBRO LÄN</t>
        </is>
      </c>
      <c r="E143" t="inlineStr">
        <is>
          <t>HÄLLEFORS</t>
        </is>
      </c>
      <c r="F143" t="inlineStr">
        <is>
          <t>Bergvik skog väst AB</t>
        </is>
      </c>
      <c r="G143" t="n">
        <v>25.9</v>
      </c>
      <c r="H143" t="n">
        <v>0</v>
      </c>
      <c r="I143" t="n">
        <v>0</v>
      </c>
      <c r="J143" t="n">
        <v>0</v>
      </c>
      <c r="K143" t="n">
        <v>0</v>
      </c>
      <c r="L143" t="n">
        <v>0</v>
      </c>
      <c r="M143" t="n">
        <v>0</v>
      </c>
      <c r="N143" t="n">
        <v>0</v>
      </c>
      <c r="O143" t="n">
        <v>0</v>
      </c>
      <c r="P143" t="n">
        <v>0</v>
      </c>
      <c r="Q143" t="n">
        <v>0</v>
      </c>
      <c r="R143" s="2" t="inlineStr"/>
    </row>
    <row r="144" ht="15" customHeight="1">
      <c r="A144" t="inlineStr">
        <is>
          <t>A 44122-2024</t>
        </is>
      </c>
      <c r="B144" s="1" t="n">
        <v>45572.6396875</v>
      </c>
      <c r="C144" s="1" t="n">
        <v>46102</v>
      </c>
      <c r="D144" t="inlineStr">
        <is>
          <t>ÖREBRO LÄN</t>
        </is>
      </c>
      <c r="E144" t="inlineStr">
        <is>
          <t>HÄLLEFORS</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54995-2024</t>
        </is>
      </c>
      <c r="B145" s="1" t="n">
        <v>45621.28127314815</v>
      </c>
      <c r="C145" s="1" t="n">
        <v>46102</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62501-2022</t>
        </is>
      </c>
      <c r="B146" s="1" t="n">
        <v>44924.593125</v>
      </c>
      <c r="C146" s="1" t="n">
        <v>46102</v>
      </c>
      <c r="D146" t="inlineStr">
        <is>
          <t>ÖREBRO LÄN</t>
        </is>
      </c>
      <c r="E146" t="inlineStr">
        <is>
          <t>HÄLLEFORS</t>
        </is>
      </c>
      <c r="G146" t="n">
        <v>3</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46102</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62846-2025</t>
        </is>
      </c>
      <c r="B148" s="1" t="n">
        <v>46008.69574074074</v>
      </c>
      <c r="C148" s="1" t="n">
        <v>46102</v>
      </c>
      <c r="D148" t="inlineStr">
        <is>
          <t>ÖREBRO LÄN</t>
        </is>
      </c>
      <c r="E148" t="inlineStr">
        <is>
          <t>HÄLLEFORS</t>
        </is>
      </c>
      <c r="G148" t="n">
        <v>0.2</v>
      </c>
      <c r="H148" t="n">
        <v>0</v>
      </c>
      <c r="I148" t="n">
        <v>0</v>
      </c>
      <c r="J148" t="n">
        <v>0</v>
      </c>
      <c r="K148" t="n">
        <v>0</v>
      </c>
      <c r="L148" t="n">
        <v>0</v>
      </c>
      <c r="M148" t="n">
        <v>0</v>
      </c>
      <c r="N148" t="n">
        <v>0</v>
      </c>
      <c r="O148" t="n">
        <v>0</v>
      </c>
      <c r="P148" t="n">
        <v>0</v>
      </c>
      <c r="Q148" t="n">
        <v>0</v>
      </c>
      <c r="R148" s="2" t="inlineStr"/>
    </row>
    <row r="149" ht="15" customHeight="1">
      <c r="A149" t="inlineStr">
        <is>
          <t>A 62857-2025</t>
        </is>
      </c>
      <c r="B149" s="1" t="n">
        <v>46008.74070601852</v>
      </c>
      <c r="C149" s="1" t="n">
        <v>46102</v>
      </c>
      <c r="D149" t="inlineStr">
        <is>
          <t>ÖREBRO LÄN</t>
        </is>
      </c>
      <c r="E149" t="inlineStr">
        <is>
          <t>HÄLLEFORS</t>
        </is>
      </c>
      <c r="F149" t="inlineStr">
        <is>
          <t>Bergvik skog väst AB</t>
        </is>
      </c>
      <c r="G149" t="n">
        <v>9.1</v>
      </c>
      <c r="H149" t="n">
        <v>0</v>
      </c>
      <c r="I149" t="n">
        <v>0</v>
      </c>
      <c r="J149" t="n">
        <v>0</v>
      </c>
      <c r="K149" t="n">
        <v>0</v>
      </c>
      <c r="L149" t="n">
        <v>0</v>
      </c>
      <c r="M149" t="n">
        <v>0</v>
      </c>
      <c r="N149" t="n">
        <v>0</v>
      </c>
      <c r="O149" t="n">
        <v>0</v>
      </c>
      <c r="P149" t="n">
        <v>0</v>
      </c>
      <c r="Q149" t="n">
        <v>0</v>
      </c>
      <c r="R149" s="2" t="inlineStr"/>
    </row>
    <row r="150" ht="15" customHeight="1">
      <c r="A150" t="inlineStr">
        <is>
          <t>A 62841-2025</t>
        </is>
      </c>
      <c r="B150" s="1" t="n">
        <v>46008.69076388889</v>
      </c>
      <c r="C150" s="1" t="n">
        <v>46102</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67843-2021</t>
        </is>
      </c>
      <c r="B151" s="1" t="n">
        <v>44525.47178240741</v>
      </c>
      <c r="C151" s="1" t="n">
        <v>46102</v>
      </c>
      <c r="D151" t="inlineStr">
        <is>
          <t>ÖREBRO LÄN</t>
        </is>
      </c>
      <c r="E151" t="inlineStr">
        <is>
          <t>HÄLLEFORS</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5237-2025</t>
        </is>
      </c>
      <c r="B152" s="1" t="n">
        <v>45692.30760416666</v>
      </c>
      <c r="C152" s="1" t="n">
        <v>46102</v>
      </c>
      <c r="D152" t="inlineStr">
        <is>
          <t>ÖREBRO LÄN</t>
        </is>
      </c>
      <c r="E152" t="inlineStr">
        <is>
          <t>HÄLLEFORS</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5042-2025</t>
        </is>
      </c>
      <c r="B153" s="1" t="n">
        <v>45691.43619212963</v>
      </c>
      <c r="C153" s="1" t="n">
        <v>46102</v>
      </c>
      <c r="D153" t="inlineStr">
        <is>
          <t>ÖREBRO LÄN</t>
        </is>
      </c>
      <c r="E153" t="inlineStr">
        <is>
          <t>HÄLLEFORS</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62848-2025</t>
        </is>
      </c>
      <c r="B154" s="1" t="n">
        <v>46008.6987037037</v>
      </c>
      <c r="C154" s="1" t="n">
        <v>46102</v>
      </c>
      <c r="D154" t="inlineStr">
        <is>
          <t>ÖREBRO LÄN</t>
        </is>
      </c>
      <c r="E154" t="inlineStr">
        <is>
          <t>HÄLLEFORS</t>
        </is>
      </c>
      <c r="G154" t="n">
        <v>0.2</v>
      </c>
      <c r="H154" t="n">
        <v>0</v>
      </c>
      <c r="I154" t="n">
        <v>0</v>
      </c>
      <c r="J154" t="n">
        <v>0</v>
      </c>
      <c r="K154" t="n">
        <v>0</v>
      </c>
      <c r="L154" t="n">
        <v>0</v>
      </c>
      <c r="M154" t="n">
        <v>0</v>
      </c>
      <c r="N154" t="n">
        <v>0</v>
      </c>
      <c r="O154" t="n">
        <v>0</v>
      </c>
      <c r="P154" t="n">
        <v>0</v>
      </c>
      <c r="Q154" t="n">
        <v>0</v>
      </c>
      <c r="R154" s="2" t="inlineStr"/>
    </row>
    <row r="155" ht="15" customHeight="1">
      <c r="A155" t="inlineStr">
        <is>
          <t>A 12511-2025</t>
        </is>
      </c>
      <c r="B155" s="1" t="n">
        <v>45730.6371412037</v>
      </c>
      <c r="C155" s="1" t="n">
        <v>46102</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16927-2025</t>
        </is>
      </c>
      <c r="B156" s="1" t="n">
        <v>45755.39212962963</v>
      </c>
      <c r="C156" s="1" t="n">
        <v>46102</v>
      </c>
      <c r="D156" t="inlineStr">
        <is>
          <t>ÖREBRO LÄN</t>
        </is>
      </c>
      <c r="E156" t="inlineStr">
        <is>
          <t>HÄLLEFORS</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17764-2023</t>
        </is>
      </c>
      <c r="B157" s="1" t="n">
        <v>45037.50085648148</v>
      </c>
      <c r="C157" s="1" t="n">
        <v>46102</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63614-2025</t>
        </is>
      </c>
      <c r="B158" s="1" t="n">
        <v>46014.34587962963</v>
      </c>
      <c r="C158" s="1" t="n">
        <v>46102</v>
      </c>
      <c r="D158" t="inlineStr">
        <is>
          <t>ÖREBRO LÄN</t>
        </is>
      </c>
      <c r="E158" t="inlineStr">
        <is>
          <t>HÄLLEFORS</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65054-2021</t>
        </is>
      </c>
      <c r="B159" s="1" t="n">
        <v>44515.35802083334</v>
      </c>
      <c r="C159" s="1" t="n">
        <v>46102</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45916-2025</t>
        </is>
      </c>
      <c r="B160" s="1" t="n">
        <v>45923.83761574074</v>
      </c>
      <c r="C160" s="1" t="n">
        <v>46102</v>
      </c>
      <c r="D160" t="inlineStr">
        <is>
          <t>ÖREBRO LÄN</t>
        </is>
      </c>
      <c r="E160" t="inlineStr">
        <is>
          <t>HÄLLEFORS</t>
        </is>
      </c>
      <c r="F160" t="inlineStr">
        <is>
          <t>Bergvik skog väst AB</t>
        </is>
      </c>
      <c r="G160" t="n">
        <v>2.6</v>
      </c>
      <c r="H160" t="n">
        <v>0</v>
      </c>
      <c r="I160" t="n">
        <v>0</v>
      </c>
      <c r="J160" t="n">
        <v>0</v>
      </c>
      <c r="K160" t="n">
        <v>0</v>
      </c>
      <c r="L160" t="n">
        <v>0</v>
      </c>
      <c r="M160" t="n">
        <v>0</v>
      </c>
      <c r="N160" t="n">
        <v>0</v>
      </c>
      <c r="O160" t="n">
        <v>0</v>
      </c>
      <c r="P160" t="n">
        <v>0</v>
      </c>
      <c r="Q160" t="n">
        <v>0</v>
      </c>
      <c r="R160" s="2" t="inlineStr"/>
    </row>
    <row r="161" ht="15" customHeight="1">
      <c r="A161" t="inlineStr">
        <is>
          <t>A 43941-2023</t>
        </is>
      </c>
      <c r="B161" s="1" t="n">
        <v>45187</v>
      </c>
      <c r="C161" s="1" t="n">
        <v>46102</v>
      </c>
      <c r="D161" t="inlineStr">
        <is>
          <t>ÖREBRO LÄN</t>
        </is>
      </c>
      <c r="E161" t="inlineStr">
        <is>
          <t>HÄLLEFORS</t>
        </is>
      </c>
      <c r="G161" t="n">
        <v>1.5</v>
      </c>
      <c r="H161" t="n">
        <v>0</v>
      </c>
      <c r="I161" t="n">
        <v>0</v>
      </c>
      <c r="J161" t="n">
        <v>0</v>
      </c>
      <c r="K161" t="n">
        <v>0</v>
      </c>
      <c r="L161" t="n">
        <v>0</v>
      </c>
      <c r="M161" t="n">
        <v>0</v>
      </c>
      <c r="N161" t="n">
        <v>0</v>
      </c>
      <c r="O161" t="n">
        <v>0</v>
      </c>
      <c r="P161" t="n">
        <v>0</v>
      </c>
      <c r="Q161" t="n">
        <v>0</v>
      </c>
      <c r="R161" s="2" t="inlineStr"/>
    </row>
    <row r="162" ht="15" customHeight="1">
      <c r="A162" t="inlineStr">
        <is>
          <t>A 8064-2026</t>
        </is>
      </c>
      <c r="B162" s="1" t="n">
        <v>46063.6312962963</v>
      </c>
      <c r="C162" s="1" t="n">
        <v>46102</v>
      </c>
      <c r="D162" t="inlineStr">
        <is>
          <t>ÖREBRO LÄN</t>
        </is>
      </c>
      <c r="E162" t="inlineStr">
        <is>
          <t>HÄLLEFORS</t>
        </is>
      </c>
      <c r="G162" t="n">
        <v>6</v>
      </c>
      <c r="H162" t="n">
        <v>0</v>
      </c>
      <c r="I162" t="n">
        <v>0</v>
      </c>
      <c r="J162" t="n">
        <v>0</v>
      </c>
      <c r="K162" t="n">
        <v>0</v>
      </c>
      <c r="L162" t="n">
        <v>0</v>
      </c>
      <c r="M162" t="n">
        <v>0</v>
      </c>
      <c r="N162" t="n">
        <v>0</v>
      </c>
      <c r="O162" t="n">
        <v>0</v>
      </c>
      <c r="P162" t="n">
        <v>0</v>
      </c>
      <c r="Q162" t="n">
        <v>0</v>
      </c>
      <c r="R162" s="2" t="inlineStr"/>
    </row>
    <row r="163" ht="15" customHeight="1">
      <c r="A163" t="inlineStr">
        <is>
          <t>A 8099-2026</t>
        </is>
      </c>
      <c r="B163" s="1" t="n">
        <v>46063.7159837963</v>
      </c>
      <c r="C163" s="1" t="n">
        <v>46102</v>
      </c>
      <c r="D163" t="inlineStr">
        <is>
          <t>ÖREBRO LÄN</t>
        </is>
      </c>
      <c r="E163" t="inlineStr">
        <is>
          <t>HÄLLEFORS</t>
        </is>
      </c>
      <c r="G163" t="n">
        <v>1.6</v>
      </c>
      <c r="H163" t="n">
        <v>0</v>
      </c>
      <c r="I163" t="n">
        <v>0</v>
      </c>
      <c r="J163" t="n">
        <v>0</v>
      </c>
      <c r="K163" t="n">
        <v>0</v>
      </c>
      <c r="L163" t="n">
        <v>0</v>
      </c>
      <c r="M163" t="n">
        <v>0</v>
      </c>
      <c r="N163" t="n">
        <v>0</v>
      </c>
      <c r="O163" t="n">
        <v>0</v>
      </c>
      <c r="P163" t="n">
        <v>0</v>
      </c>
      <c r="Q163" t="n">
        <v>0</v>
      </c>
      <c r="R163" s="2" t="inlineStr"/>
    </row>
    <row r="164" ht="15" customHeight="1">
      <c r="A164" t="inlineStr">
        <is>
          <t>A 8095-2026</t>
        </is>
      </c>
      <c r="B164" s="1" t="n">
        <v>46063.71302083333</v>
      </c>
      <c r="C164" s="1" t="n">
        <v>46102</v>
      </c>
      <c r="D164" t="inlineStr">
        <is>
          <t>ÖREBRO LÄN</t>
        </is>
      </c>
      <c r="E164" t="inlineStr">
        <is>
          <t>HÄLLEFORS</t>
        </is>
      </c>
      <c r="G164" t="n">
        <v>2.7</v>
      </c>
      <c r="H164" t="n">
        <v>0</v>
      </c>
      <c r="I164" t="n">
        <v>0</v>
      </c>
      <c r="J164" t="n">
        <v>0</v>
      </c>
      <c r="K164" t="n">
        <v>0</v>
      </c>
      <c r="L164" t="n">
        <v>0</v>
      </c>
      <c r="M164" t="n">
        <v>0</v>
      </c>
      <c r="N164" t="n">
        <v>0</v>
      </c>
      <c r="O164" t="n">
        <v>0</v>
      </c>
      <c r="P164" t="n">
        <v>0</v>
      </c>
      <c r="Q164" t="n">
        <v>0</v>
      </c>
      <c r="R164" s="2" t="inlineStr"/>
    </row>
    <row r="165" ht="15" customHeight="1">
      <c r="A165" t="inlineStr">
        <is>
          <t>A 50754-2023</t>
        </is>
      </c>
      <c r="B165" s="1" t="n">
        <v>45217</v>
      </c>
      <c r="C165" s="1" t="n">
        <v>46102</v>
      </c>
      <c r="D165" t="inlineStr">
        <is>
          <t>ÖREBRO LÄN</t>
        </is>
      </c>
      <c r="E165" t="inlineStr">
        <is>
          <t>HÄLLEFORS</t>
        </is>
      </c>
      <c r="F165" t="inlineStr">
        <is>
          <t>Bergvik skog väst AB</t>
        </is>
      </c>
      <c r="G165" t="n">
        <v>5.8</v>
      </c>
      <c r="H165" t="n">
        <v>0</v>
      </c>
      <c r="I165" t="n">
        <v>0</v>
      </c>
      <c r="J165" t="n">
        <v>0</v>
      </c>
      <c r="K165" t="n">
        <v>0</v>
      </c>
      <c r="L165" t="n">
        <v>0</v>
      </c>
      <c r="M165" t="n">
        <v>0</v>
      </c>
      <c r="N165" t="n">
        <v>0</v>
      </c>
      <c r="O165" t="n">
        <v>0</v>
      </c>
      <c r="P165" t="n">
        <v>0</v>
      </c>
      <c r="Q165" t="n">
        <v>0</v>
      </c>
      <c r="R165" s="2" t="inlineStr"/>
    </row>
    <row r="166" ht="15" customHeight="1">
      <c r="A166" t="inlineStr">
        <is>
          <t>A 42918-2024</t>
        </is>
      </c>
      <c r="B166" s="1" t="n">
        <v>45567.27908564815</v>
      </c>
      <c r="C166" s="1" t="n">
        <v>46102</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38429-2023</t>
        </is>
      </c>
      <c r="B167" s="1" t="n">
        <v>45162</v>
      </c>
      <c r="C167" s="1" t="n">
        <v>46102</v>
      </c>
      <c r="D167" t="inlineStr">
        <is>
          <t>ÖREBRO LÄN</t>
        </is>
      </c>
      <c r="E167" t="inlineStr">
        <is>
          <t>HÄLLEFORS</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46102</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50714-2022</t>
        </is>
      </c>
      <c r="B169" s="1" t="n">
        <v>44867.35501157407</v>
      </c>
      <c r="C169" s="1" t="n">
        <v>46102</v>
      </c>
      <c r="D169" t="inlineStr">
        <is>
          <t>ÖREBRO LÄN</t>
        </is>
      </c>
      <c r="E169" t="inlineStr">
        <is>
          <t>HÄLLEFORS</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42863-2022</t>
        </is>
      </c>
      <c r="B170" s="1" t="n">
        <v>44832.73646990741</v>
      </c>
      <c r="C170" s="1" t="n">
        <v>46102</v>
      </c>
      <c r="D170" t="inlineStr">
        <is>
          <t>ÖREBRO LÄN</t>
        </is>
      </c>
      <c r="E170" t="inlineStr">
        <is>
          <t>HÄLLEFORS</t>
        </is>
      </c>
      <c r="G170" t="n">
        <v>7.2</v>
      </c>
      <c r="H170" t="n">
        <v>0</v>
      </c>
      <c r="I170" t="n">
        <v>0</v>
      </c>
      <c r="J170" t="n">
        <v>0</v>
      </c>
      <c r="K170" t="n">
        <v>0</v>
      </c>
      <c r="L170" t="n">
        <v>0</v>
      </c>
      <c r="M170" t="n">
        <v>0</v>
      </c>
      <c r="N170" t="n">
        <v>0</v>
      </c>
      <c r="O170" t="n">
        <v>0</v>
      </c>
      <c r="P170" t="n">
        <v>0</v>
      </c>
      <c r="Q170" t="n">
        <v>0</v>
      </c>
      <c r="R170" s="2" t="inlineStr"/>
    </row>
    <row r="171" ht="15" customHeight="1">
      <c r="A171" t="inlineStr">
        <is>
          <t>A 32-2026</t>
        </is>
      </c>
      <c r="B171" s="1" t="n">
        <v>46024.36721064815</v>
      </c>
      <c r="C171" s="1" t="n">
        <v>46102</v>
      </c>
      <c r="D171" t="inlineStr">
        <is>
          <t>ÖREBRO LÄN</t>
        </is>
      </c>
      <c r="E171" t="inlineStr">
        <is>
          <t>HÄLLEFORS</t>
        </is>
      </c>
      <c r="F171" t="inlineStr">
        <is>
          <t>Bergvik skog väst AB</t>
        </is>
      </c>
      <c r="G171" t="n">
        <v>5.1</v>
      </c>
      <c r="H171" t="n">
        <v>0</v>
      </c>
      <c r="I171" t="n">
        <v>0</v>
      </c>
      <c r="J171" t="n">
        <v>0</v>
      </c>
      <c r="K171" t="n">
        <v>0</v>
      </c>
      <c r="L171" t="n">
        <v>0</v>
      </c>
      <c r="M171" t="n">
        <v>0</v>
      </c>
      <c r="N171" t="n">
        <v>0</v>
      </c>
      <c r="O171" t="n">
        <v>0</v>
      </c>
      <c r="P171" t="n">
        <v>0</v>
      </c>
      <c r="Q171" t="n">
        <v>0</v>
      </c>
      <c r="R171" s="2" t="inlineStr"/>
    </row>
    <row r="172" ht="15" customHeight="1">
      <c r="A172" t="inlineStr">
        <is>
          <t>A 44693-2025</t>
        </is>
      </c>
      <c r="B172" s="1" t="n">
        <v>45917</v>
      </c>
      <c r="C172" s="1" t="n">
        <v>46102</v>
      </c>
      <c r="D172" t="inlineStr">
        <is>
          <t>ÖREBRO LÄN</t>
        </is>
      </c>
      <c r="E172" t="inlineStr">
        <is>
          <t>HÄLLEFORS</t>
        </is>
      </c>
      <c r="G172" t="n">
        <v>10.3</v>
      </c>
      <c r="H172" t="n">
        <v>0</v>
      </c>
      <c r="I172" t="n">
        <v>0</v>
      </c>
      <c r="J172" t="n">
        <v>0</v>
      </c>
      <c r="K172" t="n">
        <v>0</v>
      </c>
      <c r="L172" t="n">
        <v>0</v>
      </c>
      <c r="M172" t="n">
        <v>0</v>
      </c>
      <c r="N172" t="n">
        <v>0</v>
      </c>
      <c r="O172" t="n">
        <v>0</v>
      </c>
      <c r="P172" t="n">
        <v>0</v>
      </c>
      <c r="Q172" t="n">
        <v>0</v>
      </c>
      <c r="R172" s="2" t="inlineStr"/>
    </row>
    <row r="173" ht="15" customHeight="1">
      <c r="A173" t="inlineStr">
        <is>
          <t>A 4353-2023</t>
        </is>
      </c>
      <c r="B173" s="1" t="n">
        <v>44954.27407407408</v>
      </c>
      <c r="C173" s="1" t="n">
        <v>46102</v>
      </c>
      <c r="D173" t="inlineStr">
        <is>
          <t>ÖREBRO LÄN</t>
        </is>
      </c>
      <c r="E173" t="inlineStr">
        <is>
          <t>HÄLLEFORS</t>
        </is>
      </c>
      <c r="G173" t="n">
        <v>0.5</v>
      </c>
      <c r="H173" t="n">
        <v>0</v>
      </c>
      <c r="I173" t="n">
        <v>0</v>
      </c>
      <c r="J173" t="n">
        <v>0</v>
      </c>
      <c r="K173" t="n">
        <v>0</v>
      </c>
      <c r="L173" t="n">
        <v>0</v>
      </c>
      <c r="M173" t="n">
        <v>0</v>
      </c>
      <c r="N173" t="n">
        <v>0</v>
      </c>
      <c r="O173" t="n">
        <v>0</v>
      </c>
      <c r="P173" t="n">
        <v>0</v>
      </c>
      <c r="Q173" t="n">
        <v>0</v>
      </c>
      <c r="R173" s="2" t="inlineStr"/>
    </row>
    <row r="174" ht="15" customHeight="1">
      <c r="A174" t="inlineStr">
        <is>
          <t>A 30282-2023</t>
        </is>
      </c>
      <c r="B174" s="1" t="n">
        <v>45110.90550925926</v>
      </c>
      <c r="C174" s="1" t="n">
        <v>46102</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47847-2025</t>
        </is>
      </c>
      <c r="B175" s="1" t="n">
        <v>45932.38244212963</v>
      </c>
      <c r="C175" s="1" t="n">
        <v>46102</v>
      </c>
      <c r="D175" t="inlineStr">
        <is>
          <t>ÖREBRO LÄN</t>
        </is>
      </c>
      <c r="E175" t="inlineStr">
        <is>
          <t>HÄLLEFORS</t>
        </is>
      </c>
      <c r="F175" t="inlineStr">
        <is>
          <t>Bergvik skog väst AB</t>
        </is>
      </c>
      <c r="G175" t="n">
        <v>11.5</v>
      </c>
      <c r="H175" t="n">
        <v>0</v>
      </c>
      <c r="I175" t="n">
        <v>0</v>
      </c>
      <c r="J175" t="n">
        <v>0</v>
      </c>
      <c r="K175" t="n">
        <v>0</v>
      </c>
      <c r="L175" t="n">
        <v>0</v>
      </c>
      <c r="M175" t="n">
        <v>0</v>
      </c>
      <c r="N175" t="n">
        <v>0</v>
      </c>
      <c r="O175" t="n">
        <v>0</v>
      </c>
      <c r="P175" t="n">
        <v>0</v>
      </c>
      <c r="Q175" t="n">
        <v>0</v>
      </c>
      <c r="R175" s="2" t="inlineStr"/>
    </row>
    <row r="176" ht="15" customHeight="1">
      <c r="A176" t="inlineStr">
        <is>
          <t>A 47862-2025</t>
        </is>
      </c>
      <c r="B176" s="1" t="n">
        <v>45932.42637731481</v>
      </c>
      <c r="C176" s="1" t="n">
        <v>46102</v>
      </c>
      <c r="D176" t="inlineStr">
        <is>
          <t>ÖREBRO LÄN</t>
        </is>
      </c>
      <c r="E176" t="inlineStr">
        <is>
          <t>HÄLLEFORS</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47854-2025</t>
        </is>
      </c>
      <c r="B177" s="1" t="n">
        <v>45932.39532407407</v>
      </c>
      <c r="C177" s="1" t="n">
        <v>46102</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16135-2025</t>
        </is>
      </c>
      <c r="B178" s="1" t="n">
        <v>45750.44355324074</v>
      </c>
      <c r="C178" s="1" t="n">
        <v>46102</v>
      </c>
      <c r="D178" t="inlineStr">
        <is>
          <t>ÖREBRO LÄN</t>
        </is>
      </c>
      <c r="E178" t="inlineStr">
        <is>
          <t>HÄLLEFORS</t>
        </is>
      </c>
      <c r="F178" t="inlineStr">
        <is>
          <t>Kyrkan</t>
        </is>
      </c>
      <c r="G178" t="n">
        <v>4.6</v>
      </c>
      <c r="H178" t="n">
        <v>0</v>
      </c>
      <c r="I178" t="n">
        <v>0</v>
      </c>
      <c r="J178" t="n">
        <v>0</v>
      </c>
      <c r="K178" t="n">
        <v>0</v>
      </c>
      <c r="L178" t="n">
        <v>0</v>
      </c>
      <c r="M178" t="n">
        <v>0</v>
      </c>
      <c r="N178" t="n">
        <v>0</v>
      </c>
      <c r="O178" t="n">
        <v>0</v>
      </c>
      <c r="P178" t="n">
        <v>0</v>
      </c>
      <c r="Q178" t="n">
        <v>0</v>
      </c>
      <c r="R178" s="2" t="inlineStr"/>
    </row>
    <row r="179" ht="15" customHeight="1">
      <c r="A179" t="inlineStr">
        <is>
          <t>A 47852-2025</t>
        </is>
      </c>
      <c r="B179" s="1" t="n">
        <v>45932.38914351852</v>
      </c>
      <c r="C179" s="1" t="n">
        <v>46102</v>
      </c>
      <c r="D179" t="inlineStr">
        <is>
          <t>ÖREBRO LÄN</t>
        </is>
      </c>
      <c r="E179" t="inlineStr">
        <is>
          <t>HÄLLEFORS</t>
        </is>
      </c>
      <c r="F179" t="inlineStr">
        <is>
          <t>Bergvik skog väst AB</t>
        </is>
      </c>
      <c r="G179" t="n">
        <v>12.9</v>
      </c>
      <c r="H179" t="n">
        <v>0</v>
      </c>
      <c r="I179" t="n">
        <v>0</v>
      </c>
      <c r="J179" t="n">
        <v>0</v>
      </c>
      <c r="K179" t="n">
        <v>0</v>
      </c>
      <c r="L179" t="n">
        <v>0</v>
      </c>
      <c r="M179" t="n">
        <v>0</v>
      </c>
      <c r="N179" t="n">
        <v>0</v>
      </c>
      <c r="O179" t="n">
        <v>0</v>
      </c>
      <c r="P179" t="n">
        <v>0</v>
      </c>
      <c r="Q179" t="n">
        <v>0</v>
      </c>
      <c r="R179" s="2" t="inlineStr"/>
    </row>
    <row r="180" ht="15" customHeight="1">
      <c r="A180" t="inlineStr">
        <is>
          <t>A 47856-2025</t>
        </is>
      </c>
      <c r="B180" s="1" t="n">
        <v>45932.40252314815</v>
      </c>
      <c r="C180" s="1" t="n">
        <v>46102</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16999-2024</t>
        </is>
      </c>
      <c r="B181" s="1" t="n">
        <v>45412.35543981481</v>
      </c>
      <c r="C181" s="1" t="n">
        <v>46102</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59955-2024</t>
        </is>
      </c>
      <c r="B182" s="1" t="n">
        <v>45642.34987268518</v>
      </c>
      <c r="C182" s="1" t="n">
        <v>46102</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39327-2022</t>
        </is>
      </c>
      <c r="B183" s="1" t="n">
        <v>44817</v>
      </c>
      <c r="C183" s="1" t="n">
        <v>46102</v>
      </c>
      <c r="D183" t="inlineStr">
        <is>
          <t>ÖREBRO LÄN</t>
        </is>
      </c>
      <c r="E183" t="inlineStr">
        <is>
          <t>HÄLLEFORS</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48961-2025</t>
        </is>
      </c>
      <c r="B184" s="1" t="n">
        <v>45936</v>
      </c>
      <c r="C184" s="1" t="n">
        <v>46102</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9518-2023</t>
        </is>
      </c>
      <c r="B185" s="1" t="n">
        <v>44981</v>
      </c>
      <c r="C185" s="1" t="n">
        <v>46102</v>
      </c>
      <c r="D185" t="inlineStr">
        <is>
          <t>ÖREBRO LÄN</t>
        </is>
      </c>
      <c r="E185" t="inlineStr">
        <is>
          <t>HÄLLEFORS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48765-2025</t>
        </is>
      </c>
      <c r="B186" s="1" t="n">
        <v>45936.85859953704</v>
      </c>
      <c r="C186" s="1" t="n">
        <v>46102</v>
      </c>
      <c r="D186" t="inlineStr">
        <is>
          <t>ÖREBRO LÄN</t>
        </is>
      </c>
      <c r="E186" t="inlineStr">
        <is>
          <t>HÄLLEFORS</t>
        </is>
      </c>
      <c r="F186" t="inlineStr">
        <is>
          <t>Bergvik skog väst AB</t>
        </is>
      </c>
      <c r="G186" t="n">
        <v>17.6</v>
      </c>
      <c r="H186" t="n">
        <v>0</v>
      </c>
      <c r="I186" t="n">
        <v>0</v>
      </c>
      <c r="J186" t="n">
        <v>0</v>
      </c>
      <c r="K186" t="n">
        <v>0</v>
      </c>
      <c r="L186" t="n">
        <v>0</v>
      </c>
      <c r="M186" t="n">
        <v>0</v>
      </c>
      <c r="N186" t="n">
        <v>0</v>
      </c>
      <c r="O186" t="n">
        <v>0</v>
      </c>
      <c r="P186" t="n">
        <v>0</v>
      </c>
      <c r="Q186" t="n">
        <v>0</v>
      </c>
      <c r="R186" s="2" t="inlineStr"/>
    </row>
    <row r="187" ht="15" customHeight="1">
      <c r="A187" t="inlineStr">
        <is>
          <t>A 18889-2024</t>
        </is>
      </c>
      <c r="B187" s="1" t="n">
        <v>45427.26467592592</v>
      </c>
      <c r="C187" s="1" t="n">
        <v>46102</v>
      </c>
      <c r="D187" t="inlineStr">
        <is>
          <t>ÖREBRO LÄN</t>
        </is>
      </c>
      <c r="E187" t="inlineStr">
        <is>
          <t>HÄLLEFORS</t>
        </is>
      </c>
      <c r="G187" t="n">
        <v>8.5</v>
      </c>
      <c r="H187" t="n">
        <v>0</v>
      </c>
      <c r="I187" t="n">
        <v>0</v>
      </c>
      <c r="J187" t="n">
        <v>0</v>
      </c>
      <c r="K187" t="n">
        <v>0</v>
      </c>
      <c r="L187" t="n">
        <v>0</v>
      </c>
      <c r="M187" t="n">
        <v>0</v>
      </c>
      <c r="N187" t="n">
        <v>0</v>
      </c>
      <c r="O187" t="n">
        <v>0</v>
      </c>
      <c r="P187" t="n">
        <v>0</v>
      </c>
      <c r="Q187" t="n">
        <v>0</v>
      </c>
      <c r="R187" s="2" t="inlineStr"/>
    </row>
    <row r="188" ht="15" customHeight="1">
      <c r="A188" t="inlineStr">
        <is>
          <t>A 9537-2025</t>
        </is>
      </c>
      <c r="B188" s="1" t="n">
        <v>45715.57903935185</v>
      </c>
      <c r="C188" s="1" t="n">
        <v>46102</v>
      </c>
      <c r="D188" t="inlineStr">
        <is>
          <t>ÖREBRO LÄN</t>
        </is>
      </c>
      <c r="E188" t="inlineStr">
        <is>
          <t>HÄLLEFORS</t>
        </is>
      </c>
      <c r="G188" t="n">
        <v>2.7</v>
      </c>
      <c r="H188" t="n">
        <v>0</v>
      </c>
      <c r="I188" t="n">
        <v>0</v>
      </c>
      <c r="J188" t="n">
        <v>0</v>
      </c>
      <c r="K188" t="n">
        <v>0</v>
      </c>
      <c r="L188" t="n">
        <v>0</v>
      </c>
      <c r="M188" t="n">
        <v>0</v>
      </c>
      <c r="N188" t="n">
        <v>0</v>
      </c>
      <c r="O188" t="n">
        <v>0</v>
      </c>
      <c r="P188" t="n">
        <v>0</v>
      </c>
      <c r="Q188" t="n">
        <v>0</v>
      </c>
      <c r="R188" s="2" t="inlineStr"/>
    </row>
    <row r="189" ht="15" customHeight="1">
      <c r="A189" t="inlineStr">
        <is>
          <t>A 20128-2024</t>
        </is>
      </c>
      <c r="B189" s="1" t="n">
        <v>45434.5571412037</v>
      </c>
      <c r="C189" s="1" t="n">
        <v>46102</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15771-2022</t>
        </is>
      </c>
      <c r="B190" s="1" t="n">
        <v>44663.63033564815</v>
      </c>
      <c r="C190" s="1" t="n">
        <v>46102</v>
      </c>
      <c r="D190" t="inlineStr">
        <is>
          <t>ÖREBRO LÄN</t>
        </is>
      </c>
      <c r="E190" t="inlineStr">
        <is>
          <t>HÄLLEFORS</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1806-2026</t>
        </is>
      </c>
      <c r="B191" s="1" t="n">
        <v>46035.33097222223</v>
      </c>
      <c r="C191" s="1" t="n">
        <v>46102</v>
      </c>
      <c r="D191" t="inlineStr">
        <is>
          <t>ÖREBRO LÄN</t>
        </is>
      </c>
      <c r="E191" t="inlineStr">
        <is>
          <t>HÄLLEFORS</t>
        </is>
      </c>
      <c r="F191" t="inlineStr">
        <is>
          <t>Bergvik skog väst AB</t>
        </is>
      </c>
      <c r="G191" t="n">
        <v>20.3</v>
      </c>
      <c r="H191" t="n">
        <v>0</v>
      </c>
      <c r="I191" t="n">
        <v>0</v>
      </c>
      <c r="J191" t="n">
        <v>0</v>
      </c>
      <c r="K191" t="n">
        <v>0</v>
      </c>
      <c r="L191" t="n">
        <v>0</v>
      </c>
      <c r="M191" t="n">
        <v>0</v>
      </c>
      <c r="N191" t="n">
        <v>0</v>
      </c>
      <c r="O191" t="n">
        <v>0</v>
      </c>
      <c r="P191" t="n">
        <v>0</v>
      </c>
      <c r="Q191" t="n">
        <v>0</v>
      </c>
      <c r="R191" s="2" t="inlineStr"/>
    </row>
    <row r="192" ht="15" customHeight="1">
      <c r="A192" t="inlineStr">
        <is>
          <t>A 58768-2024</t>
        </is>
      </c>
      <c r="B192" s="1" t="n">
        <v>45635</v>
      </c>
      <c r="C192" s="1" t="n">
        <v>46102</v>
      </c>
      <c r="D192" t="inlineStr">
        <is>
          <t>ÖREBRO LÄN</t>
        </is>
      </c>
      <c r="E192" t="inlineStr">
        <is>
          <t>HÄLLEFORS</t>
        </is>
      </c>
      <c r="G192" t="n">
        <v>0.9</v>
      </c>
      <c r="H192" t="n">
        <v>0</v>
      </c>
      <c r="I192" t="n">
        <v>0</v>
      </c>
      <c r="J192" t="n">
        <v>0</v>
      </c>
      <c r="K192" t="n">
        <v>0</v>
      </c>
      <c r="L192" t="n">
        <v>0</v>
      </c>
      <c r="M192" t="n">
        <v>0</v>
      </c>
      <c r="N192" t="n">
        <v>0</v>
      </c>
      <c r="O192" t="n">
        <v>0</v>
      </c>
      <c r="P192" t="n">
        <v>0</v>
      </c>
      <c r="Q192" t="n">
        <v>0</v>
      </c>
      <c r="R192" s="2" t="inlineStr"/>
    </row>
    <row r="193" ht="15" customHeight="1">
      <c r="A193" t="inlineStr">
        <is>
          <t>A 50881-2025</t>
        </is>
      </c>
      <c r="B193" s="1" t="n">
        <v>45946.62914351852</v>
      </c>
      <c r="C193" s="1" t="n">
        <v>46102</v>
      </c>
      <c r="D193" t="inlineStr">
        <is>
          <t>ÖREBRO LÄN</t>
        </is>
      </c>
      <c r="E193" t="inlineStr">
        <is>
          <t>HÄLLEFORS</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50794-2025</t>
        </is>
      </c>
      <c r="B194" s="1" t="n">
        <v>45946.47722222222</v>
      </c>
      <c r="C194" s="1" t="n">
        <v>46102</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51159-2023</t>
        </is>
      </c>
      <c r="B195" s="1" t="n">
        <v>45219.37791666666</v>
      </c>
      <c r="C195" s="1" t="n">
        <v>46102</v>
      </c>
      <c r="D195" t="inlineStr">
        <is>
          <t>ÖREBRO LÄN</t>
        </is>
      </c>
      <c r="E195" t="inlineStr">
        <is>
          <t>HÄLLEFORS</t>
        </is>
      </c>
      <c r="G195" t="n">
        <v>0.4</v>
      </c>
      <c r="H195" t="n">
        <v>0</v>
      </c>
      <c r="I195" t="n">
        <v>0</v>
      </c>
      <c r="J195" t="n">
        <v>0</v>
      </c>
      <c r="K195" t="n">
        <v>0</v>
      </c>
      <c r="L195" t="n">
        <v>0</v>
      </c>
      <c r="M195" t="n">
        <v>0</v>
      </c>
      <c r="N195" t="n">
        <v>0</v>
      </c>
      <c r="O195" t="n">
        <v>0</v>
      </c>
      <c r="P195" t="n">
        <v>0</v>
      </c>
      <c r="Q195" t="n">
        <v>0</v>
      </c>
      <c r="R195" s="2" t="inlineStr"/>
    </row>
    <row r="196" ht="15" customHeight="1">
      <c r="A196" t="inlineStr">
        <is>
          <t>A 50798-2025</t>
        </is>
      </c>
      <c r="B196" s="1" t="n">
        <v>45946.48537037037</v>
      </c>
      <c r="C196" s="1" t="n">
        <v>46102</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39513-2024</t>
        </is>
      </c>
      <c r="B197" s="1" t="n">
        <v>45551</v>
      </c>
      <c r="C197" s="1" t="n">
        <v>46102</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1018-2025</t>
        </is>
      </c>
      <c r="B198" s="1" t="n">
        <v>45666.49185185185</v>
      </c>
      <c r="C198" s="1" t="n">
        <v>46102</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62265-2022</t>
        </is>
      </c>
      <c r="B199" s="1" t="n">
        <v>44923</v>
      </c>
      <c r="C199" s="1" t="n">
        <v>46102</v>
      </c>
      <c r="D199" t="inlineStr">
        <is>
          <t>ÖREBRO LÄN</t>
        </is>
      </c>
      <c r="E199" t="inlineStr">
        <is>
          <t>HÄLLEFORS</t>
        </is>
      </c>
      <c r="G199" t="n">
        <v>0.6</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46102</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12082-2025</t>
        </is>
      </c>
      <c r="B201" s="1" t="n">
        <v>45728</v>
      </c>
      <c r="C201" s="1" t="n">
        <v>46102</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11178-2026</t>
        </is>
      </c>
      <c r="B202" s="1" t="n">
        <v>46080.39054398148</v>
      </c>
      <c r="C202" s="1" t="n">
        <v>46102</v>
      </c>
      <c r="D202" t="inlineStr">
        <is>
          <t>ÖREBRO LÄN</t>
        </is>
      </c>
      <c r="E202" t="inlineStr">
        <is>
          <t>HÄLLEFORS</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60518-2021</t>
        </is>
      </c>
      <c r="B203" s="1" t="n">
        <v>44496.5028125</v>
      </c>
      <c r="C203" s="1" t="n">
        <v>46102</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21901-2023</t>
        </is>
      </c>
      <c r="B204" s="1" t="n">
        <v>45068.53265046296</v>
      </c>
      <c r="C204" s="1" t="n">
        <v>46102</v>
      </c>
      <c r="D204" t="inlineStr">
        <is>
          <t>ÖREBRO LÄN</t>
        </is>
      </c>
      <c r="E204" t="inlineStr">
        <is>
          <t>HÄLLEFORS</t>
        </is>
      </c>
      <c r="G204" t="n">
        <v>1.3</v>
      </c>
      <c r="H204" t="n">
        <v>0</v>
      </c>
      <c r="I204" t="n">
        <v>0</v>
      </c>
      <c r="J204" t="n">
        <v>0</v>
      </c>
      <c r="K204" t="n">
        <v>0</v>
      </c>
      <c r="L204" t="n">
        <v>0</v>
      </c>
      <c r="M204" t="n">
        <v>0</v>
      </c>
      <c r="N204" t="n">
        <v>0</v>
      </c>
      <c r="O204" t="n">
        <v>0</v>
      </c>
      <c r="P204" t="n">
        <v>0</v>
      </c>
      <c r="Q204" t="n">
        <v>0</v>
      </c>
      <c r="R204" s="2" t="inlineStr"/>
    </row>
    <row r="205" ht="15" customHeight="1">
      <c r="A205" t="inlineStr">
        <is>
          <t>A 29027-2024</t>
        </is>
      </c>
      <c r="B205" s="1" t="n">
        <v>45481.58833333333</v>
      </c>
      <c r="C205" s="1" t="n">
        <v>46102</v>
      </c>
      <c r="D205" t="inlineStr">
        <is>
          <t>ÖREBRO LÄN</t>
        </is>
      </c>
      <c r="E205" t="inlineStr">
        <is>
          <t>HÄLLEFORS</t>
        </is>
      </c>
      <c r="G205" t="n">
        <v>1.5</v>
      </c>
      <c r="H205" t="n">
        <v>0</v>
      </c>
      <c r="I205" t="n">
        <v>0</v>
      </c>
      <c r="J205" t="n">
        <v>0</v>
      </c>
      <c r="K205" t="n">
        <v>0</v>
      </c>
      <c r="L205" t="n">
        <v>0</v>
      </c>
      <c r="M205" t="n">
        <v>0</v>
      </c>
      <c r="N205" t="n">
        <v>0</v>
      </c>
      <c r="O205" t="n">
        <v>0</v>
      </c>
      <c r="P205" t="n">
        <v>0</v>
      </c>
      <c r="Q205" t="n">
        <v>0</v>
      </c>
      <c r="R205" s="2" t="inlineStr"/>
    </row>
    <row r="206" ht="15" customHeight="1">
      <c r="A206" t="inlineStr">
        <is>
          <t>A 52449-2025</t>
        </is>
      </c>
      <c r="B206" s="1" t="n">
        <v>45954.41862268518</v>
      </c>
      <c r="C206" s="1" t="n">
        <v>46102</v>
      </c>
      <c r="D206" t="inlineStr">
        <is>
          <t>ÖREBRO LÄN</t>
        </is>
      </c>
      <c r="E206" t="inlineStr">
        <is>
          <t>HÄLLEFORS</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52453-2025</t>
        </is>
      </c>
      <c r="B207" s="1" t="n">
        <v>45954.42596064815</v>
      </c>
      <c r="C207" s="1" t="n">
        <v>46102</v>
      </c>
      <c r="D207" t="inlineStr">
        <is>
          <t>ÖREBRO LÄN</t>
        </is>
      </c>
      <c r="E207" t="inlineStr">
        <is>
          <t>HÄLLEFORS</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5684-2025</t>
        </is>
      </c>
      <c r="B208" s="1" t="n">
        <v>45694</v>
      </c>
      <c r="C208" s="1" t="n">
        <v>46102</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9539-2025</t>
        </is>
      </c>
      <c r="B209" s="1" t="n">
        <v>45715.57984953704</v>
      </c>
      <c r="C209" s="1" t="n">
        <v>46102</v>
      </c>
      <c r="D209" t="inlineStr">
        <is>
          <t>ÖREBRO LÄN</t>
        </is>
      </c>
      <c r="E209" t="inlineStr">
        <is>
          <t>HÄLLEFORS</t>
        </is>
      </c>
      <c r="G209" t="n">
        <v>1.4</v>
      </c>
      <c r="H209" t="n">
        <v>0</v>
      </c>
      <c r="I209" t="n">
        <v>0</v>
      </c>
      <c r="J209" t="n">
        <v>0</v>
      </c>
      <c r="K209" t="n">
        <v>0</v>
      </c>
      <c r="L209" t="n">
        <v>0</v>
      </c>
      <c r="M209" t="n">
        <v>0</v>
      </c>
      <c r="N209" t="n">
        <v>0</v>
      </c>
      <c r="O209" t="n">
        <v>0</v>
      </c>
      <c r="P209" t="n">
        <v>0</v>
      </c>
      <c r="Q209" t="n">
        <v>0</v>
      </c>
      <c r="R209" s="2" t="inlineStr"/>
    </row>
    <row r="210" ht="15" customHeight="1">
      <c r="A210" t="inlineStr">
        <is>
          <t>A 3837-2026</t>
        </is>
      </c>
      <c r="B210" s="1" t="n">
        <v>46043.59318287037</v>
      </c>
      <c r="C210" s="1" t="n">
        <v>46102</v>
      </c>
      <c r="D210" t="inlineStr">
        <is>
          <t>ÖREBRO LÄN</t>
        </is>
      </c>
      <c r="E210" t="inlineStr">
        <is>
          <t>HÄLLEFORS</t>
        </is>
      </c>
      <c r="G210" t="n">
        <v>3.5</v>
      </c>
      <c r="H210" t="n">
        <v>0</v>
      </c>
      <c r="I210" t="n">
        <v>0</v>
      </c>
      <c r="J210" t="n">
        <v>0</v>
      </c>
      <c r="K210" t="n">
        <v>0</v>
      </c>
      <c r="L210" t="n">
        <v>0</v>
      </c>
      <c r="M210" t="n">
        <v>0</v>
      </c>
      <c r="N210" t="n">
        <v>0</v>
      </c>
      <c r="O210" t="n">
        <v>0</v>
      </c>
      <c r="P210" t="n">
        <v>0</v>
      </c>
      <c r="Q210" t="n">
        <v>0</v>
      </c>
      <c r="R210" s="2" t="inlineStr"/>
    </row>
    <row r="211" ht="15" customHeight="1">
      <c r="A211" t="inlineStr">
        <is>
          <t>A 53335-2025</t>
        </is>
      </c>
      <c r="B211" s="1" t="n">
        <v>45959.38943287037</v>
      </c>
      <c r="C211" s="1" t="n">
        <v>46102</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53337-2025</t>
        </is>
      </c>
      <c r="B212" s="1" t="n">
        <v>45959.40310185185</v>
      </c>
      <c r="C212" s="1" t="n">
        <v>46102</v>
      </c>
      <c r="D212" t="inlineStr">
        <is>
          <t>ÖREBRO LÄN</t>
        </is>
      </c>
      <c r="E212" t="inlineStr">
        <is>
          <t>HÄLLEFORS</t>
        </is>
      </c>
      <c r="G212" t="n">
        <v>4.8</v>
      </c>
      <c r="H212" t="n">
        <v>0</v>
      </c>
      <c r="I212" t="n">
        <v>0</v>
      </c>
      <c r="J212" t="n">
        <v>0</v>
      </c>
      <c r="K212" t="n">
        <v>0</v>
      </c>
      <c r="L212" t="n">
        <v>0</v>
      </c>
      <c r="M212" t="n">
        <v>0</v>
      </c>
      <c r="N212" t="n">
        <v>0</v>
      </c>
      <c r="O212" t="n">
        <v>0</v>
      </c>
      <c r="P212" t="n">
        <v>0</v>
      </c>
      <c r="Q212" t="n">
        <v>0</v>
      </c>
      <c r="R212" s="2" t="inlineStr"/>
    </row>
    <row r="213" ht="15" customHeight="1">
      <c r="A213" t="inlineStr">
        <is>
          <t>A 53341-2025</t>
        </is>
      </c>
      <c r="B213" s="1" t="n">
        <v>45959.41048611111</v>
      </c>
      <c r="C213" s="1" t="n">
        <v>46102</v>
      </c>
      <c r="D213" t="inlineStr">
        <is>
          <t>ÖREBRO LÄN</t>
        </is>
      </c>
      <c r="E213" t="inlineStr">
        <is>
          <t>HÄLLEFORS</t>
        </is>
      </c>
      <c r="G213" t="n">
        <v>1</v>
      </c>
      <c r="H213" t="n">
        <v>0</v>
      </c>
      <c r="I213" t="n">
        <v>0</v>
      </c>
      <c r="J213" t="n">
        <v>0</v>
      </c>
      <c r="K213" t="n">
        <v>0</v>
      </c>
      <c r="L213" t="n">
        <v>0</v>
      </c>
      <c r="M213" t="n">
        <v>0</v>
      </c>
      <c r="N213" t="n">
        <v>0</v>
      </c>
      <c r="O213" t="n">
        <v>0</v>
      </c>
      <c r="P213" t="n">
        <v>0</v>
      </c>
      <c r="Q213" t="n">
        <v>0</v>
      </c>
      <c r="R213" s="2" t="inlineStr"/>
    </row>
    <row r="214" ht="15" customHeight="1">
      <c r="A214" t="inlineStr">
        <is>
          <t>A 44905-2021</t>
        </is>
      </c>
      <c r="B214" s="1" t="n">
        <v>44438.65045138889</v>
      </c>
      <c r="C214" s="1" t="n">
        <v>46102</v>
      </c>
      <c r="D214" t="inlineStr">
        <is>
          <t>ÖREBRO LÄN</t>
        </is>
      </c>
      <c r="E214" t="inlineStr">
        <is>
          <t>HÄLLEFORS</t>
        </is>
      </c>
      <c r="F214" t="inlineStr">
        <is>
          <t>Sveaskog</t>
        </is>
      </c>
      <c r="G214" t="n">
        <v>5.3</v>
      </c>
      <c r="H214" t="n">
        <v>0</v>
      </c>
      <c r="I214" t="n">
        <v>0</v>
      </c>
      <c r="J214" t="n">
        <v>0</v>
      </c>
      <c r="K214" t="n">
        <v>0</v>
      </c>
      <c r="L214" t="n">
        <v>0</v>
      </c>
      <c r="M214" t="n">
        <v>0</v>
      </c>
      <c r="N214" t="n">
        <v>0</v>
      </c>
      <c r="O214" t="n">
        <v>0</v>
      </c>
      <c r="P214" t="n">
        <v>0</v>
      </c>
      <c r="Q214" t="n">
        <v>0</v>
      </c>
      <c r="R214" s="2" t="inlineStr"/>
    </row>
    <row r="215" ht="15" customHeight="1">
      <c r="A215" t="inlineStr">
        <is>
          <t>A 3365-2026</t>
        </is>
      </c>
      <c r="B215" s="1" t="n">
        <v>46042.33357638889</v>
      </c>
      <c r="C215" s="1" t="n">
        <v>46102</v>
      </c>
      <c r="D215" t="inlineStr">
        <is>
          <t>ÖREBRO LÄN</t>
        </is>
      </c>
      <c r="E215" t="inlineStr">
        <is>
          <t>HÄLLEFORS</t>
        </is>
      </c>
      <c r="F215" t="inlineStr">
        <is>
          <t>Bergvik skog väst AB</t>
        </is>
      </c>
      <c r="G215" t="n">
        <v>4.1</v>
      </c>
      <c r="H215" t="n">
        <v>0</v>
      </c>
      <c r="I215" t="n">
        <v>0</v>
      </c>
      <c r="J215" t="n">
        <v>0</v>
      </c>
      <c r="K215" t="n">
        <v>0</v>
      </c>
      <c r="L215" t="n">
        <v>0</v>
      </c>
      <c r="M215" t="n">
        <v>0</v>
      </c>
      <c r="N215" t="n">
        <v>0</v>
      </c>
      <c r="O215" t="n">
        <v>0</v>
      </c>
      <c r="P215" t="n">
        <v>0</v>
      </c>
      <c r="Q215" t="n">
        <v>0</v>
      </c>
      <c r="R215" s="2" t="inlineStr"/>
    </row>
    <row r="216" ht="15" customHeight="1">
      <c r="A216" t="inlineStr">
        <is>
          <t>A 3863-2026</t>
        </is>
      </c>
      <c r="B216" s="1" t="n">
        <v>46043.62747685185</v>
      </c>
      <c r="C216" s="1" t="n">
        <v>46102</v>
      </c>
      <c r="D216" t="inlineStr">
        <is>
          <t>ÖREBRO LÄN</t>
        </is>
      </c>
      <c r="E216" t="inlineStr">
        <is>
          <t>HÄLLEFORS</t>
        </is>
      </c>
      <c r="G216" t="n">
        <v>2.7</v>
      </c>
      <c r="H216" t="n">
        <v>0</v>
      </c>
      <c r="I216" t="n">
        <v>0</v>
      </c>
      <c r="J216" t="n">
        <v>0</v>
      </c>
      <c r="K216" t="n">
        <v>0</v>
      </c>
      <c r="L216" t="n">
        <v>0</v>
      </c>
      <c r="M216" t="n">
        <v>0</v>
      </c>
      <c r="N216" t="n">
        <v>0</v>
      </c>
      <c r="O216" t="n">
        <v>0</v>
      </c>
      <c r="P216" t="n">
        <v>0</v>
      </c>
      <c r="Q216" t="n">
        <v>0</v>
      </c>
      <c r="R216" s="2" t="inlineStr"/>
    </row>
    <row r="217" ht="15" customHeight="1">
      <c r="A217" t="inlineStr">
        <is>
          <t>A 53952-2025</t>
        </is>
      </c>
      <c r="B217" s="1" t="n">
        <v>45961.5049537037</v>
      </c>
      <c r="C217" s="1" t="n">
        <v>46102</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29884-2022</t>
        </is>
      </c>
      <c r="B218" s="1" t="n">
        <v>44756</v>
      </c>
      <c r="C218" s="1" t="n">
        <v>46102</v>
      </c>
      <c r="D218" t="inlineStr">
        <is>
          <t>ÖREBRO LÄN</t>
        </is>
      </c>
      <c r="E218" t="inlineStr">
        <is>
          <t>HÄLLEFORS</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53331-2025</t>
        </is>
      </c>
      <c r="B219" s="1" t="n">
        <v>45959.37532407408</v>
      </c>
      <c r="C219" s="1" t="n">
        <v>46102</v>
      </c>
      <c r="D219" t="inlineStr">
        <is>
          <t>ÖREBRO LÄN</t>
        </is>
      </c>
      <c r="E219" t="inlineStr">
        <is>
          <t>HÄLLEFORS</t>
        </is>
      </c>
      <c r="G219" t="n">
        <v>3.2</v>
      </c>
      <c r="H219" t="n">
        <v>0</v>
      </c>
      <c r="I219" t="n">
        <v>0</v>
      </c>
      <c r="J219" t="n">
        <v>0</v>
      </c>
      <c r="K219" t="n">
        <v>0</v>
      </c>
      <c r="L219" t="n">
        <v>0</v>
      </c>
      <c r="M219" t="n">
        <v>0</v>
      </c>
      <c r="N219" t="n">
        <v>0</v>
      </c>
      <c r="O219" t="n">
        <v>0</v>
      </c>
      <c r="P219" t="n">
        <v>0</v>
      </c>
      <c r="Q219" t="n">
        <v>0</v>
      </c>
      <c r="R219" s="2" t="inlineStr"/>
    </row>
    <row r="220" ht="15" customHeight="1">
      <c r="A220" t="inlineStr">
        <is>
          <t>A 4125-2026</t>
        </is>
      </c>
      <c r="B220" s="1" t="n">
        <v>46044.61620370371</v>
      </c>
      <c r="C220" s="1" t="n">
        <v>46102</v>
      </c>
      <c r="D220" t="inlineStr">
        <is>
          <t>ÖREBRO LÄN</t>
        </is>
      </c>
      <c r="E220" t="inlineStr">
        <is>
          <t>HÄLLEFORS</t>
        </is>
      </c>
      <c r="G220" t="n">
        <v>3.5</v>
      </c>
      <c r="H220" t="n">
        <v>0</v>
      </c>
      <c r="I220" t="n">
        <v>0</v>
      </c>
      <c r="J220" t="n">
        <v>0</v>
      </c>
      <c r="K220" t="n">
        <v>0</v>
      </c>
      <c r="L220" t="n">
        <v>0</v>
      </c>
      <c r="M220" t="n">
        <v>0</v>
      </c>
      <c r="N220" t="n">
        <v>0</v>
      </c>
      <c r="O220" t="n">
        <v>0</v>
      </c>
      <c r="P220" t="n">
        <v>0</v>
      </c>
      <c r="Q220" t="n">
        <v>0</v>
      </c>
      <c r="R220" s="2" t="inlineStr"/>
    </row>
    <row r="221" ht="15" customHeight="1">
      <c r="A221" t="inlineStr">
        <is>
          <t>A 2079-2024</t>
        </is>
      </c>
      <c r="B221" s="1" t="n">
        <v>45309</v>
      </c>
      <c r="C221" s="1" t="n">
        <v>46102</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6761-2025</t>
        </is>
      </c>
      <c r="B222" s="1" t="n">
        <v>45700.62762731482</v>
      </c>
      <c r="C222" s="1" t="n">
        <v>46102</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23561-2023</t>
        </is>
      </c>
      <c r="B223" s="1" t="n">
        <v>45077.39368055556</v>
      </c>
      <c r="C223" s="1" t="n">
        <v>46102</v>
      </c>
      <c r="D223" t="inlineStr">
        <is>
          <t>ÖREBRO LÄN</t>
        </is>
      </c>
      <c r="E223" t="inlineStr">
        <is>
          <t>HÄLLEFORS</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51088-2022</t>
        </is>
      </c>
      <c r="B224" s="1" t="n">
        <v>44868.3935300926</v>
      </c>
      <c r="C224" s="1" t="n">
        <v>46102</v>
      </c>
      <c r="D224" t="inlineStr">
        <is>
          <t>ÖREBRO LÄN</t>
        </is>
      </c>
      <c r="E224" t="inlineStr">
        <is>
          <t>HÄLLEFORS</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12673-2026</t>
        </is>
      </c>
      <c r="B225" s="1" t="n">
        <v>46090.30780092593</v>
      </c>
      <c r="C225" s="1" t="n">
        <v>46102</v>
      </c>
      <c r="D225" t="inlineStr">
        <is>
          <t>ÖREBRO LÄN</t>
        </is>
      </c>
      <c r="E225" t="inlineStr">
        <is>
          <t>HÄLLEFORS</t>
        </is>
      </c>
      <c r="G225" t="n">
        <v>13.1</v>
      </c>
      <c r="H225" t="n">
        <v>0</v>
      </c>
      <c r="I225" t="n">
        <v>0</v>
      </c>
      <c r="J225" t="n">
        <v>0</v>
      </c>
      <c r="K225" t="n">
        <v>0</v>
      </c>
      <c r="L225" t="n">
        <v>0</v>
      </c>
      <c r="M225" t="n">
        <v>0</v>
      </c>
      <c r="N225" t="n">
        <v>0</v>
      </c>
      <c r="O225" t="n">
        <v>0</v>
      </c>
      <c r="P225" t="n">
        <v>0</v>
      </c>
      <c r="Q225" t="n">
        <v>0</v>
      </c>
      <c r="R225" s="2" t="inlineStr"/>
    </row>
    <row r="226" ht="15" customHeight="1">
      <c r="A226" t="inlineStr">
        <is>
          <t>A 8615-2025</t>
        </is>
      </c>
      <c r="B226" s="1" t="n">
        <v>45710.81305555555</v>
      </c>
      <c r="C226" s="1" t="n">
        <v>46102</v>
      </c>
      <c r="D226" t="inlineStr">
        <is>
          <t>ÖREBRO LÄN</t>
        </is>
      </c>
      <c r="E226" t="inlineStr">
        <is>
          <t>HÄLLEFORS</t>
        </is>
      </c>
      <c r="G226" t="n">
        <v>6.2</v>
      </c>
      <c r="H226" t="n">
        <v>0</v>
      </c>
      <c r="I226" t="n">
        <v>0</v>
      </c>
      <c r="J226" t="n">
        <v>0</v>
      </c>
      <c r="K226" t="n">
        <v>0</v>
      </c>
      <c r="L226" t="n">
        <v>0</v>
      </c>
      <c r="M226" t="n">
        <v>0</v>
      </c>
      <c r="N226" t="n">
        <v>0</v>
      </c>
      <c r="O226" t="n">
        <v>0</v>
      </c>
      <c r="P226" t="n">
        <v>0</v>
      </c>
      <c r="Q226" t="n">
        <v>0</v>
      </c>
      <c r="R226" s="2" t="inlineStr"/>
    </row>
    <row r="227" ht="15" customHeight="1">
      <c r="A227" t="inlineStr">
        <is>
          <t>A 18503-2025</t>
        </is>
      </c>
      <c r="B227" s="1" t="n">
        <v>45763.37480324074</v>
      </c>
      <c r="C227" s="1" t="n">
        <v>46102</v>
      </c>
      <c r="D227" t="inlineStr">
        <is>
          <t>ÖREBRO LÄN</t>
        </is>
      </c>
      <c r="E227" t="inlineStr">
        <is>
          <t>HÄLLEFORS</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6126-2026</t>
        </is>
      </c>
      <c r="B228" s="1" t="n">
        <v>46053.93969907407</v>
      </c>
      <c r="C228" s="1" t="n">
        <v>46102</v>
      </c>
      <c r="D228" t="inlineStr">
        <is>
          <t>ÖREBRO LÄN</t>
        </is>
      </c>
      <c r="E228" t="inlineStr">
        <is>
          <t>HÄLLEFORS</t>
        </is>
      </c>
      <c r="G228" t="n">
        <v>2</v>
      </c>
      <c r="H228" t="n">
        <v>0</v>
      </c>
      <c r="I228" t="n">
        <v>0</v>
      </c>
      <c r="J228" t="n">
        <v>0</v>
      </c>
      <c r="K228" t="n">
        <v>0</v>
      </c>
      <c r="L228" t="n">
        <v>0</v>
      </c>
      <c r="M228" t="n">
        <v>0</v>
      </c>
      <c r="N228" t="n">
        <v>0</v>
      </c>
      <c r="O228" t="n">
        <v>0</v>
      </c>
      <c r="P228" t="n">
        <v>0</v>
      </c>
      <c r="Q228" t="n">
        <v>0</v>
      </c>
      <c r="R228" s="2" t="inlineStr"/>
    </row>
    <row r="229" ht="15" customHeight="1">
      <c r="A229" t="inlineStr">
        <is>
          <t>A 6127-2026</t>
        </is>
      </c>
      <c r="B229" s="1" t="n">
        <v>46053.99731481481</v>
      </c>
      <c r="C229" s="1" t="n">
        <v>46102</v>
      </c>
      <c r="D229" t="inlineStr">
        <is>
          <t>ÖREBRO LÄN</t>
        </is>
      </c>
      <c r="E229" t="inlineStr">
        <is>
          <t>HÄLLEFORS</t>
        </is>
      </c>
      <c r="G229" t="n">
        <v>7.6</v>
      </c>
      <c r="H229" t="n">
        <v>0</v>
      </c>
      <c r="I229" t="n">
        <v>0</v>
      </c>
      <c r="J229" t="n">
        <v>0</v>
      </c>
      <c r="K229" t="n">
        <v>0</v>
      </c>
      <c r="L229" t="n">
        <v>0</v>
      </c>
      <c r="M229" t="n">
        <v>0</v>
      </c>
      <c r="N229" t="n">
        <v>0</v>
      </c>
      <c r="O229" t="n">
        <v>0</v>
      </c>
      <c r="P229" t="n">
        <v>0</v>
      </c>
      <c r="Q229" t="n">
        <v>0</v>
      </c>
      <c r="R229" s="2" t="inlineStr"/>
    </row>
    <row r="230" ht="15" customHeight="1">
      <c r="A230" t="inlineStr">
        <is>
          <t>A 36635-2022</t>
        </is>
      </c>
      <c r="B230" s="1" t="n">
        <v>44804.70893518518</v>
      </c>
      <c r="C230" s="1" t="n">
        <v>46102</v>
      </c>
      <c r="D230" t="inlineStr">
        <is>
          <t>ÖREBRO LÄN</t>
        </is>
      </c>
      <c r="E230" t="inlineStr">
        <is>
          <t>HÄLLEFORS</t>
        </is>
      </c>
      <c r="G230" t="n">
        <v>2.5</v>
      </c>
      <c r="H230" t="n">
        <v>0</v>
      </c>
      <c r="I230" t="n">
        <v>0</v>
      </c>
      <c r="J230" t="n">
        <v>0</v>
      </c>
      <c r="K230" t="n">
        <v>0</v>
      </c>
      <c r="L230" t="n">
        <v>0</v>
      </c>
      <c r="M230" t="n">
        <v>0</v>
      </c>
      <c r="N230" t="n">
        <v>0</v>
      </c>
      <c r="O230" t="n">
        <v>0</v>
      </c>
      <c r="P230" t="n">
        <v>0</v>
      </c>
      <c r="Q230" t="n">
        <v>0</v>
      </c>
      <c r="R230" s="2" t="inlineStr"/>
    </row>
    <row r="231" ht="15" customHeight="1">
      <c r="A231" t="inlineStr">
        <is>
          <t>A 9009-2023</t>
        </is>
      </c>
      <c r="B231" s="1" t="n">
        <v>44979</v>
      </c>
      <c r="C231" s="1" t="n">
        <v>46102</v>
      </c>
      <c r="D231" t="inlineStr">
        <is>
          <t>ÖREBRO LÄN</t>
        </is>
      </c>
      <c r="E231" t="inlineStr">
        <is>
          <t>HÄLLEFORS</t>
        </is>
      </c>
      <c r="G231" t="n">
        <v>0.6</v>
      </c>
      <c r="H231" t="n">
        <v>0</v>
      </c>
      <c r="I231" t="n">
        <v>0</v>
      </c>
      <c r="J231" t="n">
        <v>0</v>
      </c>
      <c r="K231" t="n">
        <v>0</v>
      </c>
      <c r="L231" t="n">
        <v>0</v>
      </c>
      <c r="M231" t="n">
        <v>0</v>
      </c>
      <c r="N231" t="n">
        <v>0</v>
      </c>
      <c r="O231" t="n">
        <v>0</v>
      </c>
      <c r="P231" t="n">
        <v>0</v>
      </c>
      <c r="Q231" t="n">
        <v>0</v>
      </c>
      <c r="R231" s="2" t="inlineStr"/>
    </row>
    <row r="232" ht="15" customHeight="1">
      <c r="A232" t="inlineStr">
        <is>
          <t>A 5657-2024</t>
        </is>
      </c>
      <c r="B232" s="1" t="n">
        <v>45334</v>
      </c>
      <c r="C232" s="1" t="n">
        <v>46102</v>
      </c>
      <c r="D232" t="inlineStr">
        <is>
          <t>ÖREBRO LÄN</t>
        </is>
      </c>
      <c r="E232" t="inlineStr">
        <is>
          <t>HÄLLEFORS</t>
        </is>
      </c>
      <c r="G232" t="n">
        <v>0.3</v>
      </c>
      <c r="H232" t="n">
        <v>0</v>
      </c>
      <c r="I232" t="n">
        <v>0</v>
      </c>
      <c r="J232" t="n">
        <v>0</v>
      </c>
      <c r="K232" t="n">
        <v>0</v>
      </c>
      <c r="L232" t="n">
        <v>0</v>
      </c>
      <c r="M232" t="n">
        <v>0</v>
      </c>
      <c r="N232" t="n">
        <v>0</v>
      </c>
      <c r="O232" t="n">
        <v>0</v>
      </c>
      <c r="P232" t="n">
        <v>0</v>
      </c>
      <c r="Q232" t="n">
        <v>0</v>
      </c>
      <c r="R232" s="2" t="inlineStr"/>
    </row>
    <row r="233" ht="15" customHeight="1">
      <c r="A233" t="inlineStr">
        <is>
          <t>A 18927-2025</t>
        </is>
      </c>
      <c r="B233" s="1" t="n">
        <v>45764.4846412037</v>
      </c>
      <c r="C233" s="1" t="n">
        <v>46102</v>
      </c>
      <c r="D233" t="inlineStr">
        <is>
          <t>ÖREBRO LÄN</t>
        </is>
      </c>
      <c r="E233" t="inlineStr">
        <is>
          <t>HÄLLEFORS</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18941-2025</t>
        </is>
      </c>
      <c r="B234" s="1" t="n">
        <v>45764.495625</v>
      </c>
      <c r="C234" s="1" t="n">
        <v>46102</v>
      </c>
      <c r="D234" t="inlineStr">
        <is>
          <t>ÖREBRO LÄN</t>
        </is>
      </c>
      <c r="E234" t="inlineStr">
        <is>
          <t>HÄLLEFORS</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39031-2022</t>
        </is>
      </c>
      <c r="B235" s="1" t="n">
        <v>44817.34144675926</v>
      </c>
      <c r="C235" s="1" t="n">
        <v>46102</v>
      </c>
      <c r="D235" t="inlineStr">
        <is>
          <t>ÖREBRO LÄN</t>
        </is>
      </c>
      <c r="E235" t="inlineStr">
        <is>
          <t>HÄLLEFORS</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47190-2022</t>
        </is>
      </c>
      <c r="B236" s="1" t="n">
        <v>44852</v>
      </c>
      <c r="C236" s="1" t="n">
        <v>46102</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34478-2022</t>
        </is>
      </c>
      <c r="B237" s="1" t="n">
        <v>44792.64494212963</v>
      </c>
      <c r="C237" s="1" t="n">
        <v>46102</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6774-2026</t>
        </is>
      </c>
      <c r="B238" s="1" t="n">
        <v>46057.29586805555</v>
      </c>
      <c r="C238" s="1" t="n">
        <v>46102</v>
      </c>
      <c r="D238" t="inlineStr">
        <is>
          <t>ÖREBRO LÄN</t>
        </is>
      </c>
      <c r="E238" t="inlineStr">
        <is>
          <t>HÄLLEFORS</t>
        </is>
      </c>
      <c r="F238" t="inlineStr">
        <is>
          <t>Bergvik skog väst AB</t>
        </is>
      </c>
      <c r="G238" t="n">
        <v>7.2</v>
      </c>
      <c r="H238" t="n">
        <v>0</v>
      </c>
      <c r="I238" t="n">
        <v>0</v>
      </c>
      <c r="J238" t="n">
        <v>0</v>
      </c>
      <c r="K238" t="n">
        <v>0</v>
      </c>
      <c r="L238" t="n">
        <v>0</v>
      </c>
      <c r="M238" t="n">
        <v>0</v>
      </c>
      <c r="N238" t="n">
        <v>0</v>
      </c>
      <c r="O238" t="n">
        <v>0</v>
      </c>
      <c r="P238" t="n">
        <v>0</v>
      </c>
      <c r="Q238" t="n">
        <v>0</v>
      </c>
      <c r="R238" s="2" t="inlineStr"/>
    </row>
    <row r="239" ht="15" customHeight="1">
      <c r="A239" t="inlineStr">
        <is>
          <t>A 15013-2024</t>
        </is>
      </c>
      <c r="B239" s="1" t="n">
        <v>45399</v>
      </c>
      <c r="C239" s="1" t="n">
        <v>46102</v>
      </c>
      <c r="D239" t="inlineStr">
        <is>
          <t>ÖREBRO LÄN</t>
        </is>
      </c>
      <c r="E239" t="inlineStr">
        <is>
          <t>HÄLLEFORS</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46980-2023</t>
        </is>
      </c>
      <c r="B240" s="1" t="n">
        <v>45201</v>
      </c>
      <c r="C240" s="1" t="n">
        <v>46102</v>
      </c>
      <c r="D240" t="inlineStr">
        <is>
          <t>ÖREBRO LÄN</t>
        </is>
      </c>
      <c r="E240" t="inlineStr">
        <is>
          <t>HÄLLEFORS</t>
        </is>
      </c>
      <c r="F240" t="inlineStr">
        <is>
          <t>Bergvik skog väst AB</t>
        </is>
      </c>
      <c r="G240" t="n">
        <v>7.5</v>
      </c>
      <c r="H240" t="n">
        <v>0</v>
      </c>
      <c r="I240" t="n">
        <v>0</v>
      </c>
      <c r="J240" t="n">
        <v>0</v>
      </c>
      <c r="K240" t="n">
        <v>0</v>
      </c>
      <c r="L240" t="n">
        <v>0</v>
      </c>
      <c r="M240" t="n">
        <v>0</v>
      </c>
      <c r="N240" t="n">
        <v>0</v>
      </c>
      <c r="O240" t="n">
        <v>0</v>
      </c>
      <c r="P240" t="n">
        <v>0</v>
      </c>
      <c r="Q240" t="n">
        <v>0</v>
      </c>
      <c r="R240" s="2" t="inlineStr"/>
    </row>
    <row r="241" ht="15" customHeight="1">
      <c r="A241" t="inlineStr">
        <is>
          <t>A 6772-2026</t>
        </is>
      </c>
      <c r="B241" s="1" t="n">
        <v>46057.2934837963</v>
      </c>
      <c r="C241" s="1" t="n">
        <v>46102</v>
      </c>
      <c r="D241" t="inlineStr">
        <is>
          <t>ÖREBRO LÄN</t>
        </is>
      </c>
      <c r="E241" t="inlineStr">
        <is>
          <t>HÄLLEFORS</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28024-2025</t>
        </is>
      </c>
      <c r="B242" s="1" t="n">
        <v>45817.62070601852</v>
      </c>
      <c r="C242" s="1" t="n">
        <v>46102</v>
      </c>
      <c r="D242" t="inlineStr">
        <is>
          <t>ÖREBRO LÄN</t>
        </is>
      </c>
      <c r="E242" t="inlineStr">
        <is>
          <t>HÄLLEFORS</t>
        </is>
      </c>
      <c r="G242" t="n">
        <v>1.7</v>
      </c>
      <c r="H242" t="n">
        <v>0</v>
      </c>
      <c r="I242" t="n">
        <v>0</v>
      </c>
      <c r="J242" t="n">
        <v>0</v>
      </c>
      <c r="K242" t="n">
        <v>0</v>
      </c>
      <c r="L242" t="n">
        <v>0</v>
      </c>
      <c r="M242" t="n">
        <v>0</v>
      </c>
      <c r="N242" t="n">
        <v>0</v>
      </c>
      <c r="O242" t="n">
        <v>0</v>
      </c>
      <c r="P242" t="n">
        <v>0</v>
      </c>
      <c r="Q242" t="n">
        <v>0</v>
      </c>
      <c r="R242" s="2" t="inlineStr"/>
    </row>
    <row r="243" ht="15" customHeight="1">
      <c r="A243" t="inlineStr">
        <is>
          <t>A 14342-2026</t>
        </is>
      </c>
      <c r="B243" s="1" t="n">
        <v>46100.33013888889</v>
      </c>
      <c r="C243" s="1" t="n">
        <v>46102</v>
      </c>
      <c r="D243" t="inlineStr">
        <is>
          <t>ÖREBRO LÄN</t>
        </is>
      </c>
      <c r="E243" t="inlineStr">
        <is>
          <t>HÄLLEFORS</t>
        </is>
      </c>
      <c r="F243" t="inlineStr">
        <is>
          <t>Sveaskog</t>
        </is>
      </c>
      <c r="G243" t="n">
        <v>5.2</v>
      </c>
      <c r="H243" t="n">
        <v>0</v>
      </c>
      <c r="I243" t="n">
        <v>0</v>
      </c>
      <c r="J243" t="n">
        <v>0</v>
      </c>
      <c r="K243" t="n">
        <v>0</v>
      </c>
      <c r="L243" t="n">
        <v>0</v>
      </c>
      <c r="M243" t="n">
        <v>0</v>
      </c>
      <c r="N243" t="n">
        <v>0</v>
      </c>
      <c r="O243" t="n">
        <v>0</v>
      </c>
      <c r="P243" t="n">
        <v>0</v>
      </c>
      <c r="Q243" t="n">
        <v>0</v>
      </c>
      <c r="R243" s="2" t="inlineStr"/>
    </row>
    <row r="244" ht="15" customHeight="1">
      <c r="A244" t="inlineStr">
        <is>
          <t>A 14343-2026</t>
        </is>
      </c>
      <c r="B244" s="1" t="n">
        <v>46100.33061342593</v>
      </c>
      <c r="C244" s="1" t="n">
        <v>46102</v>
      </c>
      <c r="D244" t="inlineStr">
        <is>
          <t>ÖREBRO LÄN</t>
        </is>
      </c>
      <c r="E244" t="inlineStr">
        <is>
          <t>HÄLLEFORS</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14340-2026</t>
        </is>
      </c>
      <c r="B245" s="1" t="n">
        <v>46100.32818287037</v>
      </c>
      <c r="C245" s="1" t="n">
        <v>46102</v>
      </c>
      <c r="D245" t="inlineStr">
        <is>
          <t>ÖREBRO LÄN</t>
        </is>
      </c>
      <c r="E245" t="inlineStr">
        <is>
          <t>HÄLLEFORS</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14341-2026</t>
        </is>
      </c>
      <c r="B246" s="1" t="n">
        <v>46100.32896990741</v>
      </c>
      <c r="C246" s="1" t="n">
        <v>46102</v>
      </c>
      <c r="D246" t="inlineStr">
        <is>
          <t>ÖREBRO LÄN</t>
        </is>
      </c>
      <c r="E246" t="inlineStr">
        <is>
          <t>HÄLLEFORS</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1019-2025</t>
        </is>
      </c>
      <c r="B247" s="1" t="n">
        <v>45666.49216435185</v>
      </c>
      <c r="C247" s="1" t="n">
        <v>46102</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55747-2024</t>
        </is>
      </c>
      <c r="B248" s="1" t="n">
        <v>45623.32141203704</v>
      </c>
      <c r="C248" s="1" t="n">
        <v>46102</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39171-2024</t>
        </is>
      </c>
      <c r="B249" s="1" t="n">
        <v>45548</v>
      </c>
      <c r="C249" s="1" t="n">
        <v>46102</v>
      </c>
      <c r="D249" t="inlineStr">
        <is>
          <t>ÖREBRO LÄN</t>
        </is>
      </c>
      <c r="E249" t="inlineStr">
        <is>
          <t>HÄLLEFORS</t>
        </is>
      </c>
      <c r="G249" t="n">
        <v>3.8</v>
      </c>
      <c r="H249" t="n">
        <v>0</v>
      </c>
      <c r="I249" t="n">
        <v>0</v>
      </c>
      <c r="J249" t="n">
        <v>0</v>
      </c>
      <c r="K249" t="n">
        <v>0</v>
      </c>
      <c r="L249" t="n">
        <v>0</v>
      </c>
      <c r="M249" t="n">
        <v>0</v>
      </c>
      <c r="N249" t="n">
        <v>0</v>
      </c>
      <c r="O249" t="n">
        <v>0</v>
      </c>
      <c r="P249" t="n">
        <v>0</v>
      </c>
      <c r="Q249" t="n">
        <v>0</v>
      </c>
      <c r="R249" s="2" t="inlineStr"/>
    </row>
    <row r="250" ht="15" customHeight="1">
      <c r="A250" t="inlineStr">
        <is>
          <t>A 55397-2023</t>
        </is>
      </c>
      <c r="B250" s="1" t="n">
        <v>45238</v>
      </c>
      <c r="C250" s="1" t="n">
        <v>46102</v>
      </c>
      <c r="D250" t="inlineStr">
        <is>
          <t>ÖREBRO LÄN</t>
        </is>
      </c>
      <c r="E250" t="inlineStr">
        <is>
          <t>HÄLLEFORS</t>
        </is>
      </c>
      <c r="G250" t="n">
        <v>1.3</v>
      </c>
      <c r="H250" t="n">
        <v>0</v>
      </c>
      <c r="I250" t="n">
        <v>0</v>
      </c>
      <c r="J250" t="n">
        <v>0</v>
      </c>
      <c r="K250" t="n">
        <v>0</v>
      </c>
      <c r="L250" t="n">
        <v>0</v>
      </c>
      <c r="M250" t="n">
        <v>0</v>
      </c>
      <c r="N250" t="n">
        <v>0</v>
      </c>
      <c r="O250" t="n">
        <v>0</v>
      </c>
      <c r="P250" t="n">
        <v>0</v>
      </c>
      <c r="Q250" t="n">
        <v>0</v>
      </c>
      <c r="R250" s="2" t="inlineStr"/>
    </row>
    <row r="251" ht="15" customHeight="1">
      <c r="A251" t="inlineStr">
        <is>
          <t>A 28975-2025</t>
        </is>
      </c>
      <c r="B251" s="1" t="n">
        <v>45821</v>
      </c>
      <c r="C251" s="1" t="n">
        <v>46102</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17050-2025</t>
        </is>
      </c>
      <c r="B252" s="1" t="n">
        <v>45755.5997337963</v>
      </c>
      <c r="C252" s="1" t="n">
        <v>46102</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28979-2025</t>
        </is>
      </c>
      <c r="B253" s="1" t="n">
        <v>45821.35136574074</v>
      </c>
      <c r="C253" s="1" t="n">
        <v>46102</v>
      </c>
      <c r="D253" t="inlineStr">
        <is>
          <t>ÖREBRO LÄN</t>
        </is>
      </c>
      <c r="E253" t="inlineStr">
        <is>
          <t>HÄLLEFORS</t>
        </is>
      </c>
      <c r="G253" t="n">
        <v>2.9</v>
      </c>
      <c r="H253" t="n">
        <v>0</v>
      </c>
      <c r="I253" t="n">
        <v>0</v>
      </c>
      <c r="J253" t="n">
        <v>0</v>
      </c>
      <c r="K253" t="n">
        <v>0</v>
      </c>
      <c r="L253" t="n">
        <v>0</v>
      </c>
      <c r="M253" t="n">
        <v>0</v>
      </c>
      <c r="N253" t="n">
        <v>0</v>
      </c>
      <c r="O253" t="n">
        <v>0</v>
      </c>
      <c r="P253" t="n">
        <v>0</v>
      </c>
      <c r="Q253" t="n">
        <v>0</v>
      </c>
      <c r="R253" s="2" t="inlineStr"/>
    </row>
    <row r="254" ht="15" customHeight="1">
      <c r="A254" t="inlineStr">
        <is>
          <t>A 16169-2025</t>
        </is>
      </c>
      <c r="B254" s="1" t="n">
        <v>45750</v>
      </c>
      <c r="C254" s="1" t="n">
        <v>46102</v>
      </c>
      <c r="D254" t="inlineStr">
        <is>
          <t>ÖREBRO LÄN</t>
        </is>
      </c>
      <c r="E254" t="inlineStr">
        <is>
          <t>HÄLLEFORS</t>
        </is>
      </c>
      <c r="F254" t="inlineStr">
        <is>
          <t>Kyrkan</t>
        </is>
      </c>
      <c r="G254" t="n">
        <v>2.1</v>
      </c>
      <c r="H254" t="n">
        <v>0</v>
      </c>
      <c r="I254" t="n">
        <v>0</v>
      </c>
      <c r="J254" t="n">
        <v>0</v>
      </c>
      <c r="K254" t="n">
        <v>0</v>
      </c>
      <c r="L254" t="n">
        <v>0</v>
      </c>
      <c r="M254" t="n">
        <v>0</v>
      </c>
      <c r="N254" t="n">
        <v>0</v>
      </c>
      <c r="O254" t="n">
        <v>0</v>
      </c>
      <c r="P254" t="n">
        <v>0</v>
      </c>
      <c r="Q254" t="n">
        <v>0</v>
      </c>
      <c r="R254" s="2" t="inlineStr"/>
    </row>
    <row r="255" ht="15" customHeight="1">
      <c r="A255" t="inlineStr">
        <is>
          <t>A 26537-2021</t>
        </is>
      </c>
      <c r="B255" s="1" t="n">
        <v>44348</v>
      </c>
      <c r="C255" s="1" t="n">
        <v>46102</v>
      </c>
      <c r="D255" t="inlineStr">
        <is>
          <t>ÖREBRO LÄN</t>
        </is>
      </c>
      <c r="E255" t="inlineStr">
        <is>
          <t>HÄLLEFORS</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18664-2025</t>
        </is>
      </c>
      <c r="B256" s="1" t="n">
        <v>45763.58991898148</v>
      </c>
      <c r="C256" s="1" t="n">
        <v>46102</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46599-2024</t>
        </is>
      </c>
      <c r="B257" s="1" t="n">
        <v>45582</v>
      </c>
      <c r="C257" s="1" t="n">
        <v>46102</v>
      </c>
      <c r="D257" t="inlineStr">
        <is>
          <t>ÖREBRO LÄN</t>
        </is>
      </c>
      <c r="E257" t="inlineStr">
        <is>
          <t>HÄLLEFORS</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623-2023</t>
        </is>
      </c>
      <c r="B258" s="1" t="n">
        <v>44930</v>
      </c>
      <c r="C258" s="1" t="n">
        <v>46102</v>
      </c>
      <c r="D258" t="inlineStr">
        <is>
          <t>ÖREBRO LÄN</t>
        </is>
      </c>
      <c r="E258" t="inlineStr">
        <is>
          <t>HÄLLEFORS</t>
        </is>
      </c>
      <c r="G258" t="n">
        <v>1.4</v>
      </c>
      <c r="H258" t="n">
        <v>0</v>
      </c>
      <c r="I258" t="n">
        <v>0</v>
      </c>
      <c r="J258" t="n">
        <v>0</v>
      </c>
      <c r="K258" t="n">
        <v>0</v>
      </c>
      <c r="L258" t="n">
        <v>0</v>
      </c>
      <c r="M258" t="n">
        <v>0</v>
      </c>
      <c r="N258" t="n">
        <v>0</v>
      </c>
      <c r="O258" t="n">
        <v>0</v>
      </c>
      <c r="P258" t="n">
        <v>0</v>
      </c>
      <c r="Q258" t="n">
        <v>0</v>
      </c>
      <c r="R258" s="2" t="inlineStr"/>
    </row>
    <row r="259" ht="15" customHeight="1">
      <c r="A259" t="inlineStr">
        <is>
          <t>A 30747-2025</t>
        </is>
      </c>
      <c r="B259" s="1" t="n">
        <v>45831.58487268518</v>
      </c>
      <c r="C259" s="1" t="n">
        <v>46102</v>
      </c>
      <c r="D259" t="inlineStr">
        <is>
          <t>ÖREBRO LÄN</t>
        </is>
      </c>
      <c r="E259" t="inlineStr">
        <is>
          <t>HÄLLEFORS</t>
        </is>
      </c>
      <c r="G259" t="n">
        <v>2.9</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46102</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46102</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42920-2024</t>
        </is>
      </c>
      <c r="B262" s="1" t="n">
        <v>45567.29131944444</v>
      </c>
      <c r="C262" s="1" t="n">
        <v>46102</v>
      </c>
      <c r="D262" t="inlineStr">
        <is>
          <t>ÖREBRO LÄN</t>
        </is>
      </c>
      <c r="E262" t="inlineStr">
        <is>
          <t>HÄLLEFORS</t>
        </is>
      </c>
      <c r="F262" t="inlineStr">
        <is>
          <t>Bergvik skog väst AB</t>
        </is>
      </c>
      <c r="G262" t="n">
        <v>5.5</v>
      </c>
      <c r="H262" t="n">
        <v>0</v>
      </c>
      <c r="I262" t="n">
        <v>0</v>
      </c>
      <c r="J262" t="n">
        <v>0</v>
      </c>
      <c r="K262" t="n">
        <v>0</v>
      </c>
      <c r="L262" t="n">
        <v>0</v>
      </c>
      <c r="M262" t="n">
        <v>0</v>
      </c>
      <c r="N262" t="n">
        <v>0</v>
      </c>
      <c r="O262" t="n">
        <v>0</v>
      </c>
      <c r="P262" t="n">
        <v>0</v>
      </c>
      <c r="Q262" t="n">
        <v>0</v>
      </c>
      <c r="R262" s="2" t="inlineStr"/>
    </row>
    <row r="263" ht="15" customHeight="1">
      <c r="A263" t="inlineStr">
        <is>
          <t>A 17041-2025</t>
        </is>
      </c>
      <c r="B263" s="1" t="n">
        <v>45755.58488425926</v>
      </c>
      <c r="C263" s="1" t="n">
        <v>46102</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32217-2025</t>
        </is>
      </c>
      <c r="B264" s="1" t="n">
        <v>45835.58846064815</v>
      </c>
      <c r="C264" s="1" t="n">
        <v>46102</v>
      </c>
      <c r="D264" t="inlineStr">
        <is>
          <t>ÖREBRO LÄN</t>
        </is>
      </c>
      <c r="E264" t="inlineStr">
        <is>
          <t>HÄLLEFORS</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8513-2022</t>
        </is>
      </c>
      <c r="B265" s="1" t="n">
        <v>44613</v>
      </c>
      <c r="C265" s="1" t="n">
        <v>46102</v>
      </c>
      <c r="D265" t="inlineStr">
        <is>
          <t>ÖREBRO LÄN</t>
        </is>
      </c>
      <c r="E265" t="inlineStr">
        <is>
          <t>HÄLLEFORS</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32808-2025</t>
        </is>
      </c>
      <c r="B266" s="1" t="n">
        <v>45839.50719907408</v>
      </c>
      <c r="C266" s="1" t="n">
        <v>46102</v>
      </c>
      <c r="D266" t="inlineStr">
        <is>
          <t>ÖREBRO LÄN</t>
        </is>
      </c>
      <c r="E266" t="inlineStr">
        <is>
          <t>HÄLLEFORS</t>
        </is>
      </c>
      <c r="G266" t="n">
        <v>4.3</v>
      </c>
      <c r="H266" t="n">
        <v>0</v>
      </c>
      <c r="I266" t="n">
        <v>0</v>
      </c>
      <c r="J266" t="n">
        <v>0</v>
      </c>
      <c r="K266" t="n">
        <v>0</v>
      </c>
      <c r="L266" t="n">
        <v>0</v>
      </c>
      <c r="M266" t="n">
        <v>0</v>
      </c>
      <c r="N266" t="n">
        <v>0</v>
      </c>
      <c r="O266" t="n">
        <v>0</v>
      </c>
      <c r="P266" t="n">
        <v>0</v>
      </c>
      <c r="Q266" t="n">
        <v>0</v>
      </c>
      <c r="R266" s="2" t="inlineStr"/>
    </row>
    <row r="267" ht="15" customHeight="1">
      <c r="A267" t="inlineStr">
        <is>
          <t>A 32813-2025</t>
        </is>
      </c>
      <c r="B267" s="1" t="n">
        <v>45839.51949074074</v>
      </c>
      <c r="C267" s="1" t="n">
        <v>46102</v>
      </c>
      <c r="D267" t="inlineStr">
        <is>
          <t>ÖREBRO LÄN</t>
        </is>
      </c>
      <c r="E267" t="inlineStr">
        <is>
          <t>HÄLLEFORS</t>
        </is>
      </c>
      <c r="G267" t="n">
        <v>3.5</v>
      </c>
      <c r="H267" t="n">
        <v>0</v>
      </c>
      <c r="I267" t="n">
        <v>0</v>
      </c>
      <c r="J267" t="n">
        <v>0</v>
      </c>
      <c r="K267" t="n">
        <v>0</v>
      </c>
      <c r="L267" t="n">
        <v>0</v>
      </c>
      <c r="M267" t="n">
        <v>0</v>
      </c>
      <c r="N267" t="n">
        <v>0</v>
      </c>
      <c r="O267" t="n">
        <v>0</v>
      </c>
      <c r="P267" t="n">
        <v>0</v>
      </c>
      <c r="Q267" t="n">
        <v>0</v>
      </c>
      <c r="R267" s="2" t="inlineStr"/>
    </row>
    <row r="268" ht="15" customHeight="1">
      <c r="A268" t="inlineStr">
        <is>
          <t>A 11467-2024</t>
        </is>
      </c>
      <c r="B268" s="1" t="n">
        <v>45372.59753472222</v>
      </c>
      <c r="C268" s="1" t="n">
        <v>46102</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34033-2025</t>
        </is>
      </c>
      <c r="B269" s="1" t="n">
        <v>45845.36700231482</v>
      </c>
      <c r="C269" s="1" t="n">
        <v>46102</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34037-2025</t>
        </is>
      </c>
      <c r="B270" s="1" t="n">
        <v>45845.37002314815</v>
      </c>
      <c r="C270" s="1" t="n">
        <v>46102</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34018-2025</t>
        </is>
      </c>
      <c r="B271" s="1" t="n">
        <v>45845.34341435185</v>
      </c>
      <c r="C271" s="1" t="n">
        <v>46102</v>
      </c>
      <c r="D271" t="inlineStr">
        <is>
          <t>ÖREBRO LÄN</t>
        </is>
      </c>
      <c r="E271" t="inlineStr">
        <is>
          <t>HÄLLEFORS</t>
        </is>
      </c>
      <c r="G271" t="n">
        <v>6.4</v>
      </c>
      <c r="H271" t="n">
        <v>0</v>
      </c>
      <c r="I271" t="n">
        <v>0</v>
      </c>
      <c r="J271" t="n">
        <v>0</v>
      </c>
      <c r="K271" t="n">
        <v>0</v>
      </c>
      <c r="L271" t="n">
        <v>0</v>
      </c>
      <c r="M271" t="n">
        <v>0</v>
      </c>
      <c r="N271" t="n">
        <v>0</v>
      </c>
      <c r="O271" t="n">
        <v>0</v>
      </c>
      <c r="P271" t="n">
        <v>0</v>
      </c>
      <c r="Q271" t="n">
        <v>0</v>
      </c>
      <c r="R271" s="2" t="inlineStr"/>
    </row>
    <row r="272" ht="15" customHeight="1">
      <c r="A272" t="inlineStr">
        <is>
          <t>A 34020-2025</t>
        </is>
      </c>
      <c r="B272" s="1" t="n">
        <v>45845.34695601852</v>
      </c>
      <c r="C272" s="1" t="n">
        <v>46102</v>
      </c>
      <c r="D272" t="inlineStr">
        <is>
          <t>ÖREBRO LÄN</t>
        </is>
      </c>
      <c r="E272" t="inlineStr">
        <is>
          <t>HÄLLEFORS</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34042-2025</t>
        </is>
      </c>
      <c r="B273" s="1" t="n">
        <v>45845.37733796296</v>
      </c>
      <c r="C273" s="1" t="n">
        <v>46102</v>
      </c>
      <c r="D273" t="inlineStr">
        <is>
          <t>ÖREBRO LÄN</t>
        </is>
      </c>
      <c r="E273" t="inlineStr">
        <is>
          <t>HÄLLEFORS</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34045-2025</t>
        </is>
      </c>
      <c r="B274" s="1" t="n">
        <v>45845.38480324074</v>
      </c>
      <c r="C274" s="1" t="n">
        <v>46102</v>
      </c>
      <c r="D274" t="inlineStr">
        <is>
          <t>ÖREBRO LÄN</t>
        </is>
      </c>
      <c r="E274" t="inlineStr">
        <is>
          <t>HÄLLEFORS</t>
        </is>
      </c>
      <c r="F274" t="inlineStr">
        <is>
          <t>Bergvik skog väst AB</t>
        </is>
      </c>
      <c r="G274" t="n">
        <v>4</v>
      </c>
      <c r="H274" t="n">
        <v>0</v>
      </c>
      <c r="I274" t="n">
        <v>0</v>
      </c>
      <c r="J274" t="n">
        <v>0</v>
      </c>
      <c r="K274" t="n">
        <v>0</v>
      </c>
      <c r="L274" t="n">
        <v>0</v>
      </c>
      <c r="M274" t="n">
        <v>0</v>
      </c>
      <c r="N274" t="n">
        <v>0</v>
      </c>
      <c r="O274" t="n">
        <v>0</v>
      </c>
      <c r="P274" t="n">
        <v>0</v>
      </c>
      <c r="Q274" t="n">
        <v>0</v>
      </c>
      <c r="R274" s="2" t="inlineStr"/>
    </row>
    <row r="275" ht="15" customHeight="1">
      <c r="A275" t="inlineStr">
        <is>
          <t>A 34052-2025</t>
        </is>
      </c>
      <c r="B275" s="1" t="n">
        <v>45845.40813657407</v>
      </c>
      <c r="C275" s="1" t="n">
        <v>46102</v>
      </c>
      <c r="D275" t="inlineStr">
        <is>
          <t>ÖREBRO LÄN</t>
        </is>
      </c>
      <c r="E275" t="inlineStr">
        <is>
          <t>HÄLLEFORS</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34059-2025</t>
        </is>
      </c>
      <c r="B276" s="1" t="n">
        <v>45845.41988425926</v>
      </c>
      <c r="C276" s="1" t="n">
        <v>46102</v>
      </c>
      <c r="D276" t="inlineStr">
        <is>
          <t>ÖREBRO LÄN</t>
        </is>
      </c>
      <c r="E276" t="inlineStr">
        <is>
          <t>HÄLLEFORS</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34023-2025</t>
        </is>
      </c>
      <c r="B277" s="1" t="n">
        <v>45845.35355324074</v>
      </c>
      <c r="C277" s="1" t="n">
        <v>46102</v>
      </c>
      <c r="D277" t="inlineStr">
        <is>
          <t>ÖREBRO LÄN</t>
        </is>
      </c>
      <c r="E277" t="inlineStr">
        <is>
          <t>HÄLLEFORS</t>
        </is>
      </c>
      <c r="F277" t="inlineStr">
        <is>
          <t>Bergvik skog väst AB</t>
        </is>
      </c>
      <c r="G277" t="n">
        <v>0.9</v>
      </c>
      <c r="H277" t="n">
        <v>0</v>
      </c>
      <c r="I277" t="n">
        <v>0</v>
      </c>
      <c r="J277" t="n">
        <v>0</v>
      </c>
      <c r="K277" t="n">
        <v>0</v>
      </c>
      <c r="L277" t="n">
        <v>0</v>
      </c>
      <c r="M277" t="n">
        <v>0</v>
      </c>
      <c r="N277" t="n">
        <v>0</v>
      </c>
      <c r="O277" t="n">
        <v>0</v>
      </c>
      <c r="P277" t="n">
        <v>0</v>
      </c>
      <c r="Q277" t="n">
        <v>0</v>
      </c>
      <c r="R277" s="2" t="inlineStr"/>
    </row>
    <row r="278" ht="15" customHeight="1">
      <c r="A278" t="inlineStr">
        <is>
          <t>A 34057-2025</t>
        </is>
      </c>
      <c r="B278" s="1" t="n">
        <v>45845.41581018519</v>
      </c>
      <c r="C278" s="1" t="n">
        <v>46102</v>
      </c>
      <c r="D278" t="inlineStr">
        <is>
          <t>ÖREBRO LÄN</t>
        </is>
      </c>
      <c r="E278" t="inlineStr">
        <is>
          <t>HÄLLEFORS</t>
        </is>
      </c>
      <c r="G278" t="n">
        <v>2.1</v>
      </c>
      <c r="H278" t="n">
        <v>0</v>
      </c>
      <c r="I278" t="n">
        <v>0</v>
      </c>
      <c r="J278" t="n">
        <v>0</v>
      </c>
      <c r="K278" t="n">
        <v>0</v>
      </c>
      <c r="L278" t="n">
        <v>0</v>
      </c>
      <c r="M278" t="n">
        <v>0</v>
      </c>
      <c r="N278" t="n">
        <v>0</v>
      </c>
      <c r="O278" t="n">
        <v>0</v>
      </c>
      <c r="P278" t="n">
        <v>0</v>
      </c>
      <c r="Q278" t="n">
        <v>0</v>
      </c>
      <c r="R278" s="2" t="inlineStr"/>
    </row>
    <row r="279" ht="15" customHeight="1">
      <c r="A279" t="inlineStr">
        <is>
          <t>A 34029-2025</t>
        </is>
      </c>
      <c r="B279" s="1" t="n">
        <v>45845.36309027778</v>
      </c>
      <c r="C279" s="1" t="n">
        <v>46102</v>
      </c>
      <c r="D279" t="inlineStr">
        <is>
          <t>ÖREBRO LÄN</t>
        </is>
      </c>
      <c r="E279" t="inlineStr">
        <is>
          <t>HÄLLEFORS</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34022-2025</t>
        </is>
      </c>
      <c r="B280" s="1" t="n">
        <v>45845.34983796296</v>
      </c>
      <c r="C280" s="1" t="n">
        <v>46102</v>
      </c>
      <c r="D280" t="inlineStr">
        <is>
          <t>ÖREBRO LÄN</t>
        </is>
      </c>
      <c r="E280" t="inlineStr">
        <is>
          <t>HÄLLEFORS</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34025-2025</t>
        </is>
      </c>
      <c r="B281" s="1" t="n">
        <v>45845.35546296297</v>
      </c>
      <c r="C281" s="1" t="n">
        <v>46102</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34093-2025</t>
        </is>
      </c>
      <c r="B282" s="1" t="n">
        <v>45845.47775462963</v>
      </c>
      <c r="C282" s="1" t="n">
        <v>46102</v>
      </c>
      <c r="D282" t="inlineStr">
        <is>
          <t>ÖREBRO LÄN</t>
        </is>
      </c>
      <c r="E282" t="inlineStr">
        <is>
          <t>HÄLLEFORS</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30592-2024</t>
        </is>
      </c>
      <c r="B283" s="1" t="n">
        <v>45493.31666666667</v>
      </c>
      <c r="C283" s="1" t="n">
        <v>46102</v>
      </c>
      <c r="D283" t="inlineStr">
        <is>
          <t>ÖREBRO LÄN</t>
        </is>
      </c>
      <c r="E283" t="inlineStr">
        <is>
          <t>HÄLLEFORS</t>
        </is>
      </c>
      <c r="G283" t="n">
        <v>7.1</v>
      </c>
      <c r="H283" t="n">
        <v>0</v>
      </c>
      <c r="I283" t="n">
        <v>0</v>
      </c>
      <c r="J283" t="n">
        <v>0</v>
      </c>
      <c r="K283" t="n">
        <v>0</v>
      </c>
      <c r="L283" t="n">
        <v>0</v>
      </c>
      <c r="M283" t="n">
        <v>0</v>
      </c>
      <c r="N283" t="n">
        <v>0</v>
      </c>
      <c r="O283" t="n">
        <v>0</v>
      </c>
      <c r="P283" t="n">
        <v>0</v>
      </c>
      <c r="Q283" t="n">
        <v>0</v>
      </c>
      <c r="R283" s="2" t="inlineStr"/>
    </row>
    <row r="284" ht="15" customHeight="1">
      <c r="A284" t="inlineStr">
        <is>
          <t>A 46987-2023</t>
        </is>
      </c>
      <c r="B284" s="1" t="n">
        <v>45201</v>
      </c>
      <c r="C284" s="1" t="n">
        <v>46102</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34062-2025</t>
        </is>
      </c>
      <c r="B285" s="1" t="n">
        <v>45845.4264699074</v>
      </c>
      <c r="C285" s="1" t="n">
        <v>46102</v>
      </c>
      <c r="D285" t="inlineStr">
        <is>
          <t>ÖREBRO LÄN</t>
        </is>
      </c>
      <c r="E285" t="inlineStr">
        <is>
          <t>HÄLLEFORS</t>
        </is>
      </c>
      <c r="G285" t="n">
        <v>1.3</v>
      </c>
      <c r="H285" t="n">
        <v>0</v>
      </c>
      <c r="I285" t="n">
        <v>0</v>
      </c>
      <c r="J285" t="n">
        <v>0</v>
      </c>
      <c r="K285" t="n">
        <v>0</v>
      </c>
      <c r="L285" t="n">
        <v>0</v>
      </c>
      <c r="M285" t="n">
        <v>0</v>
      </c>
      <c r="N285" t="n">
        <v>0</v>
      </c>
      <c r="O285" t="n">
        <v>0</v>
      </c>
      <c r="P285" t="n">
        <v>0</v>
      </c>
      <c r="Q285" t="n">
        <v>0</v>
      </c>
      <c r="R285" s="2" t="inlineStr"/>
    </row>
    <row r="286" ht="15" customHeight="1">
      <c r="A286" t="inlineStr">
        <is>
          <t>A 35243-2022</t>
        </is>
      </c>
      <c r="B286" s="1" t="n">
        <v>44798</v>
      </c>
      <c r="C286" s="1" t="n">
        <v>46102</v>
      </c>
      <c r="D286" t="inlineStr">
        <is>
          <t>ÖREBRO LÄN</t>
        </is>
      </c>
      <c r="E286" t="inlineStr">
        <is>
          <t>HÄLLEFORS</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17075-2025</t>
        </is>
      </c>
      <c r="B287" s="1" t="n">
        <v>45755.62278935185</v>
      </c>
      <c r="C287" s="1" t="n">
        <v>46102</v>
      </c>
      <c r="D287" t="inlineStr">
        <is>
          <t>ÖREBRO LÄN</t>
        </is>
      </c>
      <c r="E287" t="inlineStr">
        <is>
          <t>HÄLLEFORS</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5033-2025</t>
        </is>
      </c>
      <c r="B288" s="1" t="n">
        <v>45691.425625</v>
      </c>
      <c r="C288" s="1" t="n">
        <v>46102</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18627-2025</t>
        </is>
      </c>
      <c r="B289" s="1" t="n">
        <v>45763.53284722222</v>
      </c>
      <c r="C289" s="1" t="n">
        <v>46102</v>
      </c>
      <c r="D289" t="inlineStr">
        <is>
          <t>ÖREBRO LÄN</t>
        </is>
      </c>
      <c r="E289" t="inlineStr">
        <is>
          <t>HÄLLEFORS</t>
        </is>
      </c>
      <c r="F289" t="inlineStr">
        <is>
          <t>Bergvik skog väst AB</t>
        </is>
      </c>
      <c r="G289" t="n">
        <v>5.3</v>
      </c>
      <c r="H289" t="n">
        <v>0</v>
      </c>
      <c r="I289" t="n">
        <v>0</v>
      </c>
      <c r="J289" t="n">
        <v>0</v>
      </c>
      <c r="K289" t="n">
        <v>0</v>
      </c>
      <c r="L289" t="n">
        <v>0</v>
      </c>
      <c r="M289" t="n">
        <v>0</v>
      </c>
      <c r="N289" t="n">
        <v>0</v>
      </c>
      <c r="O289" t="n">
        <v>0</v>
      </c>
      <c r="P289" t="n">
        <v>0</v>
      </c>
      <c r="Q289" t="n">
        <v>0</v>
      </c>
      <c r="R289" s="2" t="inlineStr"/>
    </row>
    <row r="290" ht="15" customHeight="1">
      <c r="A290" t="inlineStr">
        <is>
          <t>A 17350-2025</t>
        </is>
      </c>
      <c r="B290" s="1" t="n">
        <v>45756.68074074074</v>
      </c>
      <c r="C290" s="1" t="n">
        <v>46102</v>
      </c>
      <c r="D290" t="inlineStr">
        <is>
          <t>ÖREBRO LÄN</t>
        </is>
      </c>
      <c r="E290" t="inlineStr">
        <is>
          <t>HÄLLEFORS</t>
        </is>
      </c>
      <c r="F290" t="inlineStr">
        <is>
          <t>Bergvik skog väst AB</t>
        </is>
      </c>
      <c r="G290" t="n">
        <v>6.9</v>
      </c>
      <c r="H290" t="n">
        <v>0</v>
      </c>
      <c r="I290" t="n">
        <v>0</v>
      </c>
      <c r="J290" t="n">
        <v>0</v>
      </c>
      <c r="K290" t="n">
        <v>0</v>
      </c>
      <c r="L290" t="n">
        <v>0</v>
      </c>
      <c r="M290" t="n">
        <v>0</v>
      </c>
      <c r="N290" t="n">
        <v>0</v>
      </c>
      <c r="O290" t="n">
        <v>0</v>
      </c>
      <c r="P290" t="n">
        <v>0</v>
      </c>
      <c r="Q290" t="n">
        <v>0</v>
      </c>
      <c r="R290" s="2" t="inlineStr"/>
    </row>
    <row r="291" ht="15" customHeight="1">
      <c r="A291" t="inlineStr">
        <is>
          <t>A 9411-2022</t>
        </is>
      </c>
      <c r="B291" s="1" t="n">
        <v>44616</v>
      </c>
      <c r="C291" s="1" t="n">
        <v>46102</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27513-2021</t>
        </is>
      </c>
      <c r="B292" s="1" t="n">
        <v>44351</v>
      </c>
      <c r="C292" s="1" t="n">
        <v>46102</v>
      </c>
      <c r="D292" t="inlineStr">
        <is>
          <t>ÖREBRO LÄN</t>
        </is>
      </c>
      <c r="E292" t="inlineStr">
        <is>
          <t>HÄLLEFORS</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3057-2024</t>
        </is>
      </c>
      <c r="B293" s="1" t="n">
        <v>45316</v>
      </c>
      <c r="C293" s="1" t="n">
        <v>46102</v>
      </c>
      <c r="D293" t="inlineStr">
        <is>
          <t>ÖREBRO LÄN</t>
        </is>
      </c>
      <c r="E293" t="inlineStr">
        <is>
          <t>HÄLLEFORS</t>
        </is>
      </c>
      <c r="F293" t="inlineStr">
        <is>
          <t>Bergvik skog väst AB</t>
        </is>
      </c>
      <c r="G293" t="n">
        <v>12.2</v>
      </c>
      <c r="H293" t="n">
        <v>0</v>
      </c>
      <c r="I293" t="n">
        <v>0</v>
      </c>
      <c r="J293" t="n">
        <v>0</v>
      </c>
      <c r="K293" t="n">
        <v>0</v>
      </c>
      <c r="L293" t="n">
        <v>0</v>
      </c>
      <c r="M293" t="n">
        <v>0</v>
      </c>
      <c r="N293" t="n">
        <v>0</v>
      </c>
      <c r="O293" t="n">
        <v>0</v>
      </c>
      <c r="P293" t="n">
        <v>0</v>
      </c>
      <c r="Q293" t="n">
        <v>0</v>
      </c>
      <c r="R293" s="2" t="inlineStr"/>
    </row>
    <row r="294" ht="15" customHeight="1">
      <c r="A294" t="inlineStr">
        <is>
          <t>A 33944-2024</t>
        </is>
      </c>
      <c r="B294" s="1" t="n">
        <v>45523</v>
      </c>
      <c r="C294" s="1" t="n">
        <v>46102</v>
      </c>
      <c r="D294" t="inlineStr">
        <is>
          <t>ÖREBRO LÄN</t>
        </is>
      </c>
      <c r="E294" t="inlineStr">
        <is>
          <t>HÄLLEFORS</t>
        </is>
      </c>
      <c r="G294" t="n">
        <v>5.9</v>
      </c>
      <c r="H294" t="n">
        <v>0</v>
      </c>
      <c r="I294" t="n">
        <v>0</v>
      </c>
      <c r="J294" t="n">
        <v>0</v>
      </c>
      <c r="K294" t="n">
        <v>0</v>
      </c>
      <c r="L294" t="n">
        <v>0</v>
      </c>
      <c r="M294" t="n">
        <v>0</v>
      </c>
      <c r="N294" t="n">
        <v>0</v>
      </c>
      <c r="O294" t="n">
        <v>0</v>
      </c>
      <c r="P294" t="n">
        <v>0</v>
      </c>
      <c r="Q294" t="n">
        <v>0</v>
      </c>
      <c r="R294" s="2" t="inlineStr"/>
    </row>
    <row r="295" ht="15" customHeight="1">
      <c r="A295" t="inlineStr">
        <is>
          <t>A 55756-2023</t>
        </is>
      </c>
      <c r="B295" s="1" t="n">
        <v>45239</v>
      </c>
      <c r="C295" s="1" t="n">
        <v>46102</v>
      </c>
      <c r="D295" t="inlineStr">
        <is>
          <t>ÖREBRO LÄN</t>
        </is>
      </c>
      <c r="E295" t="inlineStr">
        <is>
          <t>HÄLLEFORS</t>
        </is>
      </c>
      <c r="G295" t="n">
        <v>1.6</v>
      </c>
      <c r="H295" t="n">
        <v>0</v>
      </c>
      <c r="I295" t="n">
        <v>0</v>
      </c>
      <c r="J295" t="n">
        <v>0</v>
      </c>
      <c r="K295" t="n">
        <v>0</v>
      </c>
      <c r="L295" t="n">
        <v>0</v>
      </c>
      <c r="M295" t="n">
        <v>0</v>
      </c>
      <c r="N295" t="n">
        <v>0</v>
      </c>
      <c r="O295" t="n">
        <v>0</v>
      </c>
      <c r="P295" t="n">
        <v>0</v>
      </c>
      <c r="Q295" t="n">
        <v>0</v>
      </c>
      <c r="R295" s="2" t="inlineStr"/>
    </row>
    <row r="296" ht="15" customHeight="1">
      <c r="A296" t="inlineStr">
        <is>
          <t>A 35183-2023</t>
        </is>
      </c>
      <c r="B296" s="1" t="n">
        <v>45145.59578703704</v>
      </c>
      <c r="C296" s="1" t="n">
        <v>46102</v>
      </c>
      <c r="D296" t="inlineStr">
        <is>
          <t>ÖREBRO LÄN</t>
        </is>
      </c>
      <c r="E296" t="inlineStr">
        <is>
          <t>HÄLLEFORS</t>
        </is>
      </c>
      <c r="F296" t="inlineStr">
        <is>
          <t>Bergvik skog väst AB</t>
        </is>
      </c>
      <c r="G296" t="n">
        <v>6.6</v>
      </c>
      <c r="H296" t="n">
        <v>0</v>
      </c>
      <c r="I296" t="n">
        <v>0</v>
      </c>
      <c r="J296" t="n">
        <v>0</v>
      </c>
      <c r="K296" t="n">
        <v>0</v>
      </c>
      <c r="L296" t="n">
        <v>0</v>
      </c>
      <c r="M296" t="n">
        <v>0</v>
      </c>
      <c r="N296" t="n">
        <v>0</v>
      </c>
      <c r="O296" t="n">
        <v>0</v>
      </c>
      <c r="P296" t="n">
        <v>0</v>
      </c>
      <c r="Q296" t="n">
        <v>0</v>
      </c>
      <c r="R296" s="2" t="inlineStr"/>
    </row>
    <row r="297" ht="15" customHeight="1">
      <c r="A297" t="inlineStr">
        <is>
          <t>A 19055-2024</t>
        </is>
      </c>
      <c r="B297" s="1" t="n">
        <v>45427.79534722222</v>
      </c>
      <c r="C297" s="1" t="n">
        <v>46102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5256-2025</t>
        </is>
      </c>
      <c r="B298" s="1" t="n">
        <v>45692.36032407408</v>
      </c>
      <c r="C298" s="1" t="n">
        <v>46102</v>
      </c>
      <c r="D298" t="inlineStr">
        <is>
          <t>ÖREBRO LÄN</t>
        </is>
      </c>
      <c r="E298" t="inlineStr">
        <is>
          <t>HÄLLEFORS</t>
        </is>
      </c>
      <c r="F298" t="inlineStr">
        <is>
          <t>Bergvik skog väst AB</t>
        </is>
      </c>
      <c r="G298" t="n">
        <v>6.3</v>
      </c>
      <c r="H298" t="n">
        <v>0</v>
      </c>
      <c r="I298" t="n">
        <v>0</v>
      </c>
      <c r="J298" t="n">
        <v>0</v>
      </c>
      <c r="K298" t="n">
        <v>0</v>
      </c>
      <c r="L298" t="n">
        <v>0</v>
      </c>
      <c r="M298" t="n">
        <v>0</v>
      </c>
      <c r="N298" t="n">
        <v>0</v>
      </c>
      <c r="O298" t="n">
        <v>0</v>
      </c>
      <c r="P298" t="n">
        <v>0</v>
      </c>
      <c r="Q298" t="n">
        <v>0</v>
      </c>
      <c r="R298" s="2" t="inlineStr"/>
    </row>
    <row r="299" ht="15" customHeight="1">
      <c r="A299" t="inlineStr">
        <is>
          <t>A 17045-2025</t>
        </is>
      </c>
      <c r="B299" s="1" t="n">
        <v>45755.59307870371</v>
      </c>
      <c r="C299" s="1" t="n">
        <v>46102</v>
      </c>
      <c r="D299" t="inlineStr">
        <is>
          <t>ÖREBRO LÄN</t>
        </is>
      </c>
      <c r="E299" t="inlineStr">
        <is>
          <t>HÄLLEFORS</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16928-2025</t>
        </is>
      </c>
      <c r="B300" s="1" t="n">
        <v>45755.39711805555</v>
      </c>
      <c r="C300" s="1" t="n">
        <v>46102</v>
      </c>
      <c r="D300" t="inlineStr">
        <is>
          <t>ÖREBRO LÄN</t>
        </is>
      </c>
      <c r="E300" t="inlineStr">
        <is>
          <t>HÄLLEFORS</t>
        </is>
      </c>
      <c r="F300" t="inlineStr">
        <is>
          <t>Bergvik skog väst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44107-2024</t>
        </is>
      </c>
      <c r="B301" s="1" t="n">
        <v>45572.63357638889</v>
      </c>
      <c r="C301" s="1" t="n">
        <v>46102</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12558-2025</t>
        </is>
      </c>
      <c r="B302" s="1" t="n">
        <v>45731.46960648148</v>
      </c>
      <c r="C302" s="1" t="n">
        <v>46102</v>
      </c>
      <c r="D302" t="inlineStr">
        <is>
          <t>ÖREBRO LÄN</t>
        </is>
      </c>
      <c r="E302" t="inlineStr">
        <is>
          <t>HÄLLEFORS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18605-2025</t>
        </is>
      </c>
      <c r="B303" s="1" t="n">
        <v>45763.49344907407</v>
      </c>
      <c r="C303" s="1" t="n">
        <v>46102</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51212-2023</t>
        </is>
      </c>
      <c r="B304" s="1" t="n">
        <v>45219.44366898148</v>
      </c>
      <c r="C304" s="1" t="n">
        <v>46102</v>
      </c>
      <c r="D304" t="inlineStr">
        <is>
          <t>ÖREBRO LÄN</t>
        </is>
      </c>
      <c r="E304" t="inlineStr">
        <is>
          <t>HÄLLEFORS</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45710-2023</t>
        </is>
      </c>
      <c r="B305" s="1" t="n">
        <v>45195.35254629629</v>
      </c>
      <c r="C305" s="1" t="n">
        <v>46102</v>
      </c>
      <c r="D305" t="inlineStr">
        <is>
          <t>ÖREBRO LÄN</t>
        </is>
      </c>
      <c r="E305" t="inlineStr">
        <is>
          <t>HÄLLEFORS</t>
        </is>
      </c>
      <c r="G305" t="n">
        <v>5.4</v>
      </c>
      <c r="H305" t="n">
        <v>0</v>
      </c>
      <c r="I305" t="n">
        <v>0</v>
      </c>
      <c r="J305" t="n">
        <v>0</v>
      </c>
      <c r="K305" t="n">
        <v>0</v>
      </c>
      <c r="L305" t="n">
        <v>0</v>
      </c>
      <c r="M305" t="n">
        <v>0</v>
      </c>
      <c r="N305" t="n">
        <v>0</v>
      </c>
      <c r="O305" t="n">
        <v>0</v>
      </c>
      <c r="P305" t="n">
        <v>0</v>
      </c>
      <c r="Q305" t="n">
        <v>0</v>
      </c>
      <c r="R305" s="2" t="inlineStr"/>
    </row>
    <row r="306" ht="15" customHeight="1">
      <c r="A306" t="inlineStr">
        <is>
          <t>A 5245-2025</t>
        </is>
      </c>
      <c r="B306" s="1" t="n">
        <v>45692</v>
      </c>
      <c r="C306" s="1" t="n">
        <v>46102</v>
      </c>
      <c r="D306" t="inlineStr">
        <is>
          <t>ÖREBRO LÄN</t>
        </is>
      </c>
      <c r="E306" t="inlineStr">
        <is>
          <t>HÄLLEFORS</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46102</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46102</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37232-2025</t>
        </is>
      </c>
      <c r="B309" s="1" t="n">
        <v>45876.34452546296</v>
      </c>
      <c r="C309" s="1" t="n">
        <v>46102</v>
      </c>
      <c r="D309" t="inlineStr">
        <is>
          <t>ÖREBRO LÄN</t>
        </is>
      </c>
      <c r="E309" t="inlineStr">
        <is>
          <t>HÄLLEFORS</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46102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46102</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46102</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38148-2025</t>
        </is>
      </c>
      <c r="B313" s="1" t="n">
        <v>45882.58855324074</v>
      </c>
      <c r="C313" s="1" t="n">
        <v>46102</v>
      </c>
      <c r="D313" t="inlineStr">
        <is>
          <t>ÖREBRO LÄN</t>
        </is>
      </c>
      <c r="E313" t="inlineStr">
        <is>
          <t>HÄLLEFORS</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16930-2025</t>
        </is>
      </c>
      <c r="B314" s="1" t="n">
        <v>45755.40039351852</v>
      </c>
      <c r="C314" s="1" t="n">
        <v>46102</v>
      </c>
      <c r="D314" t="inlineStr">
        <is>
          <t>ÖREBRO LÄN</t>
        </is>
      </c>
      <c r="E314" t="inlineStr">
        <is>
          <t>HÄLLEFORS</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21315-2024</t>
        </is>
      </c>
      <c r="B315" s="1" t="n">
        <v>45440</v>
      </c>
      <c r="C315" s="1" t="n">
        <v>46102</v>
      </c>
      <c r="D315" t="inlineStr">
        <is>
          <t>ÖREBRO LÄN</t>
        </is>
      </c>
      <c r="E315" t="inlineStr">
        <is>
          <t>HÄLLEFORS</t>
        </is>
      </c>
      <c r="G315" t="n">
        <v>3.1</v>
      </c>
      <c r="H315" t="n">
        <v>0</v>
      </c>
      <c r="I315" t="n">
        <v>0</v>
      </c>
      <c r="J315" t="n">
        <v>0</v>
      </c>
      <c r="K315" t="n">
        <v>0</v>
      </c>
      <c r="L315" t="n">
        <v>0</v>
      </c>
      <c r="M315" t="n">
        <v>0</v>
      </c>
      <c r="N315" t="n">
        <v>0</v>
      </c>
      <c r="O315" t="n">
        <v>0</v>
      </c>
      <c r="P315" t="n">
        <v>0</v>
      </c>
      <c r="Q315" t="n">
        <v>0</v>
      </c>
      <c r="R315" s="2" t="inlineStr"/>
    </row>
    <row r="316" ht="15" customHeight="1">
      <c r="A316" t="inlineStr">
        <is>
          <t>A 13757-2023</t>
        </is>
      </c>
      <c r="B316" s="1" t="n">
        <v>45007.42442129629</v>
      </c>
      <c r="C316" s="1" t="n">
        <v>46102</v>
      </c>
      <c r="D316" t="inlineStr">
        <is>
          <t>ÖREBRO LÄN</t>
        </is>
      </c>
      <c r="E316" t="inlineStr">
        <is>
          <t>HÄLLEFORS</t>
        </is>
      </c>
      <c r="F316" t="inlineStr">
        <is>
          <t>Bergvik skog väst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46102</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29280-2025</t>
        </is>
      </c>
      <c r="B318" s="1" t="n">
        <v>45824</v>
      </c>
      <c r="C318" s="1" t="n">
        <v>46102</v>
      </c>
      <c r="D318" t="inlineStr">
        <is>
          <t>ÖREBRO LÄN</t>
        </is>
      </c>
      <c r="E318" t="inlineStr">
        <is>
          <t>HÄLLEFORS</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46980-2023</t>
        </is>
      </c>
      <c r="B319" s="1" t="n">
        <v>45201</v>
      </c>
      <c r="C319" s="1" t="n">
        <v>46102</v>
      </c>
      <c r="D319" t="inlineStr">
        <is>
          <t>ÖREBRO LÄN</t>
        </is>
      </c>
      <c r="E319" t="inlineStr">
        <is>
          <t>HÄLLEFORS</t>
        </is>
      </c>
      <c r="F319" t="inlineStr">
        <is>
          <t>Bergvik skog väst AB</t>
        </is>
      </c>
      <c r="G319" t="n">
        <v>7.5</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46102</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46102</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46102</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46102</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34898-2021</t>
        </is>
      </c>
      <c r="B324" s="1" t="n">
        <v>44383</v>
      </c>
      <c r="C324" s="1" t="n">
        <v>46102</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28004-2022</t>
        </is>
      </c>
      <c r="B325" s="1" t="n">
        <v>44746.34457175926</v>
      </c>
      <c r="C325" s="1" t="n">
        <v>46102</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67953-2021</t>
        </is>
      </c>
      <c r="B326" s="1" t="n">
        <v>44525.63929398148</v>
      </c>
      <c r="C326" s="1" t="n">
        <v>46102</v>
      </c>
      <c r="D326" t="inlineStr">
        <is>
          <t>ÖREBRO LÄN</t>
        </is>
      </c>
      <c r="E326" t="inlineStr">
        <is>
          <t>HÄLLEFORS</t>
        </is>
      </c>
      <c r="G326" t="n">
        <v>2</v>
      </c>
      <c r="H326" t="n">
        <v>0</v>
      </c>
      <c r="I326" t="n">
        <v>0</v>
      </c>
      <c r="J326" t="n">
        <v>0</v>
      </c>
      <c r="K326" t="n">
        <v>0</v>
      </c>
      <c r="L326" t="n">
        <v>0</v>
      </c>
      <c r="M326" t="n">
        <v>0</v>
      </c>
      <c r="N326" t="n">
        <v>0</v>
      </c>
      <c r="O326" t="n">
        <v>0</v>
      </c>
      <c r="P326" t="n">
        <v>0</v>
      </c>
      <c r="Q326" t="n">
        <v>0</v>
      </c>
      <c r="R326" s="2" t="inlineStr"/>
    </row>
    <row r="327" ht="15" customHeight="1">
      <c r="A327" t="inlineStr">
        <is>
          <t>A 41822-2023</t>
        </is>
      </c>
      <c r="B327" s="1" t="n">
        <v>45176.56863425926</v>
      </c>
      <c r="C327" s="1" t="n">
        <v>46102</v>
      </c>
      <c r="D327" t="inlineStr">
        <is>
          <t>ÖREBRO LÄN</t>
        </is>
      </c>
      <c r="E327" t="inlineStr">
        <is>
          <t>HÄLLEFORS</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14120-2023</t>
        </is>
      </c>
      <c r="B328" s="1" t="n">
        <v>45009</v>
      </c>
      <c r="C328" s="1" t="n">
        <v>46102</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44105-2024</t>
        </is>
      </c>
      <c r="B329" s="1" t="n">
        <v>45572.62980324074</v>
      </c>
      <c r="C329" s="1" t="n">
        <v>46102</v>
      </c>
      <c r="D329" t="inlineStr">
        <is>
          <t>ÖREBRO LÄN</t>
        </is>
      </c>
      <c r="E329" t="inlineStr">
        <is>
          <t>HÄLLEFORS</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50571-2024</t>
        </is>
      </c>
      <c r="B330" s="1" t="n">
        <v>45601.60576388889</v>
      </c>
      <c r="C330" s="1" t="n">
        <v>46102</v>
      </c>
      <c r="D330" t="inlineStr">
        <is>
          <t>ÖREBRO LÄN</t>
        </is>
      </c>
      <c r="E330" t="inlineStr">
        <is>
          <t>HÄLLEFORS</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33617-2022</t>
        </is>
      </c>
      <c r="B331" s="1" t="n">
        <v>44782</v>
      </c>
      <c r="C331" s="1" t="n">
        <v>46102</v>
      </c>
      <c r="D331" t="inlineStr">
        <is>
          <t>ÖREBRO LÄN</t>
        </is>
      </c>
      <c r="E331" t="inlineStr">
        <is>
          <t>HÄLLEFORS</t>
        </is>
      </c>
      <c r="G331" t="n">
        <v>8.6</v>
      </c>
      <c r="H331" t="n">
        <v>0</v>
      </c>
      <c r="I331" t="n">
        <v>0</v>
      </c>
      <c r="J331" t="n">
        <v>0</v>
      </c>
      <c r="K331" t="n">
        <v>0</v>
      </c>
      <c r="L331" t="n">
        <v>0</v>
      </c>
      <c r="M331" t="n">
        <v>0</v>
      </c>
      <c r="N331" t="n">
        <v>0</v>
      </c>
      <c r="O331" t="n">
        <v>0</v>
      </c>
      <c r="P331" t="n">
        <v>0</v>
      </c>
      <c r="Q331" t="n">
        <v>0</v>
      </c>
      <c r="R331" s="2" t="inlineStr"/>
    </row>
    <row r="332" ht="15" customHeight="1">
      <c r="A332" t="inlineStr">
        <is>
          <t>A 48429-2024</t>
        </is>
      </c>
      <c r="B332" s="1" t="n">
        <v>45590</v>
      </c>
      <c r="C332" s="1" t="n">
        <v>46102</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4716-2022</t>
        </is>
      </c>
      <c r="B333" s="1" t="n">
        <v>44592</v>
      </c>
      <c r="C333" s="1" t="n">
        <v>46102</v>
      </c>
      <c r="D333" t="inlineStr">
        <is>
          <t>ÖREBRO LÄN</t>
        </is>
      </c>
      <c r="E333" t="inlineStr">
        <is>
          <t>HÄLLEFORS</t>
        </is>
      </c>
      <c r="G333" t="n">
        <v>1.5</v>
      </c>
      <c r="H333" t="n">
        <v>0</v>
      </c>
      <c r="I333" t="n">
        <v>0</v>
      </c>
      <c r="J333" t="n">
        <v>0</v>
      </c>
      <c r="K333" t="n">
        <v>0</v>
      </c>
      <c r="L333" t="n">
        <v>0</v>
      </c>
      <c r="M333" t="n">
        <v>0</v>
      </c>
      <c r="N333" t="n">
        <v>0</v>
      </c>
      <c r="O333" t="n">
        <v>0</v>
      </c>
      <c r="P333" t="n">
        <v>0</v>
      </c>
      <c r="Q333" t="n">
        <v>0</v>
      </c>
      <c r="R333" s="2" t="inlineStr"/>
    </row>
    <row r="334" ht="15" customHeight="1">
      <c r="A334" t="inlineStr">
        <is>
          <t>A 9906-2024</t>
        </is>
      </c>
      <c r="B334" s="1" t="n">
        <v>45363.53322916666</v>
      </c>
      <c r="C334" s="1" t="n">
        <v>46102</v>
      </c>
      <c r="D334" t="inlineStr">
        <is>
          <t>ÖREBRO LÄN</t>
        </is>
      </c>
      <c r="E334" t="inlineStr">
        <is>
          <t>HÄLLEFORS</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18555-2025</t>
        </is>
      </c>
      <c r="B335" s="1" t="n">
        <v>45763</v>
      </c>
      <c r="C335" s="1" t="n">
        <v>46102</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52367-2022</t>
        </is>
      </c>
      <c r="B336" s="1" t="n">
        <v>44874</v>
      </c>
      <c r="C336" s="1" t="n">
        <v>46102</v>
      </c>
      <c r="D336" t="inlineStr">
        <is>
          <t>ÖREBRO LÄN</t>
        </is>
      </c>
      <c r="E336" t="inlineStr">
        <is>
          <t>HÄLLEFORS</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19033-2021</t>
        </is>
      </c>
      <c r="B337" s="1" t="n">
        <v>44308</v>
      </c>
      <c r="C337" s="1" t="n">
        <v>46102</v>
      </c>
      <c r="D337" t="inlineStr">
        <is>
          <t>ÖREBRO LÄN</t>
        </is>
      </c>
      <c r="E337" t="inlineStr">
        <is>
          <t>HÄLLEFORS</t>
        </is>
      </c>
      <c r="G337" t="n">
        <v>7.8</v>
      </c>
      <c r="H337" t="n">
        <v>0</v>
      </c>
      <c r="I337" t="n">
        <v>0</v>
      </c>
      <c r="J337" t="n">
        <v>0</v>
      </c>
      <c r="K337" t="n">
        <v>0</v>
      </c>
      <c r="L337" t="n">
        <v>0</v>
      </c>
      <c r="M337" t="n">
        <v>0</v>
      </c>
      <c r="N337" t="n">
        <v>0</v>
      </c>
      <c r="O337" t="n">
        <v>0</v>
      </c>
      <c r="P337" t="n">
        <v>0</v>
      </c>
      <c r="Q337" t="n">
        <v>0</v>
      </c>
      <c r="R337" s="2" t="inlineStr"/>
    </row>
    <row r="338" ht="15" customHeight="1">
      <c r="A338" t="inlineStr">
        <is>
          <t>A 36276-2024</t>
        </is>
      </c>
      <c r="B338" s="1" t="n">
        <v>45534.58140046296</v>
      </c>
      <c r="C338" s="1" t="n">
        <v>46102</v>
      </c>
      <c r="D338" t="inlineStr">
        <is>
          <t>ÖREBRO LÄN</t>
        </is>
      </c>
      <c r="E338" t="inlineStr">
        <is>
          <t>HÄLLEFORS</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51488-2021</t>
        </is>
      </c>
      <c r="B339" s="1" t="n">
        <v>44460</v>
      </c>
      <c r="C339" s="1" t="n">
        <v>46102</v>
      </c>
      <c r="D339" t="inlineStr">
        <is>
          <t>ÖREBRO LÄN</t>
        </is>
      </c>
      <c r="E339" t="inlineStr">
        <is>
          <t>HÄLLEFORS</t>
        </is>
      </c>
      <c r="G339" t="n">
        <v>2.8</v>
      </c>
      <c r="H339" t="n">
        <v>0</v>
      </c>
      <c r="I339" t="n">
        <v>0</v>
      </c>
      <c r="J339" t="n">
        <v>0</v>
      </c>
      <c r="K339" t="n">
        <v>0</v>
      </c>
      <c r="L339" t="n">
        <v>0</v>
      </c>
      <c r="M339" t="n">
        <v>0</v>
      </c>
      <c r="N339" t="n">
        <v>0</v>
      </c>
      <c r="O339" t="n">
        <v>0</v>
      </c>
      <c r="P339" t="n">
        <v>0</v>
      </c>
      <c r="Q339" t="n">
        <v>0</v>
      </c>
      <c r="R339" s="2" t="inlineStr"/>
    </row>
    <row r="340" ht="15" customHeight="1">
      <c r="A340" t="inlineStr">
        <is>
          <t>A 28788-2022</t>
        </is>
      </c>
      <c r="B340" s="1" t="n">
        <v>44749.39806712963</v>
      </c>
      <c r="C340" s="1" t="n">
        <v>46102</v>
      </c>
      <c r="D340" t="inlineStr">
        <is>
          <t>ÖREBRO LÄN</t>
        </is>
      </c>
      <c r="E340" t="inlineStr">
        <is>
          <t>HÄLLEFORS</t>
        </is>
      </c>
      <c r="G340" t="n">
        <v>1.1</v>
      </c>
      <c r="H340" t="n">
        <v>0</v>
      </c>
      <c r="I340" t="n">
        <v>0</v>
      </c>
      <c r="J340" t="n">
        <v>0</v>
      </c>
      <c r="K340" t="n">
        <v>0</v>
      </c>
      <c r="L340" t="n">
        <v>0</v>
      </c>
      <c r="M340" t="n">
        <v>0</v>
      </c>
      <c r="N340" t="n">
        <v>0</v>
      </c>
      <c r="O340" t="n">
        <v>0</v>
      </c>
      <c r="P340" t="n">
        <v>0</v>
      </c>
      <c r="Q340" t="n">
        <v>0</v>
      </c>
      <c r="R340" s="2" t="inlineStr"/>
    </row>
    <row r="341" ht="15" customHeight="1">
      <c r="A341" t="inlineStr">
        <is>
          <t>A 55477-2023</t>
        </is>
      </c>
      <c r="B341" s="1" t="n">
        <v>45238</v>
      </c>
      <c r="C341" s="1" t="n">
        <v>46102</v>
      </c>
      <c r="D341" t="inlineStr">
        <is>
          <t>ÖREBRO LÄN</t>
        </is>
      </c>
      <c r="E341" t="inlineStr">
        <is>
          <t>HÄLLEFORS</t>
        </is>
      </c>
      <c r="F341" t="inlineStr">
        <is>
          <t>Bergvik skog väst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43966-2024</t>
        </is>
      </c>
      <c r="B342" s="1" t="n">
        <v>45572.48516203704</v>
      </c>
      <c r="C342" s="1" t="n">
        <v>46102</v>
      </c>
      <c r="D342" t="inlineStr">
        <is>
          <t>ÖREBRO LÄN</t>
        </is>
      </c>
      <c r="E342" t="inlineStr">
        <is>
          <t>HÄLLEFORS</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4583-2025</t>
        </is>
      </c>
      <c r="B343" s="1" t="n">
        <v>45687.51539351852</v>
      </c>
      <c r="C343" s="1" t="n">
        <v>46102</v>
      </c>
      <c r="D343" t="inlineStr">
        <is>
          <t>ÖREBRO LÄN</t>
        </is>
      </c>
      <c r="E343" t="inlineStr">
        <is>
          <t>HÄLLEFORS</t>
        </is>
      </c>
      <c r="G343" t="n">
        <v>3.3</v>
      </c>
      <c r="H343" t="n">
        <v>0</v>
      </c>
      <c r="I343" t="n">
        <v>0</v>
      </c>
      <c r="J343" t="n">
        <v>0</v>
      </c>
      <c r="K343" t="n">
        <v>0</v>
      </c>
      <c r="L343" t="n">
        <v>0</v>
      </c>
      <c r="M343" t="n">
        <v>0</v>
      </c>
      <c r="N343" t="n">
        <v>0</v>
      </c>
      <c r="O343" t="n">
        <v>0</v>
      </c>
      <c r="P343" t="n">
        <v>0</v>
      </c>
      <c r="Q343" t="n">
        <v>0</v>
      </c>
      <c r="R343" s="2" t="inlineStr"/>
    </row>
    <row r="344" ht="15" customHeight="1">
      <c r="A344" t="inlineStr">
        <is>
          <t>A 17072-2025</t>
        </is>
      </c>
      <c r="B344" s="1" t="n">
        <v>45755.61793981482</v>
      </c>
      <c r="C344" s="1" t="n">
        <v>46102</v>
      </c>
      <c r="D344" t="inlineStr">
        <is>
          <t>ÖREBRO LÄN</t>
        </is>
      </c>
      <c r="E344" t="inlineStr">
        <is>
          <t>HÄLLEFORS</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27935-2023</t>
        </is>
      </c>
      <c r="B345" s="1" t="n">
        <v>45098.65641203704</v>
      </c>
      <c r="C345" s="1" t="n">
        <v>46102</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23036-2024</t>
        </is>
      </c>
      <c r="B346" s="1" t="n">
        <v>45450.39145833333</v>
      </c>
      <c r="C346" s="1" t="n">
        <v>46102</v>
      </c>
      <c r="D346" t="inlineStr">
        <is>
          <t>ÖREBRO LÄN</t>
        </is>
      </c>
      <c r="E346" t="inlineStr">
        <is>
          <t>HÄLLEFORS</t>
        </is>
      </c>
      <c r="G346" t="n">
        <v>1.5</v>
      </c>
      <c r="H346" t="n">
        <v>0</v>
      </c>
      <c r="I346" t="n">
        <v>0</v>
      </c>
      <c r="J346" t="n">
        <v>0</v>
      </c>
      <c r="K346" t="n">
        <v>0</v>
      </c>
      <c r="L346" t="n">
        <v>0</v>
      </c>
      <c r="M346" t="n">
        <v>0</v>
      </c>
      <c r="N346" t="n">
        <v>0</v>
      </c>
      <c r="O346" t="n">
        <v>0</v>
      </c>
      <c r="P346" t="n">
        <v>0</v>
      </c>
      <c r="Q346" t="n">
        <v>0</v>
      </c>
      <c r="R346" s="2" t="inlineStr"/>
    </row>
    <row r="347" ht="15" customHeight="1">
      <c r="A347" t="inlineStr">
        <is>
          <t>A 60312-2024</t>
        </is>
      </c>
      <c r="B347" s="1" t="n">
        <v>45643</v>
      </c>
      <c r="C347" s="1" t="n">
        <v>46102</v>
      </c>
      <c r="D347" t="inlineStr">
        <is>
          <t>ÖREBRO LÄN</t>
        </is>
      </c>
      <c r="E347" t="inlineStr">
        <is>
          <t>HÄLLEFORS</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67027-2021</t>
        </is>
      </c>
      <c r="B348" s="1" t="n">
        <v>44522.66836805556</v>
      </c>
      <c r="C348" s="1" t="n">
        <v>46102</v>
      </c>
      <c r="D348" t="inlineStr">
        <is>
          <t>ÖREBRO LÄN</t>
        </is>
      </c>
      <c r="E348" t="inlineStr">
        <is>
          <t>HÄLLEFORS</t>
        </is>
      </c>
      <c r="G348" t="n">
        <v>1.7</v>
      </c>
      <c r="H348" t="n">
        <v>0</v>
      </c>
      <c r="I348" t="n">
        <v>0</v>
      </c>
      <c r="J348" t="n">
        <v>0</v>
      </c>
      <c r="K348" t="n">
        <v>0</v>
      </c>
      <c r="L348" t="n">
        <v>0</v>
      </c>
      <c r="M348" t="n">
        <v>0</v>
      </c>
      <c r="N348" t="n">
        <v>0</v>
      </c>
      <c r="O348" t="n">
        <v>0</v>
      </c>
      <c r="P348" t="n">
        <v>0</v>
      </c>
      <c r="Q348" t="n">
        <v>0</v>
      </c>
      <c r="R348" s="2" t="inlineStr"/>
    </row>
    <row r="349" ht="15" customHeight="1">
      <c r="A349" t="inlineStr">
        <is>
          <t>A 51213-2023</t>
        </is>
      </c>
      <c r="B349" s="1" t="n">
        <v>45219.44515046296</v>
      </c>
      <c r="C349" s="1" t="n">
        <v>46102</v>
      </c>
      <c r="D349" t="inlineStr">
        <is>
          <t>ÖREBRO LÄN</t>
        </is>
      </c>
      <c r="E349" t="inlineStr">
        <is>
          <t>HÄLLEFORS</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18715-2025</t>
        </is>
      </c>
      <c r="B350" s="1" t="n">
        <v>45763.64383101852</v>
      </c>
      <c r="C350" s="1" t="n">
        <v>46102</v>
      </c>
      <c r="D350" t="inlineStr">
        <is>
          <t>ÖREBRO LÄN</t>
        </is>
      </c>
      <c r="E350" t="inlineStr">
        <is>
          <t>HÄLLEFORS</t>
        </is>
      </c>
      <c r="F350" t="inlineStr">
        <is>
          <t>Bergvik skog väst AB</t>
        </is>
      </c>
      <c r="G350" t="n">
        <v>4.1</v>
      </c>
      <c r="H350" t="n">
        <v>0</v>
      </c>
      <c r="I350" t="n">
        <v>0</v>
      </c>
      <c r="J350" t="n">
        <v>0</v>
      </c>
      <c r="K350" t="n">
        <v>0</v>
      </c>
      <c r="L350" t="n">
        <v>0</v>
      </c>
      <c r="M350" t="n">
        <v>0</v>
      </c>
      <c r="N350" t="n">
        <v>0</v>
      </c>
      <c r="O350" t="n">
        <v>0</v>
      </c>
      <c r="P350" t="n">
        <v>0</v>
      </c>
      <c r="Q350" t="n">
        <v>0</v>
      </c>
      <c r="R350" s="2" t="inlineStr"/>
    </row>
    <row r="351" ht="15" customHeight="1">
      <c r="A351" t="inlineStr">
        <is>
          <t>A 41193-2023</t>
        </is>
      </c>
      <c r="B351" s="1" t="n">
        <v>45174</v>
      </c>
      <c r="C351" s="1" t="n">
        <v>46102</v>
      </c>
      <c r="D351" t="inlineStr">
        <is>
          <t>ÖREBRO LÄN</t>
        </is>
      </c>
      <c r="E351" t="inlineStr">
        <is>
          <t>HÄLLEFORS</t>
        </is>
      </c>
      <c r="F351" t="inlineStr">
        <is>
          <t>Bergvik skog väst AB</t>
        </is>
      </c>
      <c r="G351" t="n">
        <v>10.9</v>
      </c>
      <c r="H351" t="n">
        <v>0</v>
      </c>
      <c r="I351" t="n">
        <v>0</v>
      </c>
      <c r="J351" t="n">
        <v>0</v>
      </c>
      <c r="K351" t="n">
        <v>0</v>
      </c>
      <c r="L351" t="n">
        <v>0</v>
      </c>
      <c r="M351" t="n">
        <v>0</v>
      </c>
      <c r="N351" t="n">
        <v>0</v>
      </c>
      <c r="O351" t="n">
        <v>0</v>
      </c>
      <c r="P351" t="n">
        <v>0</v>
      </c>
      <c r="Q351" t="n">
        <v>0</v>
      </c>
      <c r="R351" s="2" t="inlineStr"/>
    </row>
    <row r="352" ht="15" customHeight="1">
      <c r="A352" t="inlineStr">
        <is>
          <t>A 41810-2023</t>
        </is>
      </c>
      <c r="B352" s="1" t="n">
        <v>45176</v>
      </c>
      <c r="C352" s="1" t="n">
        <v>46102</v>
      </c>
      <c r="D352" t="inlineStr">
        <is>
          <t>ÖREBRO LÄN</t>
        </is>
      </c>
      <c r="E352" t="inlineStr">
        <is>
          <t>HÄLLEFORS</t>
        </is>
      </c>
      <c r="F352" t="inlineStr">
        <is>
          <t>Bergvik skog väst AB</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55300-2023</t>
        </is>
      </c>
      <c r="B353" s="1" t="n">
        <v>45237.83621527778</v>
      </c>
      <c r="C353" s="1" t="n">
        <v>46102</v>
      </c>
      <c r="D353" t="inlineStr">
        <is>
          <t>ÖREBRO LÄN</t>
        </is>
      </c>
      <c r="E353" t="inlineStr">
        <is>
          <t>HÄLLEFORS</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18535-2025</t>
        </is>
      </c>
      <c r="B354" s="1" t="n">
        <v>45763</v>
      </c>
      <c r="C354" s="1" t="n">
        <v>46102</v>
      </c>
      <c r="D354" t="inlineStr">
        <is>
          <t>ÖREBRO LÄN</t>
        </is>
      </c>
      <c r="E354" t="inlineStr">
        <is>
          <t>HÄLLEFORS</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59976-2024</t>
        </is>
      </c>
      <c r="B355" s="1" t="n">
        <v>45642.37226851852</v>
      </c>
      <c r="C355" s="1" t="n">
        <v>46102</v>
      </c>
      <c r="D355" t="inlineStr">
        <is>
          <t>ÖREBRO LÄN</t>
        </is>
      </c>
      <c r="E355" t="inlineStr">
        <is>
          <t>HÄLLEFORS</t>
        </is>
      </c>
      <c r="F355" t="inlineStr">
        <is>
          <t>Bergvik skog väst AB</t>
        </is>
      </c>
      <c r="G355" t="n">
        <v>8.9</v>
      </c>
      <c r="H355" t="n">
        <v>0</v>
      </c>
      <c r="I355" t="n">
        <v>0</v>
      </c>
      <c r="J355" t="n">
        <v>0</v>
      </c>
      <c r="K355" t="n">
        <v>0</v>
      </c>
      <c r="L355" t="n">
        <v>0</v>
      </c>
      <c r="M355" t="n">
        <v>0</v>
      </c>
      <c r="N355" t="n">
        <v>0</v>
      </c>
      <c r="O355" t="n">
        <v>0</v>
      </c>
      <c r="P355" t="n">
        <v>0</v>
      </c>
      <c r="Q355" t="n">
        <v>0</v>
      </c>
      <c r="R355" s="2" t="inlineStr"/>
    </row>
    <row r="356" ht="15" customHeight="1">
      <c r="A356" t="inlineStr">
        <is>
          <t>A 67439-2021</t>
        </is>
      </c>
      <c r="B356" s="1" t="n">
        <v>44523</v>
      </c>
      <c r="C356" s="1" t="n">
        <v>46102</v>
      </c>
      <c r="D356" t="inlineStr">
        <is>
          <t>ÖREBRO LÄN</t>
        </is>
      </c>
      <c r="E356" t="inlineStr">
        <is>
          <t>HÄLLEFORS</t>
        </is>
      </c>
      <c r="G356" t="n">
        <v>1.9</v>
      </c>
      <c r="H356" t="n">
        <v>0</v>
      </c>
      <c r="I356" t="n">
        <v>0</v>
      </c>
      <c r="J356" t="n">
        <v>0</v>
      </c>
      <c r="K356" t="n">
        <v>0</v>
      </c>
      <c r="L356" t="n">
        <v>0</v>
      </c>
      <c r="M356" t="n">
        <v>0</v>
      </c>
      <c r="N356" t="n">
        <v>0</v>
      </c>
      <c r="O356" t="n">
        <v>0</v>
      </c>
      <c r="P356" t="n">
        <v>0</v>
      </c>
      <c r="Q356" t="n">
        <v>0</v>
      </c>
      <c r="R356" s="2" t="inlineStr"/>
    </row>
    <row r="357" ht="15" customHeight="1">
      <c r="A357" t="inlineStr">
        <is>
          <t>A 18979-2025</t>
        </is>
      </c>
      <c r="B357" s="1" t="n">
        <v>45764.55017361111</v>
      </c>
      <c r="C357" s="1" t="n">
        <v>46102</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35862-2024</t>
        </is>
      </c>
      <c r="B358" s="1" t="n">
        <v>45533.33909722222</v>
      </c>
      <c r="C358" s="1" t="n">
        <v>46102</v>
      </c>
      <c r="D358" t="inlineStr">
        <is>
          <t>ÖREBRO LÄN</t>
        </is>
      </c>
      <c r="E358" t="inlineStr">
        <is>
          <t>HÄLLEFORS</t>
        </is>
      </c>
      <c r="F358" t="inlineStr">
        <is>
          <t>Bergvik skog väst AB</t>
        </is>
      </c>
      <c r="G358" t="n">
        <v>1.4</v>
      </c>
      <c r="H358" t="n">
        <v>0</v>
      </c>
      <c r="I358" t="n">
        <v>0</v>
      </c>
      <c r="J358" t="n">
        <v>0</v>
      </c>
      <c r="K358" t="n">
        <v>0</v>
      </c>
      <c r="L358" t="n">
        <v>0</v>
      </c>
      <c r="M358" t="n">
        <v>0</v>
      </c>
      <c r="N358" t="n">
        <v>0</v>
      </c>
      <c r="O358" t="n">
        <v>0</v>
      </c>
      <c r="P358" t="n">
        <v>0</v>
      </c>
      <c r="Q358" t="n">
        <v>0</v>
      </c>
      <c r="R358" s="2" t="inlineStr"/>
    </row>
    <row r="359" ht="15" customHeight="1">
      <c r="A359" t="inlineStr">
        <is>
          <t>A 54843-2023</t>
        </is>
      </c>
      <c r="B359" s="1" t="n">
        <v>45236.58434027778</v>
      </c>
      <c r="C359" s="1" t="n">
        <v>46102</v>
      </c>
      <c r="D359" t="inlineStr">
        <is>
          <t>ÖREBRO LÄN</t>
        </is>
      </c>
      <c r="E359" t="inlineStr">
        <is>
          <t>HÄLLEFORS</t>
        </is>
      </c>
      <c r="G359" t="n">
        <v>1.6</v>
      </c>
      <c r="H359" t="n">
        <v>0</v>
      </c>
      <c r="I359" t="n">
        <v>0</v>
      </c>
      <c r="J359" t="n">
        <v>0</v>
      </c>
      <c r="K359" t="n">
        <v>0</v>
      </c>
      <c r="L359" t="n">
        <v>0</v>
      </c>
      <c r="M359" t="n">
        <v>0</v>
      </c>
      <c r="N359" t="n">
        <v>0</v>
      </c>
      <c r="O359" t="n">
        <v>0</v>
      </c>
      <c r="P359" t="n">
        <v>0</v>
      </c>
      <c r="Q359" t="n">
        <v>0</v>
      </c>
      <c r="R359" s="2" t="inlineStr"/>
    </row>
    <row r="360" ht="15" customHeight="1">
      <c r="A360" t="inlineStr">
        <is>
          <t>A 37542-2024</t>
        </is>
      </c>
      <c r="B360" s="1" t="n">
        <v>45541.42298611111</v>
      </c>
      <c r="C360" s="1" t="n">
        <v>46102</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44960.50733796296</v>
      </c>
      <c r="C361" s="1" t="n">
        <v>46102</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44091-2024</t>
        </is>
      </c>
      <c r="B362" s="1" t="n">
        <v>45572.6216087963</v>
      </c>
      <c r="C362" s="1" t="n">
        <v>46102</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46642-2024</t>
        </is>
      </c>
      <c r="B363" s="1" t="n">
        <v>45583.34902777777</v>
      </c>
      <c r="C363" s="1" t="n">
        <v>46102</v>
      </c>
      <c r="D363" t="inlineStr">
        <is>
          <t>ÖREBRO LÄN</t>
        </is>
      </c>
      <c r="E363" t="inlineStr">
        <is>
          <t>HÄLLEFORS</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24359-2023</t>
        </is>
      </c>
      <c r="B364" s="1" t="n">
        <v>45082</v>
      </c>
      <c r="C364" s="1" t="n">
        <v>46102</v>
      </c>
      <c r="D364" t="inlineStr">
        <is>
          <t>ÖREBRO LÄN</t>
        </is>
      </c>
      <c r="E364" t="inlineStr">
        <is>
          <t>HÄLLEFORS</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1288-2024</t>
        </is>
      </c>
      <c r="B365" s="1" t="n">
        <v>45303</v>
      </c>
      <c r="C365" s="1" t="n">
        <v>46102</v>
      </c>
      <c r="D365" t="inlineStr">
        <is>
          <t>ÖREBRO LÄN</t>
        </is>
      </c>
      <c r="E365" t="inlineStr">
        <is>
          <t>HÄLLEFORS</t>
        </is>
      </c>
      <c r="G365" t="n">
        <v>1.2</v>
      </c>
      <c r="H365" t="n">
        <v>0</v>
      </c>
      <c r="I365" t="n">
        <v>0</v>
      </c>
      <c r="J365" t="n">
        <v>0</v>
      </c>
      <c r="K365" t="n">
        <v>0</v>
      </c>
      <c r="L365" t="n">
        <v>0</v>
      </c>
      <c r="M365" t="n">
        <v>0</v>
      </c>
      <c r="N365" t="n">
        <v>0</v>
      </c>
      <c r="O365" t="n">
        <v>0</v>
      </c>
      <c r="P365" t="n">
        <v>0</v>
      </c>
      <c r="Q365" t="n">
        <v>0</v>
      </c>
      <c r="R365" s="2" t="inlineStr"/>
    </row>
    <row r="366" ht="15" customHeight="1">
      <c r="A366" t="inlineStr">
        <is>
          <t>A 55099-2024</t>
        </is>
      </c>
      <c r="B366" s="1" t="n">
        <v>45621</v>
      </c>
      <c r="C366" s="1" t="n">
        <v>46102</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58499-2022</t>
        </is>
      </c>
      <c r="B367" s="1" t="n">
        <v>44902.3759375</v>
      </c>
      <c r="C367" s="1" t="n">
        <v>46102</v>
      </c>
      <c r="D367" t="inlineStr">
        <is>
          <t>ÖREBRO LÄN</t>
        </is>
      </c>
      <c r="E367" t="inlineStr">
        <is>
          <t>HÄLLEFORS</t>
        </is>
      </c>
      <c r="F367" t="inlineStr">
        <is>
          <t>Bergvik skog väst AB</t>
        </is>
      </c>
      <c r="G367" t="n">
        <v>4.2</v>
      </c>
      <c r="H367" t="n">
        <v>0</v>
      </c>
      <c r="I367" t="n">
        <v>0</v>
      </c>
      <c r="J367" t="n">
        <v>0</v>
      </c>
      <c r="K367" t="n">
        <v>0</v>
      </c>
      <c r="L367" t="n">
        <v>0</v>
      </c>
      <c r="M367" t="n">
        <v>0</v>
      </c>
      <c r="N367" t="n">
        <v>0</v>
      </c>
      <c r="O367" t="n">
        <v>0</v>
      </c>
      <c r="P367" t="n">
        <v>0</v>
      </c>
      <c r="Q367" t="n">
        <v>0</v>
      </c>
      <c r="R367" s="2" t="inlineStr"/>
    </row>
    <row r="368" ht="15" customHeight="1">
      <c r="A368" t="inlineStr">
        <is>
          <t>A 38402-2023</t>
        </is>
      </c>
      <c r="B368" s="1" t="n">
        <v>45162</v>
      </c>
      <c r="C368" s="1" t="n">
        <v>46102</v>
      </c>
      <c r="D368" t="inlineStr">
        <is>
          <t>ÖREBRO LÄN</t>
        </is>
      </c>
      <c r="E368" t="inlineStr">
        <is>
          <t>HÄLLEFORS</t>
        </is>
      </c>
      <c r="F368" t="inlineStr">
        <is>
          <t>Bergvik skog väst AB</t>
        </is>
      </c>
      <c r="G368" t="n">
        <v>8.5</v>
      </c>
      <c r="H368" t="n">
        <v>0</v>
      </c>
      <c r="I368" t="n">
        <v>0</v>
      </c>
      <c r="J368" t="n">
        <v>0</v>
      </c>
      <c r="K368" t="n">
        <v>0</v>
      </c>
      <c r="L368" t="n">
        <v>0</v>
      </c>
      <c r="M368" t="n">
        <v>0</v>
      </c>
      <c r="N368" t="n">
        <v>0</v>
      </c>
      <c r="O368" t="n">
        <v>0</v>
      </c>
      <c r="P368" t="n">
        <v>0</v>
      </c>
      <c r="Q368" t="n">
        <v>0</v>
      </c>
      <c r="R368" s="2" t="inlineStr"/>
    </row>
    <row r="369" ht="15" customHeight="1">
      <c r="A369" t="inlineStr">
        <is>
          <t>A 11459-2024</t>
        </is>
      </c>
      <c r="B369" s="1" t="n">
        <v>45372.58425925926</v>
      </c>
      <c r="C369" s="1" t="n">
        <v>46102</v>
      </c>
      <c r="D369" t="inlineStr">
        <is>
          <t>ÖREBRO LÄN</t>
        </is>
      </c>
      <c r="E369" t="inlineStr">
        <is>
          <t>HÄLLEFORS</t>
        </is>
      </c>
      <c r="G369" t="n">
        <v>2.2</v>
      </c>
      <c r="H369" t="n">
        <v>0</v>
      </c>
      <c r="I369" t="n">
        <v>0</v>
      </c>
      <c r="J369" t="n">
        <v>0</v>
      </c>
      <c r="K369" t="n">
        <v>0</v>
      </c>
      <c r="L369" t="n">
        <v>0</v>
      </c>
      <c r="M369" t="n">
        <v>0</v>
      </c>
      <c r="N369" t="n">
        <v>0</v>
      </c>
      <c r="O369" t="n">
        <v>0</v>
      </c>
      <c r="P369" t="n">
        <v>0</v>
      </c>
      <c r="Q369" t="n">
        <v>0</v>
      </c>
      <c r="R369" s="2" t="inlineStr"/>
    </row>
    <row r="370" ht="15" customHeight="1">
      <c r="A370" t="inlineStr">
        <is>
          <t>A 12559-2025</t>
        </is>
      </c>
      <c r="B370" s="1" t="n">
        <v>45731.47399305556</v>
      </c>
      <c r="C370" s="1" t="n">
        <v>46102</v>
      </c>
      <c r="D370" t="inlineStr">
        <is>
          <t>ÖREBRO LÄN</t>
        </is>
      </c>
      <c r="E370" t="inlineStr">
        <is>
          <t>HÄLLEFORS</t>
        </is>
      </c>
      <c r="G370" t="n">
        <v>2.4</v>
      </c>
      <c r="H370" t="n">
        <v>0</v>
      </c>
      <c r="I370" t="n">
        <v>0</v>
      </c>
      <c r="J370" t="n">
        <v>0</v>
      </c>
      <c r="K370" t="n">
        <v>0</v>
      </c>
      <c r="L370" t="n">
        <v>0</v>
      </c>
      <c r="M370" t="n">
        <v>0</v>
      </c>
      <c r="N370" t="n">
        <v>0</v>
      </c>
      <c r="O370" t="n">
        <v>0</v>
      </c>
      <c r="P370" t="n">
        <v>0</v>
      </c>
      <c r="Q370" t="n">
        <v>0</v>
      </c>
      <c r="R370" s="2" t="inlineStr"/>
    </row>
    <row r="371" ht="15" customHeight="1">
      <c r="A371" t="inlineStr">
        <is>
          <t>A 17811-2025</t>
        </is>
      </c>
      <c r="B371" s="1" t="n">
        <v>45758.5594212963</v>
      </c>
      <c r="C371" s="1" t="n">
        <v>46102</v>
      </c>
      <c r="D371" t="inlineStr">
        <is>
          <t>ÖREBRO LÄN</t>
        </is>
      </c>
      <c r="E371" t="inlineStr">
        <is>
          <t>HÄLLEFORS</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14669-2025</t>
        </is>
      </c>
      <c r="B372" s="1" t="n">
        <v>45742.55043981481</v>
      </c>
      <c r="C372" s="1" t="n">
        <v>46102</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46102</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46102</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53892-2023</t>
        </is>
      </c>
      <c r="B375" s="1" t="n">
        <v>45231</v>
      </c>
      <c r="C375" s="1" t="n">
        <v>46102</v>
      </c>
      <c r="D375" t="inlineStr">
        <is>
          <t>ÖREBRO LÄN</t>
        </is>
      </c>
      <c r="E375" t="inlineStr">
        <is>
          <t>HÄLLEFORS</t>
        </is>
      </c>
      <c r="G375" t="n">
        <v>2.3</v>
      </c>
      <c r="H375" t="n">
        <v>0</v>
      </c>
      <c r="I375" t="n">
        <v>0</v>
      </c>
      <c r="J375" t="n">
        <v>0</v>
      </c>
      <c r="K375" t="n">
        <v>0</v>
      </c>
      <c r="L375" t="n">
        <v>0</v>
      </c>
      <c r="M375" t="n">
        <v>0</v>
      </c>
      <c r="N375" t="n">
        <v>0</v>
      </c>
      <c r="O375" t="n">
        <v>0</v>
      </c>
      <c r="P375" t="n">
        <v>0</v>
      </c>
      <c r="Q375" t="n">
        <v>0</v>
      </c>
      <c r="R375" s="2" t="inlineStr"/>
    </row>
    <row r="376" ht="15" customHeight="1">
      <c r="A376" t="inlineStr">
        <is>
          <t>A 7774-2022</t>
        </is>
      </c>
      <c r="B376" s="1" t="n">
        <v>44608.45725694444</v>
      </c>
      <c r="C376" s="1" t="n">
        <v>46102</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2283-2023</t>
        </is>
      </c>
      <c r="B377" s="1" t="n">
        <v>44942</v>
      </c>
      <c r="C377" s="1" t="n">
        <v>46102</v>
      </c>
      <c r="D377" t="inlineStr">
        <is>
          <t>ÖREBRO LÄN</t>
        </is>
      </c>
      <c r="E377" t="inlineStr">
        <is>
          <t>HÄLLEFORS</t>
        </is>
      </c>
      <c r="G377" t="n">
        <v>3.2</v>
      </c>
      <c r="H377" t="n">
        <v>0</v>
      </c>
      <c r="I377" t="n">
        <v>0</v>
      </c>
      <c r="J377" t="n">
        <v>0</v>
      </c>
      <c r="K377" t="n">
        <v>0</v>
      </c>
      <c r="L377" t="n">
        <v>0</v>
      </c>
      <c r="M377" t="n">
        <v>0</v>
      </c>
      <c r="N377" t="n">
        <v>0</v>
      </c>
      <c r="O377" t="n">
        <v>0</v>
      </c>
      <c r="P377" t="n">
        <v>0</v>
      </c>
      <c r="Q377" t="n">
        <v>0</v>
      </c>
      <c r="R377" s="2" t="inlineStr"/>
    </row>
    <row r="378" ht="15" customHeight="1">
      <c r="A378" t="inlineStr">
        <is>
          <t>A 43886-2024</t>
        </is>
      </c>
      <c r="B378" s="1" t="n">
        <v>45572.40844907407</v>
      </c>
      <c r="C378" s="1" t="n">
        <v>46102</v>
      </c>
      <c r="D378" t="inlineStr">
        <is>
          <t>ÖREBRO LÄN</t>
        </is>
      </c>
      <c r="E378" t="inlineStr">
        <is>
          <t>HÄLLEFORS</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60523-2024</t>
        </is>
      </c>
      <c r="B379" s="1" t="n">
        <v>45643.69060185185</v>
      </c>
      <c r="C379" s="1" t="n">
        <v>46102</v>
      </c>
      <c r="D379" t="inlineStr">
        <is>
          <t>ÖREBRO LÄN</t>
        </is>
      </c>
      <c r="E379" t="inlineStr">
        <is>
          <t>HÄLLEFORS</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40530-2022</t>
        </is>
      </c>
      <c r="B380" s="1" t="n">
        <v>44823</v>
      </c>
      <c r="C380" s="1" t="n">
        <v>46102</v>
      </c>
      <c r="D380" t="inlineStr">
        <is>
          <t>ÖREBRO LÄN</t>
        </is>
      </c>
      <c r="E380" t="inlineStr">
        <is>
          <t>HÄLLEFORS</t>
        </is>
      </c>
      <c r="G380" t="n">
        <v>0.6</v>
      </c>
      <c r="H380" t="n">
        <v>0</v>
      </c>
      <c r="I380" t="n">
        <v>0</v>
      </c>
      <c r="J380" t="n">
        <v>0</v>
      </c>
      <c r="K380" t="n">
        <v>0</v>
      </c>
      <c r="L380" t="n">
        <v>0</v>
      </c>
      <c r="M380" t="n">
        <v>0</v>
      </c>
      <c r="N380" t="n">
        <v>0</v>
      </c>
      <c r="O380" t="n">
        <v>0</v>
      </c>
      <c r="P380" t="n">
        <v>0</v>
      </c>
      <c r="Q380" t="n">
        <v>0</v>
      </c>
      <c r="R380" s="2" t="inlineStr"/>
    </row>
    <row r="381" ht="15" customHeight="1">
      <c r="A381" t="inlineStr">
        <is>
          <t>A 9536-2025</t>
        </is>
      </c>
      <c r="B381" s="1" t="n">
        <v>45715.57746527778</v>
      </c>
      <c r="C381" s="1" t="n">
        <v>46102</v>
      </c>
      <c r="D381" t="inlineStr">
        <is>
          <t>ÖREBRO LÄN</t>
        </is>
      </c>
      <c r="E381" t="inlineStr">
        <is>
          <t>HÄLLEFORS</t>
        </is>
      </c>
      <c r="G381" t="n">
        <v>1.5</v>
      </c>
      <c r="H381" t="n">
        <v>0</v>
      </c>
      <c r="I381" t="n">
        <v>0</v>
      </c>
      <c r="J381" t="n">
        <v>0</v>
      </c>
      <c r="K381" t="n">
        <v>0</v>
      </c>
      <c r="L381" t="n">
        <v>0</v>
      </c>
      <c r="M381" t="n">
        <v>0</v>
      </c>
      <c r="N381" t="n">
        <v>0</v>
      </c>
      <c r="O381" t="n">
        <v>0</v>
      </c>
      <c r="P381" t="n">
        <v>0</v>
      </c>
      <c r="Q381" t="n">
        <v>0</v>
      </c>
      <c r="R381" s="2" t="inlineStr"/>
    </row>
    <row r="382" ht="15" customHeight="1">
      <c r="A382" t="inlineStr">
        <is>
          <t>A 17810-2025</t>
        </is>
      </c>
      <c r="B382" s="1" t="n">
        <v>45758.55883101852</v>
      </c>
      <c r="C382" s="1" t="n">
        <v>46102</v>
      </c>
      <c r="D382" t="inlineStr">
        <is>
          <t>ÖREBRO LÄN</t>
        </is>
      </c>
      <c r="E382" t="inlineStr">
        <is>
          <t>HÄLLEFORS</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5268-2025</t>
        </is>
      </c>
      <c r="B383" s="1" t="n">
        <v>45692.40298611111</v>
      </c>
      <c r="C383" s="1" t="n">
        <v>46102</v>
      </c>
      <c r="D383" t="inlineStr">
        <is>
          <t>ÖREBRO LÄN</t>
        </is>
      </c>
      <c r="E383" t="inlineStr">
        <is>
          <t>HÄLLEFORS</t>
        </is>
      </c>
      <c r="F383" t="inlineStr">
        <is>
          <t>Bergvik skog väst AB</t>
        </is>
      </c>
      <c r="G383" t="n">
        <v>3.8</v>
      </c>
      <c r="H383" t="n">
        <v>0</v>
      </c>
      <c r="I383" t="n">
        <v>0</v>
      </c>
      <c r="J383" t="n">
        <v>0</v>
      </c>
      <c r="K383" t="n">
        <v>0</v>
      </c>
      <c r="L383" t="n">
        <v>0</v>
      </c>
      <c r="M383" t="n">
        <v>0</v>
      </c>
      <c r="N383" t="n">
        <v>0</v>
      </c>
      <c r="O383" t="n">
        <v>0</v>
      </c>
      <c r="P383" t="n">
        <v>0</v>
      </c>
      <c r="Q383" t="n">
        <v>0</v>
      </c>
      <c r="R383" s="2" t="inlineStr"/>
    </row>
    <row r="384" ht="15" customHeight="1">
      <c r="A384" t="inlineStr">
        <is>
          <t>A 17120-2025</t>
        </is>
      </c>
      <c r="B384" s="1" t="n">
        <v>45755.68921296296</v>
      </c>
      <c r="C384" s="1" t="n">
        <v>46102</v>
      </c>
      <c r="D384" t="inlineStr">
        <is>
          <t>ÖREBRO LÄN</t>
        </is>
      </c>
      <c r="E384" t="inlineStr">
        <is>
          <t>HÄLLEFORS</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18657-2025</t>
        </is>
      </c>
      <c r="B385" s="1" t="n">
        <v>45763.57651620371</v>
      </c>
      <c r="C385" s="1" t="n">
        <v>46102</v>
      </c>
      <c r="D385" t="inlineStr">
        <is>
          <t>ÖREBRO LÄN</t>
        </is>
      </c>
      <c r="E385" t="inlineStr">
        <is>
          <t>HÄLLEFORS</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49215-2022</t>
        </is>
      </c>
      <c r="B386" s="1" t="n">
        <v>44861</v>
      </c>
      <c r="C386" s="1" t="n">
        <v>46102</v>
      </c>
      <c r="D386" t="inlineStr">
        <is>
          <t>ÖREBRO LÄN</t>
        </is>
      </c>
      <c r="E386" t="inlineStr">
        <is>
          <t>HÄLLEFORS</t>
        </is>
      </c>
      <c r="F386" t="inlineStr">
        <is>
          <t>Bergvik skog väst AB</t>
        </is>
      </c>
      <c r="G386" t="n">
        <v>9</v>
      </c>
      <c r="H386" t="n">
        <v>0</v>
      </c>
      <c r="I386" t="n">
        <v>0</v>
      </c>
      <c r="J386" t="n">
        <v>0</v>
      </c>
      <c r="K386" t="n">
        <v>0</v>
      </c>
      <c r="L386" t="n">
        <v>0</v>
      </c>
      <c r="M386" t="n">
        <v>0</v>
      </c>
      <c r="N386" t="n">
        <v>0</v>
      </c>
      <c r="O386" t="n">
        <v>0</v>
      </c>
      <c r="P386" t="n">
        <v>0</v>
      </c>
      <c r="Q386" t="n">
        <v>0</v>
      </c>
      <c r="R386" s="2" t="inlineStr"/>
    </row>
    <row r="387" ht="15" customHeight="1">
      <c r="A387" t="inlineStr">
        <is>
          <t>A 17661-2025</t>
        </is>
      </c>
      <c r="B387" s="1" t="n">
        <v>45758.35846064815</v>
      </c>
      <c r="C387" s="1" t="n">
        <v>46102</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59957-2024</t>
        </is>
      </c>
      <c r="B388" s="1" t="n">
        <v>45642.35061342592</v>
      </c>
      <c r="C388" s="1" t="n">
        <v>46102</v>
      </c>
      <c r="D388" t="inlineStr">
        <is>
          <t>ÖREBRO LÄN</t>
        </is>
      </c>
      <c r="E388" t="inlineStr">
        <is>
          <t>HÄLLEFORS</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59959-2024</t>
        </is>
      </c>
      <c r="B389" s="1" t="n">
        <v>45642.35097222222</v>
      </c>
      <c r="C389" s="1" t="n">
        <v>46102</v>
      </c>
      <c r="D389" t="inlineStr">
        <is>
          <t>ÖREBRO LÄN</t>
        </is>
      </c>
      <c r="E389" t="inlineStr">
        <is>
          <t>HÄLLEFORS</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59557-2022</t>
        </is>
      </c>
      <c r="B390" s="1" t="n">
        <v>44907.59805555556</v>
      </c>
      <c r="C390" s="1" t="n">
        <v>46102</v>
      </c>
      <c r="D390" t="inlineStr">
        <is>
          <t>ÖREBRO LÄN</t>
        </is>
      </c>
      <c r="E390" t="inlineStr">
        <is>
          <t>HÄLLEFORS</t>
        </is>
      </c>
      <c r="F390" t="inlineStr">
        <is>
          <t>Bergvik skog väst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20951-2025</t>
        </is>
      </c>
      <c r="B391" s="1" t="n">
        <v>45777.43930555556</v>
      </c>
      <c r="C391" s="1" t="n">
        <v>46102</v>
      </c>
      <c r="D391" t="inlineStr">
        <is>
          <t>ÖREBRO LÄN</t>
        </is>
      </c>
      <c r="E391" t="inlineStr">
        <is>
          <t>HÄLLEFORS</t>
        </is>
      </c>
      <c r="F391" t="inlineStr">
        <is>
          <t>Kyrkan</t>
        </is>
      </c>
      <c r="G391" t="n">
        <v>1</v>
      </c>
      <c r="H391" t="n">
        <v>0</v>
      </c>
      <c r="I391" t="n">
        <v>0</v>
      </c>
      <c r="J391" t="n">
        <v>0</v>
      </c>
      <c r="K391" t="n">
        <v>0</v>
      </c>
      <c r="L391" t="n">
        <v>0</v>
      </c>
      <c r="M391" t="n">
        <v>0</v>
      </c>
      <c r="N391" t="n">
        <v>0</v>
      </c>
      <c r="O391" t="n">
        <v>0</v>
      </c>
      <c r="P391" t="n">
        <v>0</v>
      </c>
      <c r="Q391" t="n">
        <v>0</v>
      </c>
      <c r="R391" s="2" t="inlineStr"/>
    </row>
    <row r="392" ht="15" customHeight="1">
      <c r="A392" t="inlineStr">
        <is>
          <t>A 20670-2025</t>
        </is>
      </c>
      <c r="B392" s="1" t="n">
        <v>45776.43351851852</v>
      </c>
      <c r="C392" s="1" t="n">
        <v>46102</v>
      </c>
      <c r="D392" t="inlineStr">
        <is>
          <t>ÖREBRO LÄN</t>
        </is>
      </c>
      <c r="E392" t="inlineStr">
        <is>
          <t>HÄLLEFORS</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21050-2025</t>
        </is>
      </c>
      <c r="B393" s="1" t="n">
        <v>45777.56322916667</v>
      </c>
      <c r="C393" s="1" t="n">
        <v>46102</v>
      </c>
      <c r="D393" t="inlineStr">
        <is>
          <t>ÖREBRO LÄN</t>
        </is>
      </c>
      <c r="E393" t="inlineStr">
        <is>
          <t>HÄLLEFORS</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21099-2025</t>
        </is>
      </c>
      <c r="B394" s="1" t="n">
        <v>45777.64827546296</v>
      </c>
      <c r="C394" s="1" t="n">
        <v>46102</v>
      </c>
      <c r="D394" t="inlineStr">
        <is>
          <t>ÖREBRO LÄN</t>
        </is>
      </c>
      <c r="E394" t="inlineStr">
        <is>
          <t>HÄLLEFORS</t>
        </is>
      </c>
      <c r="F394" t="inlineStr">
        <is>
          <t>Kyrkan</t>
        </is>
      </c>
      <c r="G394" t="n">
        <v>1.7</v>
      </c>
      <c r="H394" t="n">
        <v>0</v>
      </c>
      <c r="I394" t="n">
        <v>0</v>
      </c>
      <c r="J394" t="n">
        <v>0</v>
      </c>
      <c r="K394" t="n">
        <v>0</v>
      </c>
      <c r="L394" t="n">
        <v>0</v>
      </c>
      <c r="M394" t="n">
        <v>0</v>
      </c>
      <c r="N394" t="n">
        <v>0</v>
      </c>
      <c r="O394" t="n">
        <v>0</v>
      </c>
      <c r="P394" t="n">
        <v>0</v>
      </c>
      <c r="Q394" t="n">
        <v>0</v>
      </c>
      <c r="R394" s="2" t="inlineStr"/>
    </row>
    <row r="395" ht="15" customHeight="1">
      <c r="A395" t="inlineStr">
        <is>
          <t>A 17112-2025</t>
        </is>
      </c>
      <c r="B395" s="1" t="n">
        <v>45755</v>
      </c>
      <c r="C395" s="1" t="n">
        <v>46102</v>
      </c>
      <c r="D395" t="inlineStr">
        <is>
          <t>ÖREBRO LÄN</t>
        </is>
      </c>
      <c r="E395" t="inlineStr">
        <is>
          <t>HÄLLEFORS</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18891-2025</t>
        </is>
      </c>
      <c r="B396" s="1" t="n">
        <v>45764</v>
      </c>
      <c r="C396" s="1" t="n">
        <v>46102</v>
      </c>
      <c r="D396" t="inlineStr">
        <is>
          <t>ÖREBRO LÄN</t>
        </is>
      </c>
      <c r="E396" t="inlineStr">
        <is>
          <t>HÄLLEFORS</t>
        </is>
      </c>
      <c r="G396" t="n">
        <v>2.2</v>
      </c>
      <c r="H396" t="n">
        <v>0</v>
      </c>
      <c r="I396" t="n">
        <v>0</v>
      </c>
      <c r="J396" t="n">
        <v>0</v>
      </c>
      <c r="K396" t="n">
        <v>0</v>
      </c>
      <c r="L396" t="n">
        <v>0</v>
      </c>
      <c r="M396" t="n">
        <v>0</v>
      </c>
      <c r="N396" t="n">
        <v>0</v>
      </c>
      <c r="O396" t="n">
        <v>0</v>
      </c>
      <c r="P396" t="n">
        <v>0</v>
      </c>
      <c r="Q396" t="n">
        <v>0</v>
      </c>
      <c r="R396" s="2" t="inlineStr"/>
    </row>
    <row r="397" ht="15" customHeight="1">
      <c r="A397" t="inlineStr">
        <is>
          <t>A 45694-2023</t>
        </is>
      </c>
      <c r="B397" s="1" t="n">
        <v>45195</v>
      </c>
      <c r="C397" s="1" t="n">
        <v>46102</v>
      </c>
      <c r="D397" t="inlineStr">
        <is>
          <t>ÖREBRO LÄN</t>
        </is>
      </c>
      <c r="E397" t="inlineStr">
        <is>
          <t>HÄLLEFORS</t>
        </is>
      </c>
      <c r="G397" t="n">
        <v>10.8</v>
      </c>
      <c r="H397" t="n">
        <v>0</v>
      </c>
      <c r="I397" t="n">
        <v>0</v>
      </c>
      <c r="J397" t="n">
        <v>0</v>
      </c>
      <c r="K397" t="n">
        <v>0</v>
      </c>
      <c r="L397" t="n">
        <v>0</v>
      </c>
      <c r="M397" t="n">
        <v>0</v>
      </c>
      <c r="N397" t="n">
        <v>0</v>
      </c>
      <c r="O397" t="n">
        <v>0</v>
      </c>
      <c r="P397" t="n">
        <v>0</v>
      </c>
      <c r="Q397" t="n">
        <v>0</v>
      </c>
      <c r="R397" s="2" t="inlineStr"/>
    </row>
    <row r="398" ht="15" customHeight="1">
      <c r="A398" t="inlineStr">
        <is>
          <t>A 30307-2024</t>
        </is>
      </c>
      <c r="B398" s="1" t="n">
        <v>45490.70074074074</v>
      </c>
      <c r="C398" s="1" t="n">
        <v>46102</v>
      </c>
      <c r="D398" t="inlineStr">
        <is>
          <t>ÖREBRO LÄN</t>
        </is>
      </c>
      <c r="E398" t="inlineStr">
        <is>
          <t>HÄLLEFORS</t>
        </is>
      </c>
      <c r="G398" t="n">
        <v>2.5</v>
      </c>
      <c r="H398" t="n">
        <v>0</v>
      </c>
      <c r="I398" t="n">
        <v>0</v>
      </c>
      <c r="J398" t="n">
        <v>0</v>
      </c>
      <c r="K398" t="n">
        <v>0</v>
      </c>
      <c r="L398" t="n">
        <v>0</v>
      </c>
      <c r="M398" t="n">
        <v>0</v>
      </c>
      <c r="N398" t="n">
        <v>0</v>
      </c>
      <c r="O398" t="n">
        <v>0</v>
      </c>
      <c r="P398" t="n">
        <v>0</v>
      </c>
      <c r="Q398" t="n">
        <v>0</v>
      </c>
      <c r="R398" s="2" t="inlineStr"/>
    </row>
    <row r="399" ht="15" customHeight="1">
      <c r="A399" t="inlineStr">
        <is>
          <t>A 18168-2024</t>
        </is>
      </c>
      <c r="B399" s="1" t="n">
        <v>45420</v>
      </c>
      <c r="C399" s="1" t="n">
        <v>46102</v>
      </c>
      <c r="D399" t="inlineStr">
        <is>
          <t>ÖREBRO LÄN</t>
        </is>
      </c>
      <c r="E399" t="inlineStr">
        <is>
          <t>HÄLLEFORS</t>
        </is>
      </c>
      <c r="G399" t="n">
        <v>1.4</v>
      </c>
      <c r="H399" t="n">
        <v>0</v>
      </c>
      <c r="I399" t="n">
        <v>0</v>
      </c>
      <c r="J399" t="n">
        <v>0</v>
      </c>
      <c r="K399" t="n">
        <v>0</v>
      </c>
      <c r="L399" t="n">
        <v>0</v>
      </c>
      <c r="M399" t="n">
        <v>0</v>
      </c>
      <c r="N399" t="n">
        <v>0</v>
      </c>
      <c r="O399" t="n">
        <v>0</v>
      </c>
      <c r="P399" t="n">
        <v>0</v>
      </c>
      <c r="Q399" t="n">
        <v>0</v>
      </c>
      <c r="R399" s="2" t="inlineStr"/>
    </row>
    <row r="400" ht="15" customHeight="1">
      <c r="A400" t="inlineStr">
        <is>
          <t>A 18878-2025</t>
        </is>
      </c>
      <c r="B400" s="1" t="n">
        <v>45764</v>
      </c>
      <c r="C400" s="1" t="n">
        <v>46102</v>
      </c>
      <c r="D400" t="inlineStr">
        <is>
          <t>ÖREBRO LÄN</t>
        </is>
      </c>
      <c r="E400" t="inlineStr">
        <is>
          <t>HÄLLEFORS</t>
        </is>
      </c>
      <c r="G400" t="n">
        <v>1.4</v>
      </c>
      <c r="H400" t="n">
        <v>0</v>
      </c>
      <c r="I400" t="n">
        <v>0</v>
      </c>
      <c r="J400" t="n">
        <v>0</v>
      </c>
      <c r="K400" t="n">
        <v>0</v>
      </c>
      <c r="L400" t="n">
        <v>0</v>
      </c>
      <c r="M400" t="n">
        <v>0</v>
      </c>
      <c r="N400" t="n">
        <v>0</v>
      </c>
      <c r="O400" t="n">
        <v>0</v>
      </c>
      <c r="P400" t="n">
        <v>0</v>
      </c>
      <c r="Q400" t="n">
        <v>0</v>
      </c>
      <c r="R400" s="2" t="inlineStr"/>
    </row>
    <row r="401" ht="15" customHeight="1">
      <c r="A401" t="inlineStr">
        <is>
          <t>A 18790-2025</t>
        </is>
      </c>
      <c r="B401" s="1" t="n">
        <v>45764</v>
      </c>
      <c r="C401" s="1" t="n">
        <v>46102</v>
      </c>
      <c r="D401" t="inlineStr">
        <is>
          <t>ÖREBRO LÄN</t>
        </is>
      </c>
      <c r="E401" t="inlineStr">
        <is>
          <t>HÄLLEFORS</t>
        </is>
      </c>
      <c r="G401" t="n">
        <v>14.9</v>
      </c>
      <c r="H401" t="n">
        <v>0</v>
      </c>
      <c r="I401" t="n">
        <v>0</v>
      </c>
      <c r="J401" t="n">
        <v>0</v>
      </c>
      <c r="K401" t="n">
        <v>0</v>
      </c>
      <c r="L401" t="n">
        <v>0</v>
      </c>
      <c r="M401" t="n">
        <v>0</v>
      </c>
      <c r="N401" t="n">
        <v>0</v>
      </c>
      <c r="O401" t="n">
        <v>0</v>
      </c>
      <c r="P401" t="n">
        <v>0</v>
      </c>
      <c r="Q401" t="n">
        <v>0</v>
      </c>
      <c r="R401" s="2" t="inlineStr"/>
    </row>
    <row r="402" ht="15" customHeight="1">
      <c r="A402" t="inlineStr">
        <is>
          <t>A 53340-2024</t>
        </is>
      </c>
      <c r="B402" s="1" t="n">
        <v>45614.43358796297</v>
      </c>
      <c r="C402" s="1" t="n">
        <v>46102</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18852-2025</t>
        </is>
      </c>
      <c r="B403" s="1" t="n">
        <v>45764</v>
      </c>
      <c r="C403" s="1" t="n">
        <v>46102</v>
      </c>
      <c r="D403" t="inlineStr">
        <is>
          <t>ÖREBRO LÄN</t>
        </is>
      </c>
      <c r="E403" t="inlineStr">
        <is>
          <t>HÄLLEFORS</t>
        </is>
      </c>
      <c r="G403" t="n">
        <v>6.8</v>
      </c>
      <c r="H403" t="n">
        <v>0</v>
      </c>
      <c r="I403" t="n">
        <v>0</v>
      </c>
      <c r="J403" t="n">
        <v>0</v>
      </c>
      <c r="K403" t="n">
        <v>0</v>
      </c>
      <c r="L403" t="n">
        <v>0</v>
      </c>
      <c r="M403" t="n">
        <v>0</v>
      </c>
      <c r="N403" t="n">
        <v>0</v>
      </c>
      <c r="O403" t="n">
        <v>0</v>
      </c>
      <c r="P403" t="n">
        <v>0</v>
      </c>
      <c r="Q403" t="n">
        <v>0</v>
      </c>
      <c r="R403" s="2" t="inlineStr"/>
    </row>
    <row r="404" ht="15" customHeight="1">
      <c r="A404" t="inlineStr">
        <is>
          <t>A 18869-2025</t>
        </is>
      </c>
      <c r="B404" s="1" t="n">
        <v>45764</v>
      </c>
      <c r="C404" s="1" t="n">
        <v>46102</v>
      </c>
      <c r="D404" t="inlineStr">
        <is>
          <t>ÖREBRO LÄN</t>
        </is>
      </c>
      <c r="E404" t="inlineStr">
        <is>
          <t>HÄLLEFORS</t>
        </is>
      </c>
      <c r="G404" t="n">
        <v>3.7</v>
      </c>
      <c r="H404" t="n">
        <v>0</v>
      </c>
      <c r="I404" t="n">
        <v>0</v>
      </c>
      <c r="J404" t="n">
        <v>0</v>
      </c>
      <c r="K404" t="n">
        <v>0</v>
      </c>
      <c r="L404" t="n">
        <v>0</v>
      </c>
      <c r="M404" t="n">
        <v>0</v>
      </c>
      <c r="N404" t="n">
        <v>0</v>
      </c>
      <c r="O404" t="n">
        <v>0</v>
      </c>
      <c r="P404" t="n">
        <v>0</v>
      </c>
      <c r="Q404" t="n">
        <v>0</v>
      </c>
      <c r="R404" s="2" t="inlineStr"/>
    </row>
    <row r="405" ht="15" customHeight="1">
      <c r="A405" t="inlineStr">
        <is>
          <t>A 35106-2023</t>
        </is>
      </c>
      <c r="B405" s="1" t="n">
        <v>45145</v>
      </c>
      <c r="C405" s="1" t="n">
        <v>46102</v>
      </c>
      <c r="D405" t="inlineStr">
        <is>
          <t>ÖREBRO LÄN</t>
        </is>
      </c>
      <c r="E405" t="inlineStr">
        <is>
          <t>HÄLLEFORS</t>
        </is>
      </c>
      <c r="F405" t="inlineStr">
        <is>
          <t>Bergvik skog väst AB</t>
        </is>
      </c>
      <c r="G405" t="n">
        <v>13.9</v>
      </c>
      <c r="H405" t="n">
        <v>0</v>
      </c>
      <c r="I405" t="n">
        <v>0</v>
      </c>
      <c r="J405" t="n">
        <v>0</v>
      </c>
      <c r="K405" t="n">
        <v>0</v>
      </c>
      <c r="L405" t="n">
        <v>0</v>
      </c>
      <c r="M405" t="n">
        <v>0</v>
      </c>
      <c r="N405" t="n">
        <v>0</v>
      </c>
      <c r="O405" t="n">
        <v>0</v>
      </c>
      <c r="P405" t="n">
        <v>0</v>
      </c>
      <c r="Q405" t="n">
        <v>0</v>
      </c>
      <c r="R405" s="2" t="inlineStr"/>
    </row>
    <row r="406" ht="15" customHeight="1">
      <c r="A406" t="inlineStr">
        <is>
          <t>A 21852-2025</t>
        </is>
      </c>
      <c r="B406" s="1" t="n">
        <v>45784</v>
      </c>
      <c r="C406" s="1" t="n">
        <v>46102</v>
      </c>
      <c r="D406" t="inlineStr">
        <is>
          <t>ÖREBRO LÄN</t>
        </is>
      </c>
      <c r="E406" t="inlineStr">
        <is>
          <t>HÄLLEFORS</t>
        </is>
      </c>
      <c r="G406" t="n">
        <v>4.2</v>
      </c>
      <c r="H406" t="n">
        <v>0</v>
      </c>
      <c r="I406" t="n">
        <v>0</v>
      </c>
      <c r="J406" t="n">
        <v>0</v>
      </c>
      <c r="K406" t="n">
        <v>0</v>
      </c>
      <c r="L406" t="n">
        <v>0</v>
      </c>
      <c r="M406" t="n">
        <v>0</v>
      </c>
      <c r="N406" t="n">
        <v>0</v>
      </c>
      <c r="O406" t="n">
        <v>0</v>
      </c>
      <c r="P406" t="n">
        <v>0</v>
      </c>
      <c r="Q406" t="n">
        <v>0</v>
      </c>
      <c r="R406" s="2" t="inlineStr"/>
    </row>
    <row r="407" ht="15" customHeight="1">
      <c r="A407" t="inlineStr">
        <is>
          <t>A 47907-2024</t>
        </is>
      </c>
      <c r="B407" s="1" t="n">
        <v>45589.31677083333</v>
      </c>
      <c r="C407" s="1" t="n">
        <v>46102</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59963-2024</t>
        </is>
      </c>
      <c r="B408" s="1" t="n">
        <v>45642.35274305556</v>
      </c>
      <c r="C408" s="1" t="n">
        <v>46102</v>
      </c>
      <c r="D408" t="inlineStr">
        <is>
          <t>ÖREBRO LÄN</t>
        </is>
      </c>
      <c r="E408" t="inlineStr">
        <is>
          <t>HÄLLEFORS</t>
        </is>
      </c>
      <c r="F408" t="inlineStr">
        <is>
          <t>Bergvik skog väst AB</t>
        </is>
      </c>
      <c r="G408" t="n">
        <v>8.4</v>
      </c>
      <c r="H408" t="n">
        <v>0</v>
      </c>
      <c r="I408" t="n">
        <v>0</v>
      </c>
      <c r="J408" t="n">
        <v>0</v>
      </c>
      <c r="K408" t="n">
        <v>0</v>
      </c>
      <c r="L408" t="n">
        <v>0</v>
      </c>
      <c r="M408" t="n">
        <v>0</v>
      </c>
      <c r="N408" t="n">
        <v>0</v>
      </c>
      <c r="O408" t="n">
        <v>0</v>
      </c>
      <c r="P408" t="n">
        <v>0</v>
      </c>
      <c r="Q408" t="n">
        <v>0</v>
      </c>
      <c r="R408" s="2" t="inlineStr"/>
    </row>
    <row r="409" ht="15" customHeight="1">
      <c r="A409" t="inlineStr">
        <is>
          <t>A 36090-2024</t>
        </is>
      </c>
      <c r="B409" s="1" t="n">
        <v>45533.68363425926</v>
      </c>
      <c r="C409" s="1" t="n">
        <v>46102</v>
      </c>
      <c r="D409" t="inlineStr">
        <is>
          <t>ÖREBRO LÄN</t>
        </is>
      </c>
      <c r="E409" t="inlineStr">
        <is>
          <t>HÄLLEFORS</t>
        </is>
      </c>
      <c r="F409" t="inlineStr">
        <is>
          <t>Bergvik skog väst AB</t>
        </is>
      </c>
      <c r="G409" t="n">
        <v>5.2</v>
      </c>
      <c r="H409" t="n">
        <v>0</v>
      </c>
      <c r="I409" t="n">
        <v>0</v>
      </c>
      <c r="J409" t="n">
        <v>0</v>
      </c>
      <c r="K409" t="n">
        <v>0</v>
      </c>
      <c r="L409" t="n">
        <v>0</v>
      </c>
      <c r="M409" t="n">
        <v>0</v>
      </c>
      <c r="N409" t="n">
        <v>0</v>
      </c>
      <c r="O409" t="n">
        <v>0</v>
      </c>
      <c r="P409" t="n">
        <v>0</v>
      </c>
      <c r="Q409" t="n">
        <v>0</v>
      </c>
      <c r="R409" s="2" t="inlineStr"/>
    </row>
    <row r="410" ht="15" customHeight="1">
      <c r="A410" t="inlineStr">
        <is>
          <t>A 21853-2025</t>
        </is>
      </c>
      <c r="B410" s="1" t="n">
        <v>45784.34652777778</v>
      </c>
      <c r="C410" s="1" t="n">
        <v>46102</v>
      </c>
      <c r="D410" t="inlineStr">
        <is>
          <t>ÖREBRO LÄN</t>
        </is>
      </c>
      <c r="E410" t="inlineStr">
        <is>
          <t>HÄLLEFORS</t>
        </is>
      </c>
      <c r="G410" t="n">
        <v>23.4</v>
      </c>
      <c r="H410" t="n">
        <v>0</v>
      </c>
      <c r="I410" t="n">
        <v>0</v>
      </c>
      <c r="J410" t="n">
        <v>0</v>
      </c>
      <c r="K410" t="n">
        <v>0</v>
      </c>
      <c r="L410" t="n">
        <v>0</v>
      </c>
      <c r="M410" t="n">
        <v>0</v>
      </c>
      <c r="N410" t="n">
        <v>0</v>
      </c>
      <c r="O410" t="n">
        <v>0</v>
      </c>
      <c r="P410" t="n">
        <v>0</v>
      </c>
      <c r="Q410" t="n">
        <v>0</v>
      </c>
      <c r="R410" s="2" t="inlineStr"/>
    </row>
    <row r="411">
      <c r="A411" t="inlineStr">
        <is>
          <t>A 39178-2022</t>
        </is>
      </c>
      <c r="B411" s="1" t="n">
        <v>44817.50186342592</v>
      </c>
      <c r="C411" s="1" t="n">
        <v>46102</v>
      </c>
      <c r="D411" t="inlineStr">
        <is>
          <t>ÖREBRO LÄN</t>
        </is>
      </c>
      <c r="E411" t="inlineStr">
        <is>
          <t>HÄLLEFORS</t>
        </is>
      </c>
      <c r="G411" t="n">
        <v>1.1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2026-03-21T11:29:03Z</dcterms:created>
  <dcterms:modified xmlns:dcterms="http://purl.org/dc/terms/" xmlns:xsi="http://www.w3.org/2001/XMLSchema-instance" xsi:type="dcterms:W3CDTF">2026-03-21T11:29:04Z</dcterms:modified>
</cp:coreProperties>
</file>