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46111</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46111</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46111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46111</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17812-2025</t>
        </is>
      </c>
      <c r="B12" s="1" t="n">
        <v>45758.56012731481</v>
      </c>
      <c r="C12" s="1" t="n">
        <v>46111</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46111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59521-2025</t>
        </is>
      </c>
      <c r="B14" s="1" t="n">
        <v>45989.65802083333</v>
      </c>
      <c r="C14" s="1" t="n">
        <v>46111</v>
      </c>
      <c r="D14" t="inlineStr">
        <is>
          <t>ÖREBRO LÄN</t>
        </is>
      </c>
      <c r="E14" t="inlineStr">
        <is>
          <t>HÄLLEFORS</t>
        </is>
      </c>
      <c r="F14" t="inlineStr">
        <is>
          <t>Sveaskog</t>
        </is>
      </c>
      <c r="G14" t="n">
        <v>8.800000000000001</v>
      </c>
      <c r="H14" t="n">
        <v>2</v>
      </c>
      <c r="I14" t="n">
        <v>0</v>
      </c>
      <c r="J14" t="n">
        <v>0</v>
      </c>
      <c r="K14" t="n">
        <v>0</v>
      </c>
      <c r="L14" t="n">
        <v>0</v>
      </c>
      <c r="M14" t="n">
        <v>0</v>
      </c>
      <c r="N14" t="n">
        <v>0</v>
      </c>
      <c r="O14" t="n">
        <v>0</v>
      </c>
      <c r="P14" t="n">
        <v>0</v>
      </c>
      <c r="Q14" t="n">
        <v>2</v>
      </c>
      <c r="R14" s="2" t="inlineStr">
        <is>
          <t>Gråspett
Blåsippa</t>
        </is>
      </c>
      <c r="S14">
        <f>HYPERLINK("https://klasma.github.io/Logging_1863/artfynd/A 59521-2025 artfynd.xlsx", "A 59521-2025")</f>
        <v/>
      </c>
      <c r="T14">
        <f>HYPERLINK("https://klasma.github.io/Logging_1863/kartor/A 59521-2025 karta.png", "A 59521-2025")</f>
        <v/>
      </c>
      <c r="V14">
        <f>HYPERLINK("https://klasma.github.io/Logging_1863/klagomål/A 59521-2025 FSC-klagomål.docx", "A 59521-2025")</f>
        <v/>
      </c>
      <c r="W14">
        <f>HYPERLINK("https://klasma.github.io/Logging_1863/klagomålsmail/A 59521-2025 FSC-klagomål mail.docx", "A 59521-2025")</f>
        <v/>
      </c>
      <c r="X14">
        <f>HYPERLINK("https://klasma.github.io/Logging_1863/tillsyn/A 59521-2025 tillsynsbegäran.docx", "A 59521-2025")</f>
        <v/>
      </c>
      <c r="Y14">
        <f>HYPERLINK("https://klasma.github.io/Logging_1863/tillsynsmail/A 59521-2025 tillsynsbegäran mail.docx", "A 59521-2025")</f>
        <v/>
      </c>
      <c r="Z14">
        <f>HYPERLINK("https://klasma.github.io/Logging_1863/fåglar/A 59521-2025 prioriterade fågelarter.docx", "A 59521-2025")</f>
        <v/>
      </c>
    </row>
    <row r="15" ht="15" customHeight="1">
      <c r="A15" t="inlineStr">
        <is>
          <t>A 61590-2024</t>
        </is>
      </c>
      <c r="B15" s="1" t="n">
        <v>45646.63039351852</v>
      </c>
      <c r="C15" s="1" t="n">
        <v>46111</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46111</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46111</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46111</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46111</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14340-2026</t>
        </is>
      </c>
      <c r="B20" s="1" t="n">
        <v>46100.32818287037</v>
      </c>
      <c r="C20" s="1" t="n">
        <v>46111</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46111</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21848-2025</t>
        </is>
      </c>
      <c r="B22" s="1" t="n">
        <v>45784</v>
      </c>
      <c r="C22" s="1" t="n">
        <v>46111</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46111</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46111</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46111</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46111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46111</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46111</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46111</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61140-2025</t>
        </is>
      </c>
      <c r="B30" s="1" t="n">
        <v>46000.515625</v>
      </c>
      <c r="C30" s="1" t="n">
        <v>46111</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5244-2025</t>
        </is>
      </c>
      <c r="B31" s="1" t="n">
        <v>45692</v>
      </c>
      <c r="C31" s="1" t="n">
        <v>46111</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18617-2025</t>
        </is>
      </c>
      <c r="B32" s="1" t="n">
        <v>45763.51037037037</v>
      </c>
      <c r="C32" s="1" t="n">
        <v>46111</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46111</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39105-2024</t>
        </is>
      </c>
      <c r="B34" s="1" t="n">
        <v>45548.57174768519</v>
      </c>
      <c r="C34" s="1" t="n">
        <v>46111</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46111</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46111</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20354-2022</t>
        </is>
      </c>
      <c r="B37" s="1" t="n">
        <v>44699</v>
      </c>
      <c r="C37" s="1" t="n">
        <v>46111</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46111</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46111</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46111</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46111</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46111</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46111</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46111</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46111</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46111</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46111</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46111</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46111</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46111</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46111</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46111</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46111</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46111</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46111</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46111</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46111</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46111</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46111</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46111</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46111</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46111</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46111</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46111</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46111</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46111</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46111</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46111</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46111</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46111</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46111</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54105-2023</t>
        </is>
      </c>
      <c r="B82" s="1" t="n">
        <v>45232</v>
      </c>
      <c r="C82" s="1" t="n">
        <v>46111</v>
      </c>
      <c r="D82" t="inlineStr">
        <is>
          <t>ÖREBRO LÄN</t>
        </is>
      </c>
      <c r="E82" t="inlineStr">
        <is>
          <t>HÄLLEFORS</t>
        </is>
      </c>
      <c r="F82" t="inlineStr">
        <is>
          <t>Kommuner</t>
        </is>
      </c>
      <c r="G82" t="n">
        <v>0.9</v>
      </c>
      <c r="H82" t="n">
        <v>0</v>
      </c>
      <c r="I82" t="n">
        <v>0</v>
      </c>
      <c r="J82" t="n">
        <v>0</v>
      </c>
      <c r="K82" t="n">
        <v>0</v>
      </c>
      <c r="L82" t="n">
        <v>0</v>
      </c>
      <c r="M82" t="n">
        <v>0</v>
      </c>
      <c r="N82" t="n">
        <v>0</v>
      </c>
      <c r="O82" t="n">
        <v>0</v>
      </c>
      <c r="P82" t="n">
        <v>0</v>
      </c>
      <c r="Q82" t="n">
        <v>0</v>
      </c>
      <c r="R82" s="2" t="inlineStr"/>
    </row>
    <row r="83" ht="15" customHeight="1">
      <c r="A83" t="inlineStr">
        <is>
          <t>A 18664-2025</t>
        </is>
      </c>
      <c r="B83" s="1" t="n">
        <v>45763.58991898148</v>
      </c>
      <c r="C83" s="1" t="n">
        <v>46111</v>
      </c>
      <c r="D83" t="inlineStr">
        <is>
          <t>ÖREBRO LÄN</t>
        </is>
      </c>
      <c r="E83" t="inlineStr">
        <is>
          <t>HÄLLEFORS</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55477-2023</t>
        </is>
      </c>
      <c r="B84" s="1" t="n">
        <v>45238</v>
      </c>
      <c r="C84" s="1" t="n">
        <v>46111</v>
      </c>
      <c r="D84" t="inlineStr">
        <is>
          <t>ÖREBRO LÄN</t>
        </is>
      </c>
      <c r="E84" t="inlineStr">
        <is>
          <t>HÄLLEFORS</t>
        </is>
      </c>
      <c r="F84" t="inlineStr">
        <is>
          <t>Bergvik skog väst AB</t>
        </is>
      </c>
      <c r="G84" t="n">
        <v>6.6</v>
      </c>
      <c r="H84" t="n">
        <v>0</v>
      </c>
      <c r="I84" t="n">
        <v>0</v>
      </c>
      <c r="J84" t="n">
        <v>0</v>
      </c>
      <c r="K84" t="n">
        <v>0</v>
      </c>
      <c r="L84" t="n">
        <v>0</v>
      </c>
      <c r="M84" t="n">
        <v>0</v>
      </c>
      <c r="N84" t="n">
        <v>0</v>
      </c>
      <c r="O84" t="n">
        <v>0</v>
      </c>
      <c r="P84" t="n">
        <v>0</v>
      </c>
      <c r="Q84" t="n">
        <v>0</v>
      </c>
      <c r="R84" s="2" t="inlineStr"/>
    </row>
    <row r="85" ht="15" customHeight="1">
      <c r="A85" t="inlineStr">
        <is>
          <t>A 51159-2023</t>
        </is>
      </c>
      <c r="B85" s="1" t="n">
        <v>45219.37791666666</v>
      </c>
      <c r="C85" s="1" t="n">
        <v>46111</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36635-2022</t>
        </is>
      </c>
      <c r="B86" s="1" t="n">
        <v>44804.70893518518</v>
      </c>
      <c r="C86" s="1" t="n">
        <v>46111</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42863-2022</t>
        </is>
      </c>
      <c r="B87" s="1" t="n">
        <v>44832.73646990741</v>
      </c>
      <c r="C87" s="1" t="n">
        <v>46111</v>
      </c>
      <c r="D87" t="inlineStr">
        <is>
          <t>ÖREBRO LÄN</t>
        </is>
      </c>
      <c r="E87" t="inlineStr">
        <is>
          <t>HÄLLEFORS</t>
        </is>
      </c>
      <c r="G87" t="n">
        <v>7.2</v>
      </c>
      <c r="H87" t="n">
        <v>0</v>
      </c>
      <c r="I87" t="n">
        <v>0</v>
      </c>
      <c r="J87" t="n">
        <v>0</v>
      </c>
      <c r="K87" t="n">
        <v>0</v>
      </c>
      <c r="L87" t="n">
        <v>0</v>
      </c>
      <c r="M87" t="n">
        <v>0</v>
      </c>
      <c r="N87" t="n">
        <v>0</v>
      </c>
      <c r="O87" t="n">
        <v>0</v>
      </c>
      <c r="P87" t="n">
        <v>0</v>
      </c>
      <c r="Q87" t="n">
        <v>0</v>
      </c>
      <c r="R87" s="2" t="inlineStr"/>
    </row>
    <row r="88" ht="15" customHeight="1">
      <c r="A88" t="inlineStr">
        <is>
          <t>A 35106-2023</t>
        </is>
      </c>
      <c r="B88" s="1" t="n">
        <v>45145</v>
      </c>
      <c r="C88" s="1" t="n">
        <v>46111</v>
      </c>
      <c r="D88" t="inlineStr">
        <is>
          <t>ÖREBRO LÄN</t>
        </is>
      </c>
      <c r="E88" t="inlineStr">
        <is>
          <t>HÄLLEFORS</t>
        </is>
      </c>
      <c r="F88" t="inlineStr">
        <is>
          <t>Bergvik skog väst AB</t>
        </is>
      </c>
      <c r="G88" t="n">
        <v>13.9</v>
      </c>
      <c r="H88" t="n">
        <v>0</v>
      </c>
      <c r="I88" t="n">
        <v>0</v>
      </c>
      <c r="J88" t="n">
        <v>0</v>
      </c>
      <c r="K88" t="n">
        <v>0</v>
      </c>
      <c r="L88" t="n">
        <v>0</v>
      </c>
      <c r="M88" t="n">
        <v>0</v>
      </c>
      <c r="N88" t="n">
        <v>0</v>
      </c>
      <c r="O88" t="n">
        <v>0</v>
      </c>
      <c r="P88" t="n">
        <v>0</v>
      </c>
      <c r="Q88" t="n">
        <v>0</v>
      </c>
      <c r="R88" s="2" t="inlineStr"/>
    </row>
    <row r="89" ht="15" customHeight="1">
      <c r="A89" t="inlineStr">
        <is>
          <t>A 39178-2022</t>
        </is>
      </c>
      <c r="B89" s="1" t="n">
        <v>44817.50186342592</v>
      </c>
      <c r="C89" s="1" t="n">
        <v>46111</v>
      </c>
      <c r="D89" t="inlineStr">
        <is>
          <t>ÖREBRO LÄN</t>
        </is>
      </c>
      <c r="E89" t="inlineStr">
        <is>
          <t>HÄLLEFORS</t>
        </is>
      </c>
      <c r="G89" t="n">
        <v>1.1</v>
      </c>
      <c r="H89" t="n">
        <v>0</v>
      </c>
      <c r="I89" t="n">
        <v>0</v>
      </c>
      <c r="J89" t="n">
        <v>0</v>
      </c>
      <c r="K89" t="n">
        <v>0</v>
      </c>
      <c r="L89" t="n">
        <v>0</v>
      </c>
      <c r="M89" t="n">
        <v>0</v>
      </c>
      <c r="N89" t="n">
        <v>0</v>
      </c>
      <c r="O89" t="n">
        <v>0</v>
      </c>
      <c r="P89" t="n">
        <v>0</v>
      </c>
      <c r="Q89" t="n">
        <v>0</v>
      </c>
      <c r="R89" s="2" t="inlineStr"/>
    </row>
    <row r="90" ht="15" customHeight="1">
      <c r="A90" t="inlineStr">
        <is>
          <t>A 47907-2024</t>
        </is>
      </c>
      <c r="B90" s="1" t="n">
        <v>45589.31677083333</v>
      </c>
      <c r="C90" s="1" t="n">
        <v>46111</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46111</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16930-2025</t>
        </is>
      </c>
      <c r="B92" s="1" t="n">
        <v>45755.40039351852</v>
      </c>
      <c r="C92" s="1" t="n">
        <v>46111</v>
      </c>
      <c r="D92" t="inlineStr">
        <is>
          <t>ÖREBRO LÄN</t>
        </is>
      </c>
      <c r="E92" t="inlineStr">
        <is>
          <t>HÄLLEFORS</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59963-2024</t>
        </is>
      </c>
      <c r="B93" s="1" t="n">
        <v>45642.35274305556</v>
      </c>
      <c r="C93" s="1" t="n">
        <v>46111</v>
      </c>
      <c r="D93" t="inlineStr">
        <is>
          <t>ÖREBRO LÄN</t>
        </is>
      </c>
      <c r="E93" t="inlineStr">
        <is>
          <t>HÄLLEFORS</t>
        </is>
      </c>
      <c r="F93" t="inlineStr">
        <is>
          <t>Bergvik skog väst AB</t>
        </is>
      </c>
      <c r="G93" t="n">
        <v>8.4</v>
      </c>
      <c r="H93" t="n">
        <v>0</v>
      </c>
      <c r="I93" t="n">
        <v>0</v>
      </c>
      <c r="J93" t="n">
        <v>0</v>
      </c>
      <c r="K93" t="n">
        <v>0</v>
      </c>
      <c r="L93" t="n">
        <v>0</v>
      </c>
      <c r="M93" t="n">
        <v>0</v>
      </c>
      <c r="N93" t="n">
        <v>0</v>
      </c>
      <c r="O93" t="n">
        <v>0</v>
      </c>
      <c r="P93" t="n">
        <v>0</v>
      </c>
      <c r="Q93" t="n">
        <v>0</v>
      </c>
      <c r="R93" s="2" t="inlineStr"/>
    </row>
    <row r="94" ht="15" customHeight="1">
      <c r="A94" t="inlineStr">
        <is>
          <t>A 36090-2024</t>
        </is>
      </c>
      <c r="B94" s="1" t="n">
        <v>45533.68363425926</v>
      </c>
      <c r="C94" s="1" t="n">
        <v>46111</v>
      </c>
      <c r="D94" t="inlineStr">
        <is>
          <t>ÖREBRO LÄN</t>
        </is>
      </c>
      <c r="E94" t="inlineStr">
        <is>
          <t>HÄLLEFORS</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46111</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46111</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57421-2025</t>
        </is>
      </c>
      <c r="B97" s="1" t="n">
        <v>45980.45798611111</v>
      </c>
      <c r="C97" s="1" t="n">
        <v>46111</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47811-2024</t>
        </is>
      </c>
      <c r="B98" s="1" t="n">
        <v>45588.61716435185</v>
      </c>
      <c r="C98" s="1" t="n">
        <v>46111</v>
      </c>
      <c r="D98" t="inlineStr">
        <is>
          <t>ÖREBRO LÄN</t>
        </is>
      </c>
      <c r="E98" t="inlineStr">
        <is>
          <t>HÄLLEFORS</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57494-2025</t>
        </is>
      </c>
      <c r="B99" s="1" t="n">
        <v>45980.5859375</v>
      </c>
      <c r="C99" s="1" t="n">
        <v>46111</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25059-2024</t>
        </is>
      </c>
      <c r="B100" s="1" t="n">
        <v>45462.35787037037</v>
      </c>
      <c r="C100" s="1" t="n">
        <v>46111</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35862-2024</t>
        </is>
      </c>
      <c r="B101" s="1" t="n">
        <v>45533.33909722222</v>
      </c>
      <c r="C101" s="1" t="n">
        <v>46111</v>
      </c>
      <c r="D101" t="inlineStr">
        <is>
          <t>ÖREBRO LÄN</t>
        </is>
      </c>
      <c r="E101" t="inlineStr">
        <is>
          <t>HÄLLEFORS</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46980-2023</t>
        </is>
      </c>
      <c r="B102" s="1" t="n">
        <v>45201</v>
      </c>
      <c r="C102" s="1" t="n">
        <v>46111</v>
      </c>
      <c r="D102" t="inlineStr">
        <is>
          <t>ÖREBRO LÄN</t>
        </is>
      </c>
      <c r="E102" t="inlineStr">
        <is>
          <t>HÄLLEFORS</t>
        </is>
      </c>
      <c r="F102" t="inlineStr">
        <is>
          <t>Bergvik skog väst AB</t>
        </is>
      </c>
      <c r="G102" t="n">
        <v>7.5</v>
      </c>
      <c r="H102" t="n">
        <v>0</v>
      </c>
      <c r="I102" t="n">
        <v>0</v>
      </c>
      <c r="J102" t="n">
        <v>0</v>
      </c>
      <c r="K102" t="n">
        <v>0</v>
      </c>
      <c r="L102" t="n">
        <v>0</v>
      </c>
      <c r="M102" t="n">
        <v>0</v>
      </c>
      <c r="N102" t="n">
        <v>0</v>
      </c>
      <c r="O102" t="n">
        <v>0</v>
      </c>
      <c r="P102" t="n">
        <v>0</v>
      </c>
      <c r="Q102" t="n">
        <v>0</v>
      </c>
      <c r="R102" s="2" t="inlineStr"/>
    </row>
    <row r="103" ht="15" customHeight="1">
      <c r="A103" t="inlineStr">
        <is>
          <t>A 35860-2024</t>
        </is>
      </c>
      <c r="B103" s="1" t="n">
        <v>45533</v>
      </c>
      <c r="C103" s="1" t="n">
        <v>46111</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46111</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46111</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53344-2024</t>
        </is>
      </c>
      <c r="B106" s="1" t="n">
        <v>45614.44175925926</v>
      </c>
      <c r="C106" s="1" t="n">
        <v>46111</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46111</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29280-2025</t>
        </is>
      </c>
      <c r="B108" s="1" t="n">
        <v>45824</v>
      </c>
      <c r="C108" s="1" t="n">
        <v>46111</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18503-2025</t>
        </is>
      </c>
      <c r="B109" s="1" t="n">
        <v>45763.37480324074</v>
      </c>
      <c r="C109" s="1" t="n">
        <v>46111</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18582-2025</t>
        </is>
      </c>
      <c r="B110" s="1" t="n">
        <v>45763</v>
      </c>
      <c r="C110" s="1" t="n">
        <v>46111</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37027-2022</t>
        </is>
      </c>
      <c r="B111" s="1" t="n">
        <v>44806</v>
      </c>
      <c r="C111" s="1" t="n">
        <v>46111</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58934-2025</t>
        </is>
      </c>
      <c r="B112" s="1" t="n">
        <v>45987.56333333333</v>
      </c>
      <c r="C112" s="1" t="n">
        <v>46111</v>
      </c>
      <c r="D112" t="inlineStr">
        <is>
          <t>ÖREBRO LÄN</t>
        </is>
      </c>
      <c r="E112" t="inlineStr">
        <is>
          <t>HÄLLEFORS</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58949-2025</t>
        </is>
      </c>
      <c r="B113" s="1" t="n">
        <v>45987.58652777778</v>
      </c>
      <c r="C113" s="1" t="n">
        <v>46111</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58940-2025</t>
        </is>
      </c>
      <c r="B114" s="1" t="n">
        <v>45987.57128472222</v>
      </c>
      <c r="C114" s="1" t="n">
        <v>46111</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5263-2025</t>
        </is>
      </c>
      <c r="B115" s="1" t="n">
        <v>45692.37509259259</v>
      </c>
      <c r="C115" s="1" t="n">
        <v>46111</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58930-2025</t>
        </is>
      </c>
      <c r="B116" s="1" t="n">
        <v>45987.55640046296</v>
      </c>
      <c r="C116" s="1" t="n">
        <v>46111</v>
      </c>
      <c r="D116" t="inlineStr">
        <is>
          <t>ÖREBRO LÄN</t>
        </is>
      </c>
      <c r="E116" t="inlineStr">
        <is>
          <t>HÄLLEFORS</t>
        </is>
      </c>
      <c r="F116" t="inlineStr">
        <is>
          <t>Bergvik skog väst AB</t>
        </is>
      </c>
      <c r="G116" t="n">
        <v>5.1</v>
      </c>
      <c r="H116" t="n">
        <v>0</v>
      </c>
      <c r="I116" t="n">
        <v>0</v>
      </c>
      <c r="J116" t="n">
        <v>0</v>
      </c>
      <c r="K116" t="n">
        <v>0</v>
      </c>
      <c r="L116" t="n">
        <v>0</v>
      </c>
      <c r="M116" t="n">
        <v>0</v>
      </c>
      <c r="N116" t="n">
        <v>0</v>
      </c>
      <c r="O116" t="n">
        <v>0</v>
      </c>
      <c r="P116" t="n">
        <v>0</v>
      </c>
      <c r="Q116" t="n">
        <v>0</v>
      </c>
      <c r="R116" s="2" t="inlineStr"/>
    </row>
    <row r="117" ht="15" customHeight="1">
      <c r="A117" t="inlineStr">
        <is>
          <t>A 58941-2025</t>
        </is>
      </c>
      <c r="B117" s="1" t="n">
        <v>45987.57491898148</v>
      </c>
      <c r="C117" s="1" t="n">
        <v>46111</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58942-2025</t>
        </is>
      </c>
      <c r="B118" s="1" t="n">
        <v>45987.57672453704</v>
      </c>
      <c r="C118" s="1" t="n">
        <v>46111</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58947-2025</t>
        </is>
      </c>
      <c r="B119" s="1" t="n">
        <v>45987.58177083333</v>
      </c>
      <c r="C119" s="1" t="n">
        <v>46111</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46111</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44107-2024</t>
        </is>
      </c>
      <c r="B121" s="1" t="n">
        <v>45572.63357638889</v>
      </c>
      <c r="C121" s="1" t="n">
        <v>46111</v>
      </c>
      <c r="D121" t="inlineStr">
        <is>
          <t>ÖREBRO LÄN</t>
        </is>
      </c>
      <c r="E121" t="inlineStr">
        <is>
          <t>HÄLLEFORS</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58938-2025</t>
        </is>
      </c>
      <c r="B122" s="1" t="n">
        <v>45987.56550925926</v>
      </c>
      <c r="C122" s="1" t="n">
        <v>46111</v>
      </c>
      <c r="D122" t="inlineStr">
        <is>
          <t>ÖREBRO LÄN</t>
        </is>
      </c>
      <c r="E122" t="inlineStr">
        <is>
          <t>HÄLLEFORS</t>
        </is>
      </c>
      <c r="F122" t="inlineStr">
        <is>
          <t>Bergvik skog väst AB</t>
        </is>
      </c>
      <c r="G122" t="n">
        <v>3.7</v>
      </c>
      <c r="H122" t="n">
        <v>0</v>
      </c>
      <c r="I122" t="n">
        <v>0</v>
      </c>
      <c r="J122" t="n">
        <v>0</v>
      </c>
      <c r="K122" t="n">
        <v>0</v>
      </c>
      <c r="L122" t="n">
        <v>0</v>
      </c>
      <c r="M122" t="n">
        <v>0</v>
      </c>
      <c r="N122" t="n">
        <v>0</v>
      </c>
      <c r="O122" t="n">
        <v>0</v>
      </c>
      <c r="P122" t="n">
        <v>0</v>
      </c>
      <c r="Q122" t="n">
        <v>0</v>
      </c>
      <c r="R122" s="2" t="inlineStr"/>
    </row>
    <row r="123" ht="15" customHeight="1">
      <c r="A123" t="inlineStr">
        <is>
          <t>A 23036-2024</t>
        </is>
      </c>
      <c r="B123" s="1" t="n">
        <v>45450.39145833333</v>
      </c>
      <c r="C123" s="1" t="n">
        <v>46111</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41089-2022</t>
        </is>
      </c>
      <c r="B124" s="1" t="n">
        <v>44825.64613425926</v>
      </c>
      <c r="C124" s="1" t="n">
        <v>46111</v>
      </c>
      <c r="D124" t="inlineStr">
        <is>
          <t>ÖREBRO LÄN</t>
        </is>
      </c>
      <c r="E124" t="inlineStr">
        <is>
          <t>HÄLLEFORS</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46111</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46111</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5657-2024</t>
        </is>
      </c>
      <c r="B127" s="1" t="n">
        <v>45334</v>
      </c>
      <c r="C127" s="1" t="n">
        <v>46111</v>
      </c>
      <c r="D127" t="inlineStr">
        <is>
          <t>ÖREBRO LÄN</t>
        </is>
      </c>
      <c r="E127" t="inlineStr">
        <is>
          <t>HÄLLEFORS</t>
        </is>
      </c>
      <c r="G127" t="n">
        <v>0.3</v>
      </c>
      <c r="H127" t="n">
        <v>0</v>
      </c>
      <c r="I127" t="n">
        <v>0</v>
      </c>
      <c r="J127" t="n">
        <v>0</v>
      </c>
      <c r="K127" t="n">
        <v>0</v>
      </c>
      <c r="L127" t="n">
        <v>0</v>
      </c>
      <c r="M127" t="n">
        <v>0</v>
      </c>
      <c r="N127" t="n">
        <v>0</v>
      </c>
      <c r="O127" t="n">
        <v>0</v>
      </c>
      <c r="P127" t="n">
        <v>0</v>
      </c>
      <c r="Q127" t="n">
        <v>0</v>
      </c>
      <c r="R127" s="2" t="inlineStr"/>
    </row>
    <row r="128" ht="15" customHeight="1">
      <c r="A128" t="inlineStr">
        <is>
          <t>A 62265-2022</t>
        </is>
      </c>
      <c r="B128" s="1" t="n">
        <v>44923</v>
      </c>
      <c r="C128" s="1" t="n">
        <v>46111</v>
      </c>
      <c r="D128" t="inlineStr">
        <is>
          <t>ÖREBRO LÄN</t>
        </is>
      </c>
      <c r="E128" t="inlineStr">
        <is>
          <t>HÄLLEFORS</t>
        </is>
      </c>
      <c r="G128" t="n">
        <v>0.6</v>
      </c>
      <c r="H128" t="n">
        <v>0</v>
      </c>
      <c r="I128" t="n">
        <v>0</v>
      </c>
      <c r="J128" t="n">
        <v>0</v>
      </c>
      <c r="K128" t="n">
        <v>0</v>
      </c>
      <c r="L128" t="n">
        <v>0</v>
      </c>
      <c r="M128" t="n">
        <v>0</v>
      </c>
      <c r="N128" t="n">
        <v>0</v>
      </c>
      <c r="O128" t="n">
        <v>0</v>
      </c>
      <c r="P128" t="n">
        <v>0</v>
      </c>
      <c r="Q128" t="n">
        <v>0</v>
      </c>
      <c r="R128" s="2" t="inlineStr"/>
    </row>
    <row r="129" ht="15" customHeight="1">
      <c r="A129" t="inlineStr">
        <is>
          <t>A 28564-2024</t>
        </is>
      </c>
      <c r="B129" s="1" t="n">
        <v>45478.38640046296</v>
      </c>
      <c r="C129" s="1" t="n">
        <v>46111</v>
      </c>
      <c r="D129" t="inlineStr">
        <is>
          <t>ÖREBRO LÄN</t>
        </is>
      </c>
      <c r="E129" t="inlineStr">
        <is>
          <t>HÄLLEFORS</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32937-2024</t>
        </is>
      </c>
      <c r="B130" s="1" t="n">
        <v>45517.32866898148</v>
      </c>
      <c r="C130" s="1" t="n">
        <v>46111</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46111</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60306-2024</t>
        </is>
      </c>
      <c r="B132" s="1" t="n">
        <v>45643.34040509259</v>
      </c>
      <c r="C132" s="1" t="n">
        <v>46111</v>
      </c>
      <c r="D132" t="inlineStr">
        <is>
          <t>ÖREBRO LÄN</t>
        </is>
      </c>
      <c r="E132" t="inlineStr">
        <is>
          <t>HÄLLEFORS</t>
        </is>
      </c>
      <c r="F132" t="inlineStr">
        <is>
          <t>Bergvik skog väst AB</t>
        </is>
      </c>
      <c r="G132" t="n">
        <v>4.5</v>
      </c>
      <c r="H132" t="n">
        <v>0</v>
      </c>
      <c r="I132" t="n">
        <v>0</v>
      </c>
      <c r="J132" t="n">
        <v>0</v>
      </c>
      <c r="K132" t="n">
        <v>0</v>
      </c>
      <c r="L132" t="n">
        <v>0</v>
      </c>
      <c r="M132" t="n">
        <v>0</v>
      </c>
      <c r="N132" t="n">
        <v>0</v>
      </c>
      <c r="O132" t="n">
        <v>0</v>
      </c>
      <c r="P132" t="n">
        <v>0</v>
      </c>
      <c r="Q132" t="n">
        <v>0</v>
      </c>
      <c r="R132" s="2" t="inlineStr"/>
    </row>
    <row r="133" ht="15" customHeight="1">
      <c r="A133" t="inlineStr">
        <is>
          <t>A 5237-2025</t>
        </is>
      </c>
      <c r="B133" s="1" t="n">
        <v>45692.30760416666</v>
      </c>
      <c r="C133" s="1" t="n">
        <v>46111</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35861-2024</t>
        </is>
      </c>
      <c r="B134" s="1" t="n">
        <v>45533.33751157407</v>
      </c>
      <c r="C134" s="1" t="n">
        <v>46111</v>
      </c>
      <c r="D134" t="inlineStr">
        <is>
          <t>ÖREBRO LÄN</t>
        </is>
      </c>
      <c r="E134" t="inlineStr">
        <is>
          <t>HÄLLEFORS</t>
        </is>
      </c>
      <c r="F134" t="inlineStr">
        <is>
          <t>Bergvik skog väst AB</t>
        </is>
      </c>
      <c r="G134" t="n">
        <v>25.9</v>
      </c>
      <c r="H134" t="n">
        <v>0</v>
      </c>
      <c r="I134" t="n">
        <v>0</v>
      </c>
      <c r="J134" t="n">
        <v>0</v>
      </c>
      <c r="K134" t="n">
        <v>0</v>
      </c>
      <c r="L134" t="n">
        <v>0</v>
      </c>
      <c r="M134" t="n">
        <v>0</v>
      </c>
      <c r="N134" t="n">
        <v>0</v>
      </c>
      <c r="O134" t="n">
        <v>0</v>
      </c>
      <c r="P134" t="n">
        <v>0</v>
      </c>
      <c r="Q134" t="n">
        <v>0</v>
      </c>
      <c r="R134" s="2" t="inlineStr"/>
    </row>
    <row r="135" ht="15" customHeight="1">
      <c r="A135" t="inlineStr">
        <is>
          <t>A 5042-2025</t>
        </is>
      </c>
      <c r="B135" s="1" t="n">
        <v>45691.43619212963</v>
      </c>
      <c r="C135" s="1" t="n">
        <v>46111</v>
      </c>
      <c r="D135" t="inlineStr">
        <is>
          <t>ÖREBRO LÄN</t>
        </is>
      </c>
      <c r="E135" t="inlineStr">
        <is>
          <t>HÄLLEFORS</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40485-2025</t>
        </is>
      </c>
      <c r="B136" s="1" t="n">
        <v>45895.85320601852</v>
      </c>
      <c r="C136" s="1" t="n">
        <v>46111</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54995-2024</t>
        </is>
      </c>
      <c r="B137" s="1" t="n">
        <v>45621.28127314815</v>
      </c>
      <c r="C137" s="1" t="n">
        <v>46111</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7066-2024</t>
        </is>
      </c>
      <c r="B138" s="1" t="n">
        <v>45343</v>
      </c>
      <c r="C138" s="1" t="n">
        <v>46111</v>
      </c>
      <c r="D138" t="inlineStr">
        <is>
          <t>ÖREBRO LÄN</t>
        </is>
      </c>
      <c r="E138" t="inlineStr">
        <is>
          <t>HÄLLEFORS</t>
        </is>
      </c>
      <c r="G138" t="n">
        <v>1.2</v>
      </c>
      <c r="H138" t="n">
        <v>0</v>
      </c>
      <c r="I138" t="n">
        <v>0</v>
      </c>
      <c r="J138" t="n">
        <v>0</v>
      </c>
      <c r="K138" t="n">
        <v>0</v>
      </c>
      <c r="L138" t="n">
        <v>0</v>
      </c>
      <c r="M138" t="n">
        <v>0</v>
      </c>
      <c r="N138" t="n">
        <v>0</v>
      </c>
      <c r="O138" t="n">
        <v>0</v>
      </c>
      <c r="P138" t="n">
        <v>0</v>
      </c>
      <c r="Q138" t="n">
        <v>0</v>
      </c>
      <c r="R138" s="2" t="inlineStr"/>
    </row>
    <row r="139" ht="15" customHeight="1">
      <c r="A139" t="inlineStr">
        <is>
          <t>A 29027-2024</t>
        </is>
      </c>
      <c r="B139" s="1" t="n">
        <v>45481.58833333333</v>
      </c>
      <c r="C139" s="1" t="n">
        <v>46111</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44122-2024</t>
        </is>
      </c>
      <c r="B140" s="1" t="n">
        <v>45572.6396875</v>
      </c>
      <c r="C140" s="1" t="n">
        <v>46111</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16927-2025</t>
        </is>
      </c>
      <c r="B141" s="1" t="n">
        <v>45755.39212962963</v>
      </c>
      <c r="C141" s="1" t="n">
        <v>46111</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12648-2025</t>
        </is>
      </c>
      <c r="B142" s="1" t="n">
        <v>45733.39797453704</v>
      </c>
      <c r="C142" s="1" t="n">
        <v>46111</v>
      </c>
      <c r="D142" t="inlineStr">
        <is>
          <t>ÖREBRO LÄN</t>
        </is>
      </c>
      <c r="E142" t="inlineStr">
        <is>
          <t>HÄLLEFORS</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61084-2025</t>
        </is>
      </c>
      <c r="B143" s="1" t="n">
        <v>46000.41092592593</v>
      </c>
      <c r="C143" s="1" t="n">
        <v>46111</v>
      </c>
      <c r="D143" t="inlineStr">
        <is>
          <t>ÖREBRO LÄN</t>
        </is>
      </c>
      <c r="E143" t="inlineStr">
        <is>
          <t>HÄLLEFORS</t>
        </is>
      </c>
      <c r="F143" t="inlineStr">
        <is>
          <t>Bergvik skog väst AB</t>
        </is>
      </c>
      <c r="G143" t="n">
        <v>7.7</v>
      </c>
      <c r="H143" t="n">
        <v>0</v>
      </c>
      <c r="I143" t="n">
        <v>0</v>
      </c>
      <c r="J143" t="n">
        <v>0</v>
      </c>
      <c r="K143" t="n">
        <v>0</v>
      </c>
      <c r="L143" t="n">
        <v>0</v>
      </c>
      <c r="M143" t="n">
        <v>0</v>
      </c>
      <c r="N143" t="n">
        <v>0</v>
      </c>
      <c r="O143" t="n">
        <v>0</v>
      </c>
      <c r="P143" t="n">
        <v>0</v>
      </c>
      <c r="Q143" t="n">
        <v>0</v>
      </c>
      <c r="R143" s="2" t="inlineStr"/>
    </row>
    <row r="144" ht="15" customHeight="1">
      <c r="A144" t="inlineStr">
        <is>
          <t>A 58768-2024</t>
        </is>
      </c>
      <c r="B144" s="1" t="n">
        <v>45635</v>
      </c>
      <c r="C144" s="1" t="n">
        <v>46111</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61082-2025</t>
        </is>
      </c>
      <c r="B145" s="1" t="n">
        <v>46000.40797453704</v>
      </c>
      <c r="C145" s="1" t="n">
        <v>46111</v>
      </c>
      <c r="D145" t="inlineStr">
        <is>
          <t>ÖREBRO LÄN</t>
        </is>
      </c>
      <c r="E145" t="inlineStr">
        <is>
          <t>HÄLLEFORS</t>
        </is>
      </c>
      <c r="F145" t="inlineStr">
        <is>
          <t>Bergvik skog väst AB</t>
        </is>
      </c>
      <c r="G145" t="n">
        <v>5.4</v>
      </c>
      <c r="H145" t="n">
        <v>0</v>
      </c>
      <c r="I145" t="n">
        <v>0</v>
      </c>
      <c r="J145" t="n">
        <v>0</v>
      </c>
      <c r="K145" t="n">
        <v>0</v>
      </c>
      <c r="L145" t="n">
        <v>0</v>
      </c>
      <c r="M145" t="n">
        <v>0</v>
      </c>
      <c r="N145" t="n">
        <v>0</v>
      </c>
      <c r="O145" t="n">
        <v>0</v>
      </c>
      <c r="P145" t="n">
        <v>0</v>
      </c>
      <c r="Q145" t="n">
        <v>0</v>
      </c>
      <c r="R145" s="2" t="inlineStr"/>
    </row>
    <row r="146" ht="15" customHeight="1">
      <c r="A146" t="inlineStr">
        <is>
          <t>A 41810-2023</t>
        </is>
      </c>
      <c r="B146" s="1" t="n">
        <v>45176</v>
      </c>
      <c r="C146" s="1" t="n">
        <v>46111</v>
      </c>
      <c r="D146" t="inlineStr">
        <is>
          <t>ÖREBRO LÄN</t>
        </is>
      </c>
      <c r="E146" t="inlineStr">
        <is>
          <t>HÄLLEFORS</t>
        </is>
      </c>
      <c r="F146" t="inlineStr">
        <is>
          <t>Bergvik skog väst AB</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61164-2025</t>
        </is>
      </c>
      <c r="B147" s="1" t="n">
        <v>46000.56178240741</v>
      </c>
      <c r="C147" s="1" t="n">
        <v>46111</v>
      </c>
      <c r="D147" t="inlineStr">
        <is>
          <t>ÖREBRO LÄN</t>
        </is>
      </c>
      <c r="E147" t="inlineStr">
        <is>
          <t>HÄLLEFORS</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60852-2025</t>
        </is>
      </c>
      <c r="B148" s="1" t="n">
        <v>45999.50795138889</v>
      </c>
      <c r="C148" s="1" t="n">
        <v>46111</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61079-2025</t>
        </is>
      </c>
      <c r="B149" s="1" t="n">
        <v>46000.40052083333</v>
      </c>
      <c r="C149" s="1" t="n">
        <v>46111</v>
      </c>
      <c r="D149" t="inlineStr">
        <is>
          <t>ÖREBRO LÄN</t>
        </is>
      </c>
      <c r="E149" t="inlineStr">
        <is>
          <t>HÄLLEFORS</t>
        </is>
      </c>
      <c r="F149" t="inlineStr">
        <is>
          <t>Bergvik skog väst AB</t>
        </is>
      </c>
      <c r="G149" t="n">
        <v>6.8</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44924.593125</v>
      </c>
      <c r="C150" s="1" t="n">
        <v>46111</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41152-2025</t>
        </is>
      </c>
      <c r="B151" s="1" t="n">
        <v>45898.5128587963</v>
      </c>
      <c r="C151" s="1" t="n">
        <v>46111</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3057-2024</t>
        </is>
      </c>
      <c r="B152" s="1" t="n">
        <v>45316</v>
      </c>
      <c r="C152" s="1" t="n">
        <v>46111</v>
      </c>
      <c r="D152" t="inlineStr">
        <is>
          <t>ÖREBRO LÄN</t>
        </is>
      </c>
      <c r="E152" t="inlineStr">
        <is>
          <t>HÄLLEFORS</t>
        </is>
      </c>
      <c r="F152" t="inlineStr">
        <is>
          <t>Bergvik skog väst AB</t>
        </is>
      </c>
      <c r="G152" t="n">
        <v>12.2</v>
      </c>
      <c r="H152" t="n">
        <v>0</v>
      </c>
      <c r="I152" t="n">
        <v>0</v>
      </c>
      <c r="J152" t="n">
        <v>0</v>
      </c>
      <c r="K152" t="n">
        <v>0</v>
      </c>
      <c r="L152" t="n">
        <v>0</v>
      </c>
      <c r="M152" t="n">
        <v>0</v>
      </c>
      <c r="N152" t="n">
        <v>0</v>
      </c>
      <c r="O152" t="n">
        <v>0</v>
      </c>
      <c r="P152" t="n">
        <v>0</v>
      </c>
      <c r="Q152" t="n">
        <v>0</v>
      </c>
      <c r="R152" s="2" t="inlineStr"/>
    </row>
    <row r="153" ht="15" customHeight="1">
      <c r="A153" t="inlineStr">
        <is>
          <t>A 65054-2021</t>
        </is>
      </c>
      <c r="B153" s="1" t="n">
        <v>44515.35802083334</v>
      </c>
      <c r="C153" s="1" t="n">
        <v>46111</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61366-2025</t>
        </is>
      </c>
      <c r="B154" s="1" t="n">
        <v>46001.42888888889</v>
      </c>
      <c r="C154" s="1" t="n">
        <v>46111</v>
      </c>
      <c r="D154" t="inlineStr">
        <is>
          <t>ÖREBRO LÄN</t>
        </is>
      </c>
      <c r="E154" t="inlineStr">
        <is>
          <t>HÄLLEFORS</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62262-2025</t>
        </is>
      </c>
      <c r="B155" s="1" t="n">
        <v>46006.61628472222</v>
      </c>
      <c r="C155" s="1" t="n">
        <v>46111</v>
      </c>
      <c r="D155" t="inlineStr">
        <is>
          <t>ÖREBRO LÄN</t>
        </is>
      </c>
      <c r="E155" t="inlineStr">
        <is>
          <t>HÄLLEFORS</t>
        </is>
      </c>
      <c r="G155" t="n">
        <v>13.4</v>
      </c>
      <c r="H155" t="n">
        <v>0</v>
      </c>
      <c r="I155" t="n">
        <v>0</v>
      </c>
      <c r="J155" t="n">
        <v>0</v>
      </c>
      <c r="K155" t="n">
        <v>0</v>
      </c>
      <c r="L155" t="n">
        <v>0</v>
      </c>
      <c r="M155" t="n">
        <v>0</v>
      </c>
      <c r="N155" t="n">
        <v>0</v>
      </c>
      <c r="O155" t="n">
        <v>0</v>
      </c>
      <c r="P155" t="n">
        <v>0</v>
      </c>
      <c r="Q155" t="n">
        <v>0</v>
      </c>
      <c r="R155" s="2" t="inlineStr"/>
    </row>
    <row r="156" ht="15" customHeight="1">
      <c r="A156" t="inlineStr">
        <is>
          <t>A 42918-2024</t>
        </is>
      </c>
      <c r="B156" s="1" t="n">
        <v>45567.27908564815</v>
      </c>
      <c r="C156" s="1" t="n">
        <v>46111</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62857-2025</t>
        </is>
      </c>
      <c r="B157" s="1" t="n">
        <v>46008.74070601852</v>
      </c>
      <c r="C157" s="1" t="n">
        <v>46111</v>
      </c>
      <c r="D157" t="inlineStr">
        <is>
          <t>ÖREBRO LÄN</t>
        </is>
      </c>
      <c r="E157" t="inlineStr">
        <is>
          <t>HÄLLEFORS</t>
        </is>
      </c>
      <c r="F157" t="inlineStr">
        <is>
          <t>Bergvik skog väst AB</t>
        </is>
      </c>
      <c r="G157" t="n">
        <v>9.1</v>
      </c>
      <c r="H157" t="n">
        <v>0</v>
      </c>
      <c r="I157" t="n">
        <v>0</v>
      </c>
      <c r="J157" t="n">
        <v>0</v>
      </c>
      <c r="K157" t="n">
        <v>0</v>
      </c>
      <c r="L157" t="n">
        <v>0</v>
      </c>
      <c r="M157" t="n">
        <v>0</v>
      </c>
      <c r="N157" t="n">
        <v>0</v>
      </c>
      <c r="O157" t="n">
        <v>0</v>
      </c>
      <c r="P157" t="n">
        <v>0</v>
      </c>
      <c r="Q157" t="n">
        <v>0</v>
      </c>
      <c r="R157" s="2" t="inlineStr"/>
    </row>
    <row r="158" ht="15" customHeight="1">
      <c r="A158" t="inlineStr">
        <is>
          <t>A 13757-2023</t>
        </is>
      </c>
      <c r="B158" s="1" t="n">
        <v>45007.42442129629</v>
      </c>
      <c r="C158" s="1" t="n">
        <v>46111</v>
      </c>
      <c r="D158" t="inlineStr">
        <is>
          <t>ÖREBRO LÄN</t>
        </is>
      </c>
      <c r="E158" t="inlineStr">
        <is>
          <t>HÄLLEFORS</t>
        </is>
      </c>
      <c r="F158" t="inlineStr">
        <is>
          <t>Bergvik skog väst AB</t>
        </is>
      </c>
      <c r="G158" t="n">
        <v>3.6</v>
      </c>
      <c r="H158" t="n">
        <v>0</v>
      </c>
      <c r="I158" t="n">
        <v>0</v>
      </c>
      <c r="J158" t="n">
        <v>0</v>
      </c>
      <c r="K158" t="n">
        <v>0</v>
      </c>
      <c r="L158" t="n">
        <v>0</v>
      </c>
      <c r="M158" t="n">
        <v>0</v>
      </c>
      <c r="N158" t="n">
        <v>0</v>
      </c>
      <c r="O158" t="n">
        <v>0</v>
      </c>
      <c r="P158" t="n">
        <v>0</v>
      </c>
      <c r="Q158" t="n">
        <v>0</v>
      </c>
      <c r="R158" s="2" t="inlineStr"/>
    </row>
    <row r="159" ht="15" customHeight="1">
      <c r="A159" t="inlineStr">
        <is>
          <t>A 62841-2025</t>
        </is>
      </c>
      <c r="B159" s="1" t="n">
        <v>46008.69076388889</v>
      </c>
      <c r="C159" s="1" t="n">
        <v>46111</v>
      </c>
      <c r="D159" t="inlineStr">
        <is>
          <t>ÖREBRO LÄN</t>
        </is>
      </c>
      <c r="E159" t="inlineStr">
        <is>
          <t>HÄLLEFORS</t>
        </is>
      </c>
      <c r="G159" t="n">
        <v>1.5</v>
      </c>
      <c r="H159" t="n">
        <v>0</v>
      </c>
      <c r="I159" t="n">
        <v>0</v>
      </c>
      <c r="J159" t="n">
        <v>0</v>
      </c>
      <c r="K159" t="n">
        <v>0</v>
      </c>
      <c r="L159" t="n">
        <v>0</v>
      </c>
      <c r="M159" t="n">
        <v>0</v>
      </c>
      <c r="N159" t="n">
        <v>0</v>
      </c>
      <c r="O159" t="n">
        <v>0</v>
      </c>
      <c r="P159" t="n">
        <v>0</v>
      </c>
      <c r="Q159" t="n">
        <v>0</v>
      </c>
      <c r="R159" s="2" t="inlineStr"/>
    </row>
    <row r="160" ht="15" customHeight="1">
      <c r="A160" t="inlineStr">
        <is>
          <t>A 5583-2023</t>
        </is>
      </c>
      <c r="B160" s="1" t="n">
        <v>44960.50733796296</v>
      </c>
      <c r="C160" s="1" t="n">
        <v>46111</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62848-2025</t>
        </is>
      </c>
      <c r="B161" s="1" t="n">
        <v>46008.6987037037</v>
      </c>
      <c r="C161" s="1" t="n">
        <v>46111</v>
      </c>
      <c r="D161" t="inlineStr">
        <is>
          <t>ÖREBRO LÄN</t>
        </is>
      </c>
      <c r="E161" t="inlineStr">
        <is>
          <t>HÄLLEFORS</t>
        </is>
      </c>
      <c r="G161" t="n">
        <v>0.2</v>
      </c>
      <c r="H161" t="n">
        <v>0</v>
      </c>
      <c r="I161" t="n">
        <v>0</v>
      </c>
      <c r="J161" t="n">
        <v>0</v>
      </c>
      <c r="K161" t="n">
        <v>0</v>
      </c>
      <c r="L161" t="n">
        <v>0</v>
      </c>
      <c r="M161" t="n">
        <v>0</v>
      </c>
      <c r="N161" t="n">
        <v>0</v>
      </c>
      <c r="O161" t="n">
        <v>0</v>
      </c>
      <c r="P161" t="n">
        <v>0</v>
      </c>
      <c r="Q161" t="n">
        <v>0</v>
      </c>
      <c r="R161" s="2" t="inlineStr"/>
    </row>
    <row r="162" ht="15" customHeight="1">
      <c r="A162" t="inlineStr">
        <is>
          <t>A 62846-2025</t>
        </is>
      </c>
      <c r="B162" s="1" t="n">
        <v>46008.69574074074</v>
      </c>
      <c r="C162" s="1" t="n">
        <v>46111</v>
      </c>
      <c r="D162" t="inlineStr">
        <is>
          <t>ÖREBRO LÄN</t>
        </is>
      </c>
      <c r="E162" t="inlineStr">
        <is>
          <t>HÄLLEFORS</t>
        </is>
      </c>
      <c r="G162" t="n">
        <v>0.2</v>
      </c>
      <c r="H162" t="n">
        <v>0</v>
      </c>
      <c r="I162" t="n">
        <v>0</v>
      </c>
      <c r="J162" t="n">
        <v>0</v>
      </c>
      <c r="K162" t="n">
        <v>0</v>
      </c>
      <c r="L162" t="n">
        <v>0</v>
      </c>
      <c r="M162" t="n">
        <v>0</v>
      </c>
      <c r="N162" t="n">
        <v>0</v>
      </c>
      <c r="O162" t="n">
        <v>0</v>
      </c>
      <c r="P162" t="n">
        <v>0</v>
      </c>
      <c r="Q162" t="n">
        <v>0</v>
      </c>
      <c r="R162" s="2" t="inlineStr"/>
    </row>
    <row r="163" ht="15" customHeight="1">
      <c r="A163" t="inlineStr">
        <is>
          <t>A 62400-2025</t>
        </is>
      </c>
      <c r="B163" s="1" t="n">
        <v>46007.40847222223</v>
      </c>
      <c r="C163" s="1" t="n">
        <v>46111</v>
      </c>
      <c r="D163" t="inlineStr">
        <is>
          <t>ÖREBRO LÄN</t>
        </is>
      </c>
      <c r="E163" t="inlineStr">
        <is>
          <t>HÄLLEFORS</t>
        </is>
      </c>
      <c r="F163" t="inlineStr">
        <is>
          <t>Bergvik skog väst AB</t>
        </is>
      </c>
      <c r="G163" t="n">
        <v>7.3</v>
      </c>
      <c r="H163" t="n">
        <v>0</v>
      </c>
      <c r="I163" t="n">
        <v>0</v>
      </c>
      <c r="J163" t="n">
        <v>0</v>
      </c>
      <c r="K163" t="n">
        <v>0</v>
      </c>
      <c r="L163" t="n">
        <v>0</v>
      </c>
      <c r="M163" t="n">
        <v>0</v>
      </c>
      <c r="N163" t="n">
        <v>0</v>
      </c>
      <c r="O163" t="n">
        <v>0</v>
      </c>
      <c r="P163" t="n">
        <v>0</v>
      </c>
      <c r="Q163" t="n">
        <v>0</v>
      </c>
      <c r="R163" s="2" t="inlineStr"/>
    </row>
    <row r="164" ht="15" customHeight="1">
      <c r="A164" t="inlineStr">
        <is>
          <t>A 16928-2025</t>
        </is>
      </c>
      <c r="B164" s="1" t="n">
        <v>45755.39711805555</v>
      </c>
      <c r="C164" s="1" t="n">
        <v>46111</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4583-2025</t>
        </is>
      </c>
      <c r="B165" s="1" t="n">
        <v>45687.51539351852</v>
      </c>
      <c r="C165" s="1" t="n">
        <v>46111</v>
      </c>
      <c r="D165" t="inlineStr">
        <is>
          <t>ÖREBRO LÄN</t>
        </is>
      </c>
      <c r="E165" t="inlineStr">
        <is>
          <t>HÄLLEFORS</t>
        </is>
      </c>
      <c r="G165" t="n">
        <v>3.3</v>
      </c>
      <c r="H165" t="n">
        <v>0</v>
      </c>
      <c r="I165" t="n">
        <v>0</v>
      </c>
      <c r="J165" t="n">
        <v>0</v>
      </c>
      <c r="K165" t="n">
        <v>0</v>
      </c>
      <c r="L165" t="n">
        <v>0</v>
      </c>
      <c r="M165" t="n">
        <v>0</v>
      </c>
      <c r="N165" t="n">
        <v>0</v>
      </c>
      <c r="O165" t="n">
        <v>0</v>
      </c>
      <c r="P165" t="n">
        <v>0</v>
      </c>
      <c r="Q165" t="n">
        <v>0</v>
      </c>
      <c r="R165" s="2" t="inlineStr"/>
    </row>
    <row r="166" ht="15" customHeight="1">
      <c r="A166" t="inlineStr">
        <is>
          <t>A 16053-2023</t>
        </is>
      </c>
      <c r="B166" s="1" t="n">
        <v>45027</v>
      </c>
      <c r="C166" s="1" t="n">
        <v>46111</v>
      </c>
      <c r="D166" t="inlineStr">
        <is>
          <t>ÖREBRO LÄN</t>
        </is>
      </c>
      <c r="E166" t="inlineStr">
        <is>
          <t>HÄLLEFORS</t>
        </is>
      </c>
      <c r="F166" t="inlineStr">
        <is>
          <t>Bergvik skog väst AB</t>
        </is>
      </c>
      <c r="G166" t="n">
        <v>14.7</v>
      </c>
      <c r="H166" t="n">
        <v>0</v>
      </c>
      <c r="I166" t="n">
        <v>0</v>
      </c>
      <c r="J166" t="n">
        <v>0</v>
      </c>
      <c r="K166" t="n">
        <v>0</v>
      </c>
      <c r="L166" t="n">
        <v>0</v>
      </c>
      <c r="M166" t="n">
        <v>0</v>
      </c>
      <c r="N166" t="n">
        <v>0</v>
      </c>
      <c r="O166" t="n">
        <v>0</v>
      </c>
      <c r="P166" t="n">
        <v>0</v>
      </c>
      <c r="Q166" t="n">
        <v>0</v>
      </c>
      <c r="R166" s="2" t="inlineStr"/>
    </row>
    <row r="167" ht="15" customHeight="1">
      <c r="A167" t="inlineStr">
        <is>
          <t>A 43966-2024</t>
        </is>
      </c>
      <c r="B167" s="1" t="n">
        <v>45572.48516203704</v>
      </c>
      <c r="C167" s="1" t="n">
        <v>46111</v>
      </c>
      <c r="D167" t="inlineStr">
        <is>
          <t>ÖREBRO LÄN</t>
        </is>
      </c>
      <c r="E167" t="inlineStr">
        <is>
          <t>HÄLLEFORS</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63614-2025</t>
        </is>
      </c>
      <c r="B168" s="1" t="n">
        <v>46014.34587962963</v>
      </c>
      <c r="C168" s="1" t="n">
        <v>46111</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44400-2025</t>
        </is>
      </c>
      <c r="B169" s="1" t="n">
        <v>45916.5037037037</v>
      </c>
      <c r="C169" s="1" t="n">
        <v>46111</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52367-2022</t>
        </is>
      </c>
      <c r="B170" s="1" t="n">
        <v>44874</v>
      </c>
      <c r="C170" s="1" t="n">
        <v>46111</v>
      </c>
      <c r="D170" t="inlineStr">
        <is>
          <t>ÖREBRO LÄN</t>
        </is>
      </c>
      <c r="E170" t="inlineStr">
        <is>
          <t>HÄLLEFORS</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46111</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39031-2022</t>
        </is>
      </c>
      <c r="B172" s="1" t="n">
        <v>44817.34144675926</v>
      </c>
      <c r="C172" s="1" t="n">
        <v>46111</v>
      </c>
      <c r="D172" t="inlineStr">
        <is>
          <t>ÖREBRO LÄN</t>
        </is>
      </c>
      <c r="E172" t="inlineStr">
        <is>
          <t>HÄLLEFORS</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32-2026</t>
        </is>
      </c>
      <c r="B173" s="1" t="n">
        <v>46024.36721064815</v>
      </c>
      <c r="C173" s="1" t="n">
        <v>46111</v>
      </c>
      <c r="D173" t="inlineStr">
        <is>
          <t>ÖREBRO LÄN</t>
        </is>
      </c>
      <c r="E173" t="inlineStr">
        <is>
          <t>HÄLLEFORS</t>
        </is>
      </c>
      <c r="F173" t="inlineStr">
        <is>
          <t>Bergvik skog väst AB</t>
        </is>
      </c>
      <c r="G173" t="n">
        <v>5.1</v>
      </c>
      <c r="H173" t="n">
        <v>0</v>
      </c>
      <c r="I173" t="n">
        <v>0</v>
      </c>
      <c r="J173" t="n">
        <v>0</v>
      </c>
      <c r="K173" t="n">
        <v>0</v>
      </c>
      <c r="L173" t="n">
        <v>0</v>
      </c>
      <c r="M173" t="n">
        <v>0</v>
      </c>
      <c r="N173" t="n">
        <v>0</v>
      </c>
      <c r="O173" t="n">
        <v>0</v>
      </c>
      <c r="P173" t="n">
        <v>0</v>
      </c>
      <c r="Q173" t="n">
        <v>0</v>
      </c>
      <c r="R173" s="2" t="inlineStr"/>
    </row>
    <row r="174" ht="15" customHeight="1">
      <c r="A174" t="inlineStr">
        <is>
          <t>A 15013-2024</t>
        </is>
      </c>
      <c r="B174" s="1" t="n">
        <v>45399</v>
      </c>
      <c r="C174" s="1" t="n">
        <v>46111</v>
      </c>
      <c r="D174" t="inlineStr">
        <is>
          <t>ÖREBRO LÄN</t>
        </is>
      </c>
      <c r="E174" t="inlineStr">
        <is>
          <t>HÄLLEFORS</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11459-2024</t>
        </is>
      </c>
      <c r="B175" s="1" t="n">
        <v>45372.58425925926</v>
      </c>
      <c r="C175" s="1" t="n">
        <v>46111</v>
      </c>
      <c r="D175" t="inlineStr">
        <is>
          <t>ÖREBRO LÄN</t>
        </is>
      </c>
      <c r="E175" t="inlineStr">
        <is>
          <t>HÄLLEFORS</t>
        </is>
      </c>
      <c r="G175" t="n">
        <v>2.2</v>
      </c>
      <c r="H175" t="n">
        <v>0</v>
      </c>
      <c r="I175" t="n">
        <v>0</v>
      </c>
      <c r="J175" t="n">
        <v>0</v>
      </c>
      <c r="K175" t="n">
        <v>0</v>
      </c>
      <c r="L175" t="n">
        <v>0</v>
      </c>
      <c r="M175" t="n">
        <v>0</v>
      </c>
      <c r="N175" t="n">
        <v>0</v>
      </c>
      <c r="O175" t="n">
        <v>0</v>
      </c>
      <c r="P175" t="n">
        <v>0</v>
      </c>
      <c r="Q175" t="n">
        <v>0</v>
      </c>
      <c r="R175" s="2" t="inlineStr"/>
    </row>
    <row r="176" ht="15" customHeight="1">
      <c r="A176" t="inlineStr">
        <is>
          <t>A 45916-2025</t>
        </is>
      </c>
      <c r="B176" s="1" t="n">
        <v>45923.83761574074</v>
      </c>
      <c r="C176" s="1" t="n">
        <v>46111</v>
      </c>
      <c r="D176" t="inlineStr">
        <is>
          <t>ÖREBRO LÄN</t>
        </is>
      </c>
      <c r="E176" t="inlineStr">
        <is>
          <t>HÄLLEFORS</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46111</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67439-2021</t>
        </is>
      </c>
      <c r="B178" s="1" t="n">
        <v>44523</v>
      </c>
      <c r="C178" s="1" t="n">
        <v>46111</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46667-2025</t>
        </is>
      </c>
      <c r="B179" s="1" t="n">
        <v>45926.52738425926</v>
      </c>
      <c r="C179" s="1" t="n">
        <v>46111</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39171-2024</t>
        </is>
      </c>
      <c r="B180" s="1" t="n">
        <v>45548</v>
      </c>
      <c r="C180" s="1" t="n">
        <v>46111</v>
      </c>
      <c r="D180" t="inlineStr">
        <is>
          <t>ÖREBRO LÄN</t>
        </is>
      </c>
      <c r="E180" t="inlineStr">
        <is>
          <t>HÄLLEFORS</t>
        </is>
      </c>
      <c r="G180" t="n">
        <v>3.8</v>
      </c>
      <c r="H180" t="n">
        <v>0</v>
      </c>
      <c r="I180" t="n">
        <v>0</v>
      </c>
      <c r="J180" t="n">
        <v>0</v>
      </c>
      <c r="K180" t="n">
        <v>0</v>
      </c>
      <c r="L180" t="n">
        <v>0</v>
      </c>
      <c r="M180" t="n">
        <v>0</v>
      </c>
      <c r="N180" t="n">
        <v>0</v>
      </c>
      <c r="O180" t="n">
        <v>0</v>
      </c>
      <c r="P180" t="n">
        <v>0</v>
      </c>
      <c r="Q180" t="n">
        <v>0</v>
      </c>
      <c r="R180" s="2" t="inlineStr"/>
    </row>
    <row r="181" ht="15" customHeight="1">
      <c r="A181" t="inlineStr">
        <is>
          <t>A 44693-2025</t>
        </is>
      </c>
      <c r="B181" s="1" t="n">
        <v>45917</v>
      </c>
      <c r="C181" s="1" t="n">
        <v>46111</v>
      </c>
      <c r="D181" t="inlineStr">
        <is>
          <t>ÖREBRO LÄN</t>
        </is>
      </c>
      <c r="E181" t="inlineStr">
        <is>
          <t>HÄLLEFORS</t>
        </is>
      </c>
      <c r="G181" t="n">
        <v>10.3</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46111</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46111</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46111</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46111</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47856-2025</t>
        </is>
      </c>
      <c r="B186" s="1" t="n">
        <v>45932.40252314815</v>
      </c>
      <c r="C186" s="1" t="n">
        <v>46111</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18927-2025</t>
        </is>
      </c>
      <c r="B187" s="1" t="n">
        <v>45764.4846412037</v>
      </c>
      <c r="C187" s="1" t="n">
        <v>46111</v>
      </c>
      <c r="D187" t="inlineStr">
        <is>
          <t>ÖREBRO LÄN</t>
        </is>
      </c>
      <c r="E187" t="inlineStr">
        <is>
          <t>HÄLLEFORS</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18941-2025</t>
        </is>
      </c>
      <c r="B188" s="1" t="n">
        <v>45764.495625</v>
      </c>
      <c r="C188" s="1" t="n">
        <v>46111</v>
      </c>
      <c r="D188" t="inlineStr">
        <is>
          <t>ÖREBRO LÄN</t>
        </is>
      </c>
      <c r="E188" t="inlineStr">
        <is>
          <t>HÄLLEFORS</t>
        </is>
      </c>
      <c r="F188" t="inlineStr">
        <is>
          <t>Bergvik skog väst AB</t>
        </is>
      </c>
      <c r="G188" t="n">
        <v>3.7</v>
      </c>
      <c r="H188" t="n">
        <v>0</v>
      </c>
      <c r="I188" t="n">
        <v>0</v>
      </c>
      <c r="J188" t="n">
        <v>0</v>
      </c>
      <c r="K188" t="n">
        <v>0</v>
      </c>
      <c r="L188" t="n">
        <v>0</v>
      </c>
      <c r="M188" t="n">
        <v>0</v>
      </c>
      <c r="N188" t="n">
        <v>0</v>
      </c>
      <c r="O188" t="n">
        <v>0</v>
      </c>
      <c r="P188" t="n">
        <v>0</v>
      </c>
      <c r="Q188" t="n">
        <v>0</v>
      </c>
      <c r="R188" s="2" t="inlineStr"/>
    </row>
    <row r="189" ht="15" customHeight="1">
      <c r="A189" t="inlineStr">
        <is>
          <t>A 28004-2022</t>
        </is>
      </c>
      <c r="B189" s="1" t="n">
        <v>44746.34457175926</v>
      </c>
      <c r="C189" s="1" t="n">
        <v>46111</v>
      </c>
      <c r="D189" t="inlineStr">
        <is>
          <t>ÖREBRO LÄN</t>
        </is>
      </c>
      <c r="E189" t="inlineStr">
        <is>
          <t>HÄLLEFORS</t>
        </is>
      </c>
      <c r="G189" t="n">
        <v>2.9</v>
      </c>
      <c r="H189" t="n">
        <v>0</v>
      </c>
      <c r="I189" t="n">
        <v>0</v>
      </c>
      <c r="J189" t="n">
        <v>0</v>
      </c>
      <c r="K189" t="n">
        <v>0</v>
      </c>
      <c r="L189" t="n">
        <v>0</v>
      </c>
      <c r="M189" t="n">
        <v>0</v>
      </c>
      <c r="N189" t="n">
        <v>0</v>
      </c>
      <c r="O189" t="n">
        <v>0</v>
      </c>
      <c r="P189" t="n">
        <v>0</v>
      </c>
      <c r="Q189" t="n">
        <v>0</v>
      </c>
      <c r="R189" s="2" t="inlineStr"/>
    </row>
    <row r="190" ht="15" customHeight="1">
      <c r="A190" t="inlineStr">
        <is>
          <t>A 55453-2023</t>
        </is>
      </c>
      <c r="B190" s="1" t="n">
        <v>45238</v>
      </c>
      <c r="C190" s="1" t="n">
        <v>46111</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18889-2024</t>
        </is>
      </c>
      <c r="B191" s="1" t="n">
        <v>45427.26467592592</v>
      </c>
      <c r="C191" s="1" t="n">
        <v>46111</v>
      </c>
      <c r="D191" t="inlineStr">
        <is>
          <t>ÖREBRO LÄN</t>
        </is>
      </c>
      <c r="E191" t="inlineStr">
        <is>
          <t>HÄLLEFORS</t>
        </is>
      </c>
      <c r="G191" t="n">
        <v>8.5</v>
      </c>
      <c r="H191" t="n">
        <v>0</v>
      </c>
      <c r="I191" t="n">
        <v>0</v>
      </c>
      <c r="J191" t="n">
        <v>0</v>
      </c>
      <c r="K191" t="n">
        <v>0</v>
      </c>
      <c r="L191" t="n">
        <v>0</v>
      </c>
      <c r="M191" t="n">
        <v>0</v>
      </c>
      <c r="N191" t="n">
        <v>0</v>
      </c>
      <c r="O191" t="n">
        <v>0</v>
      </c>
      <c r="P191" t="n">
        <v>0</v>
      </c>
      <c r="Q191" t="n">
        <v>0</v>
      </c>
      <c r="R191" s="2" t="inlineStr"/>
    </row>
    <row r="192" ht="15" customHeight="1">
      <c r="A192" t="inlineStr">
        <is>
          <t>A 48961-2025</t>
        </is>
      </c>
      <c r="B192" s="1" t="n">
        <v>45936</v>
      </c>
      <c r="C192" s="1" t="n">
        <v>46111</v>
      </c>
      <c r="D192" t="inlineStr">
        <is>
          <t>ÖREBRO LÄN</t>
        </is>
      </c>
      <c r="E192" t="inlineStr">
        <is>
          <t>HÄLLEFORS</t>
        </is>
      </c>
      <c r="G192" t="n">
        <v>3.7</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46111</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48765-2025</t>
        </is>
      </c>
      <c r="B194" s="1" t="n">
        <v>45936.85859953704</v>
      </c>
      <c r="C194" s="1" t="n">
        <v>46111</v>
      </c>
      <c r="D194" t="inlineStr">
        <is>
          <t>ÖREBRO LÄN</t>
        </is>
      </c>
      <c r="E194" t="inlineStr">
        <is>
          <t>HÄLLEFORS</t>
        </is>
      </c>
      <c r="F194" t="inlineStr">
        <is>
          <t>Bergvik skog väst AB</t>
        </is>
      </c>
      <c r="G194" t="n">
        <v>17.6</v>
      </c>
      <c r="H194" t="n">
        <v>0</v>
      </c>
      <c r="I194" t="n">
        <v>0</v>
      </c>
      <c r="J194" t="n">
        <v>0</v>
      </c>
      <c r="K194" t="n">
        <v>0</v>
      </c>
      <c r="L194" t="n">
        <v>0</v>
      </c>
      <c r="M194" t="n">
        <v>0</v>
      </c>
      <c r="N194" t="n">
        <v>0</v>
      </c>
      <c r="O194" t="n">
        <v>0</v>
      </c>
      <c r="P194" t="n">
        <v>0</v>
      </c>
      <c r="Q194" t="n">
        <v>0</v>
      </c>
      <c r="R194" s="2" t="inlineStr"/>
    </row>
    <row r="195" ht="15" customHeight="1">
      <c r="A195" t="inlineStr">
        <is>
          <t>A 28024-2025</t>
        </is>
      </c>
      <c r="B195" s="1" t="n">
        <v>45817.62070601852</v>
      </c>
      <c r="C195" s="1" t="n">
        <v>46111</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1806-2026</t>
        </is>
      </c>
      <c r="B196" s="1" t="n">
        <v>46035.33097222223</v>
      </c>
      <c r="C196" s="1" t="n">
        <v>46111</v>
      </c>
      <c r="D196" t="inlineStr">
        <is>
          <t>ÖREBRO LÄN</t>
        </is>
      </c>
      <c r="E196" t="inlineStr">
        <is>
          <t>HÄLLEFORS</t>
        </is>
      </c>
      <c r="F196" t="inlineStr">
        <is>
          <t>Bergvik skog väst AB</t>
        </is>
      </c>
      <c r="G196" t="n">
        <v>20.3</v>
      </c>
      <c r="H196" t="n">
        <v>0</v>
      </c>
      <c r="I196" t="n">
        <v>0</v>
      </c>
      <c r="J196" t="n">
        <v>0</v>
      </c>
      <c r="K196" t="n">
        <v>0</v>
      </c>
      <c r="L196" t="n">
        <v>0</v>
      </c>
      <c r="M196" t="n">
        <v>0</v>
      </c>
      <c r="N196" t="n">
        <v>0</v>
      </c>
      <c r="O196" t="n">
        <v>0</v>
      </c>
      <c r="P196" t="n">
        <v>0</v>
      </c>
      <c r="Q196" t="n">
        <v>0</v>
      </c>
      <c r="R196" s="2" t="inlineStr"/>
    </row>
    <row r="197" ht="15" customHeight="1">
      <c r="A197" t="inlineStr">
        <is>
          <t>A 12511-2025</t>
        </is>
      </c>
      <c r="B197" s="1" t="n">
        <v>45730.6371412037</v>
      </c>
      <c r="C197" s="1" t="n">
        <v>46111</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28979-2025</t>
        </is>
      </c>
      <c r="B198" s="1" t="n">
        <v>45821.35136574074</v>
      </c>
      <c r="C198" s="1" t="n">
        <v>46111</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28975-2025</t>
        </is>
      </c>
      <c r="B199" s="1" t="n">
        <v>45821</v>
      </c>
      <c r="C199" s="1" t="n">
        <v>46111</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55747-2024</t>
        </is>
      </c>
      <c r="B200" s="1" t="n">
        <v>45623.32141203704</v>
      </c>
      <c r="C200" s="1" t="n">
        <v>46111</v>
      </c>
      <c r="D200" t="inlineStr">
        <is>
          <t>ÖREBRO LÄN</t>
        </is>
      </c>
      <c r="E200" t="inlineStr">
        <is>
          <t>HÄLLEFORS</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1288-2024</t>
        </is>
      </c>
      <c r="B201" s="1" t="n">
        <v>45303</v>
      </c>
      <c r="C201" s="1" t="n">
        <v>46111</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56298-2024</t>
        </is>
      </c>
      <c r="B202" s="1" t="n">
        <v>45624.68584490741</v>
      </c>
      <c r="C202" s="1" t="n">
        <v>46111</v>
      </c>
      <c r="D202" t="inlineStr">
        <is>
          <t>ÖREBRO LÄN</t>
        </is>
      </c>
      <c r="E202" t="inlineStr">
        <is>
          <t>HÄLLEFORS</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14120-2023</t>
        </is>
      </c>
      <c r="B203" s="1" t="n">
        <v>45009</v>
      </c>
      <c r="C203" s="1" t="n">
        <v>46111</v>
      </c>
      <c r="D203" t="inlineStr">
        <is>
          <t>ÖREBRO LÄN</t>
        </is>
      </c>
      <c r="E203" t="inlineStr">
        <is>
          <t>HÄLLEFORS</t>
        </is>
      </c>
      <c r="F203" t="inlineStr">
        <is>
          <t>Bergvik skog väst AB</t>
        </is>
      </c>
      <c r="G203" t="n">
        <v>4.2</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46111</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50798-2025</t>
        </is>
      </c>
      <c r="B205" s="1" t="n">
        <v>45946.48537037037</v>
      </c>
      <c r="C205" s="1" t="n">
        <v>46111</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50794-2025</t>
        </is>
      </c>
      <c r="B206" s="1" t="n">
        <v>45946.47722222222</v>
      </c>
      <c r="C206" s="1" t="n">
        <v>46111</v>
      </c>
      <c r="D206" t="inlineStr">
        <is>
          <t>ÖREBRO LÄN</t>
        </is>
      </c>
      <c r="E206" t="inlineStr">
        <is>
          <t>HÄLLEFORS</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46111</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11178-2026</t>
        </is>
      </c>
      <c r="B208" s="1" t="n">
        <v>46080.39054398148</v>
      </c>
      <c r="C208" s="1" t="n">
        <v>46111</v>
      </c>
      <c r="D208" t="inlineStr">
        <is>
          <t>ÖREBRO LÄN</t>
        </is>
      </c>
      <c r="E208" t="inlineStr">
        <is>
          <t>HÄLLEFORS</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30747-2025</t>
        </is>
      </c>
      <c r="B209" s="1" t="n">
        <v>45831.58487268518</v>
      </c>
      <c r="C209" s="1" t="n">
        <v>46111</v>
      </c>
      <c r="D209" t="inlineStr">
        <is>
          <t>ÖREBRO LÄN</t>
        </is>
      </c>
      <c r="E209" t="inlineStr">
        <is>
          <t>HÄLLEFORS</t>
        </is>
      </c>
      <c r="G209" t="n">
        <v>2.9</v>
      </c>
      <c r="H209" t="n">
        <v>0</v>
      </c>
      <c r="I209" t="n">
        <v>0</v>
      </c>
      <c r="J209" t="n">
        <v>0</v>
      </c>
      <c r="K209" t="n">
        <v>0</v>
      </c>
      <c r="L209" t="n">
        <v>0</v>
      </c>
      <c r="M209" t="n">
        <v>0</v>
      </c>
      <c r="N209" t="n">
        <v>0</v>
      </c>
      <c r="O209" t="n">
        <v>0</v>
      </c>
      <c r="P209" t="n">
        <v>0</v>
      </c>
      <c r="Q209" t="n">
        <v>0</v>
      </c>
      <c r="R209" s="2" t="inlineStr"/>
    </row>
    <row r="210" ht="15" customHeight="1">
      <c r="A210" t="inlineStr">
        <is>
          <t>A 59976-2024</t>
        </is>
      </c>
      <c r="B210" s="1" t="n">
        <v>45642.37226851852</v>
      </c>
      <c r="C210" s="1" t="n">
        <v>46111</v>
      </c>
      <c r="D210" t="inlineStr">
        <is>
          <t>ÖREBRO LÄN</t>
        </is>
      </c>
      <c r="E210" t="inlineStr">
        <is>
          <t>HÄLLEFORS</t>
        </is>
      </c>
      <c r="F210" t="inlineStr">
        <is>
          <t>Bergvik skog väst AB</t>
        </is>
      </c>
      <c r="G210" t="n">
        <v>8.9</v>
      </c>
      <c r="H210" t="n">
        <v>0</v>
      </c>
      <c r="I210" t="n">
        <v>0</v>
      </c>
      <c r="J210" t="n">
        <v>0</v>
      </c>
      <c r="K210" t="n">
        <v>0</v>
      </c>
      <c r="L210" t="n">
        <v>0</v>
      </c>
      <c r="M210" t="n">
        <v>0</v>
      </c>
      <c r="N210" t="n">
        <v>0</v>
      </c>
      <c r="O210" t="n">
        <v>0</v>
      </c>
      <c r="P210" t="n">
        <v>0</v>
      </c>
      <c r="Q210" t="n">
        <v>0</v>
      </c>
      <c r="R210" s="2" t="inlineStr"/>
    </row>
    <row r="211" ht="15" customHeight="1">
      <c r="A211" t="inlineStr">
        <is>
          <t>A 52125-2025</t>
        </is>
      </c>
      <c r="B211" s="1" t="n">
        <v>45952.72060185186</v>
      </c>
      <c r="C211" s="1" t="n">
        <v>46111</v>
      </c>
      <c r="D211" t="inlineStr">
        <is>
          <t>ÖREBRO LÄN</t>
        </is>
      </c>
      <c r="E211" t="inlineStr">
        <is>
          <t>HÄLLEFORS</t>
        </is>
      </c>
      <c r="G211" t="n">
        <v>4</v>
      </c>
      <c r="H211" t="n">
        <v>0</v>
      </c>
      <c r="I211" t="n">
        <v>0</v>
      </c>
      <c r="J211" t="n">
        <v>0</v>
      </c>
      <c r="K211" t="n">
        <v>0</v>
      </c>
      <c r="L211" t="n">
        <v>0</v>
      </c>
      <c r="M211" t="n">
        <v>0</v>
      </c>
      <c r="N211" t="n">
        <v>0</v>
      </c>
      <c r="O211" t="n">
        <v>0</v>
      </c>
      <c r="P211" t="n">
        <v>0</v>
      </c>
      <c r="Q211" t="n">
        <v>0</v>
      </c>
      <c r="R211" s="2" t="inlineStr"/>
    </row>
    <row r="212" ht="15" customHeight="1">
      <c r="A212" t="inlineStr">
        <is>
          <t>A 3365-2026</t>
        </is>
      </c>
      <c r="B212" s="1" t="n">
        <v>46042.33357638889</v>
      </c>
      <c r="C212" s="1" t="n">
        <v>46111</v>
      </c>
      <c r="D212" t="inlineStr">
        <is>
          <t>ÖREBRO LÄN</t>
        </is>
      </c>
      <c r="E212" t="inlineStr">
        <is>
          <t>HÄLLEFORS</t>
        </is>
      </c>
      <c r="F212" t="inlineStr">
        <is>
          <t>Bergvik skog väst AB</t>
        </is>
      </c>
      <c r="G212" t="n">
        <v>4.1</v>
      </c>
      <c r="H212" t="n">
        <v>0</v>
      </c>
      <c r="I212" t="n">
        <v>0</v>
      </c>
      <c r="J212" t="n">
        <v>0</v>
      </c>
      <c r="K212" t="n">
        <v>0</v>
      </c>
      <c r="L212" t="n">
        <v>0</v>
      </c>
      <c r="M212" t="n">
        <v>0</v>
      </c>
      <c r="N212" t="n">
        <v>0</v>
      </c>
      <c r="O212" t="n">
        <v>0</v>
      </c>
      <c r="P212" t="n">
        <v>0</v>
      </c>
      <c r="Q212" t="n">
        <v>0</v>
      </c>
      <c r="R212" s="2" t="inlineStr"/>
    </row>
    <row r="213" ht="15" customHeight="1">
      <c r="A213" t="inlineStr">
        <is>
          <t>A 15941-2023</t>
        </is>
      </c>
      <c r="B213" s="1" t="n">
        <v>45022</v>
      </c>
      <c r="C213" s="1" t="n">
        <v>46111</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12545-2023</t>
        </is>
      </c>
      <c r="B214" s="1" t="n">
        <v>45000</v>
      </c>
      <c r="C214" s="1" t="n">
        <v>46111</v>
      </c>
      <c r="D214" t="inlineStr">
        <is>
          <t>ÖREBRO LÄN</t>
        </is>
      </c>
      <c r="E214" t="inlineStr">
        <is>
          <t>HÄLLEFORS</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46111</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46111</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4125-2026</t>
        </is>
      </c>
      <c r="B217" s="1" t="n">
        <v>46044.61620370371</v>
      </c>
      <c r="C217" s="1" t="n">
        <v>46111</v>
      </c>
      <c r="D217" t="inlineStr">
        <is>
          <t>ÖREBRO LÄN</t>
        </is>
      </c>
      <c r="E217" t="inlineStr">
        <is>
          <t>HÄLLEFORS</t>
        </is>
      </c>
      <c r="G217" t="n">
        <v>3.5</v>
      </c>
      <c r="H217" t="n">
        <v>0</v>
      </c>
      <c r="I217" t="n">
        <v>0</v>
      </c>
      <c r="J217" t="n">
        <v>0</v>
      </c>
      <c r="K217" t="n">
        <v>0</v>
      </c>
      <c r="L217" t="n">
        <v>0</v>
      </c>
      <c r="M217" t="n">
        <v>0</v>
      </c>
      <c r="N217" t="n">
        <v>0</v>
      </c>
      <c r="O217" t="n">
        <v>0</v>
      </c>
      <c r="P217" t="n">
        <v>0</v>
      </c>
      <c r="Q217" t="n">
        <v>0</v>
      </c>
      <c r="R217" s="2" t="inlineStr"/>
    </row>
    <row r="218" ht="15" customHeight="1">
      <c r="A218" t="inlineStr">
        <is>
          <t>A 32217-2025</t>
        </is>
      </c>
      <c r="B218" s="1" t="n">
        <v>45835.58846064815</v>
      </c>
      <c r="C218" s="1" t="n">
        <v>46111</v>
      </c>
      <c r="D218" t="inlineStr">
        <is>
          <t>ÖREBRO LÄN</t>
        </is>
      </c>
      <c r="E218" t="inlineStr">
        <is>
          <t>HÄLLEFORS</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3863-2026</t>
        </is>
      </c>
      <c r="B219" s="1" t="n">
        <v>46043.62747685185</v>
      </c>
      <c r="C219" s="1" t="n">
        <v>46111</v>
      </c>
      <c r="D219" t="inlineStr">
        <is>
          <t>ÖREBRO LÄN</t>
        </is>
      </c>
      <c r="E219" t="inlineStr">
        <is>
          <t>HÄLLEFORS</t>
        </is>
      </c>
      <c r="G219" t="n">
        <v>2.7</v>
      </c>
      <c r="H219" t="n">
        <v>0</v>
      </c>
      <c r="I219" t="n">
        <v>0</v>
      </c>
      <c r="J219" t="n">
        <v>0</v>
      </c>
      <c r="K219" t="n">
        <v>0</v>
      </c>
      <c r="L219" t="n">
        <v>0</v>
      </c>
      <c r="M219" t="n">
        <v>0</v>
      </c>
      <c r="N219" t="n">
        <v>0</v>
      </c>
      <c r="O219" t="n">
        <v>0</v>
      </c>
      <c r="P219" t="n">
        <v>0</v>
      </c>
      <c r="Q219" t="n">
        <v>0</v>
      </c>
      <c r="R219" s="2" t="inlineStr"/>
    </row>
    <row r="220" ht="15" customHeight="1">
      <c r="A220" t="inlineStr">
        <is>
          <t>A 6281-2025</t>
        </is>
      </c>
      <c r="B220" s="1" t="n">
        <v>45698</v>
      </c>
      <c r="C220" s="1" t="n">
        <v>46111</v>
      </c>
      <c r="D220" t="inlineStr">
        <is>
          <t>ÖREBRO LÄN</t>
        </is>
      </c>
      <c r="E220" t="inlineStr">
        <is>
          <t>HÄLLEFORS</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3837-2026</t>
        </is>
      </c>
      <c r="B221" s="1" t="n">
        <v>46043.59318287037</v>
      </c>
      <c r="C221" s="1" t="n">
        <v>46111</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19055-2024</t>
        </is>
      </c>
      <c r="B222" s="1" t="n">
        <v>45427.79534722222</v>
      </c>
      <c r="C222" s="1" t="n">
        <v>46111</v>
      </c>
      <c r="D222" t="inlineStr">
        <is>
          <t>ÖREBRO LÄN</t>
        </is>
      </c>
      <c r="E222" t="inlineStr">
        <is>
          <t>HÄLLEFORS</t>
        </is>
      </c>
      <c r="G222" t="n">
        <v>0.6</v>
      </c>
      <c r="H222" t="n">
        <v>0</v>
      </c>
      <c r="I222" t="n">
        <v>0</v>
      </c>
      <c r="J222" t="n">
        <v>0</v>
      </c>
      <c r="K222" t="n">
        <v>0</v>
      </c>
      <c r="L222" t="n">
        <v>0</v>
      </c>
      <c r="M222" t="n">
        <v>0</v>
      </c>
      <c r="N222" t="n">
        <v>0</v>
      </c>
      <c r="O222" t="n">
        <v>0</v>
      </c>
      <c r="P222" t="n">
        <v>0</v>
      </c>
      <c r="Q222" t="n">
        <v>0</v>
      </c>
      <c r="R222" s="2" t="inlineStr"/>
    </row>
    <row r="223" ht="15" customHeight="1">
      <c r="A223" t="inlineStr">
        <is>
          <t>A 50571-2024</t>
        </is>
      </c>
      <c r="B223" s="1" t="n">
        <v>45601.60576388889</v>
      </c>
      <c r="C223" s="1" t="n">
        <v>46111</v>
      </c>
      <c r="D223" t="inlineStr">
        <is>
          <t>ÖREBRO LÄN</t>
        </is>
      </c>
      <c r="E223" t="inlineStr">
        <is>
          <t>HÄLLEFORS</t>
        </is>
      </c>
      <c r="F223" t="inlineStr">
        <is>
          <t>Bergvik skog väst AB</t>
        </is>
      </c>
      <c r="G223" t="n">
        <v>4.6</v>
      </c>
      <c r="H223" t="n">
        <v>0</v>
      </c>
      <c r="I223" t="n">
        <v>0</v>
      </c>
      <c r="J223" t="n">
        <v>0</v>
      </c>
      <c r="K223" t="n">
        <v>0</v>
      </c>
      <c r="L223" t="n">
        <v>0</v>
      </c>
      <c r="M223" t="n">
        <v>0</v>
      </c>
      <c r="N223" t="n">
        <v>0</v>
      </c>
      <c r="O223" t="n">
        <v>0</v>
      </c>
      <c r="P223" t="n">
        <v>0</v>
      </c>
      <c r="Q223" t="n">
        <v>0</v>
      </c>
      <c r="R223" s="2" t="inlineStr"/>
    </row>
    <row r="224" ht="15" customHeight="1">
      <c r="A224" t="inlineStr">
        <is>
          <t>A 53337-2025</t>
        </is>
      </c>
      <c r="B224" s="1" t="n">
        <v>45959.40310185185</v>
      </c>
      <c r="C224" s="1" t="n">
        <v>46111</v>
      </c>
      <c r="D224" t="inlineStr">
        <is>
          <t>ÖREBRO LÄN</t>
        </is>
      </c>
      <c r="E224" t="inlineStr">
        <is>
          <t>HÄLLEFORS</t>
        </is>
      </c>
      <c r="G224" t="n">
        <v>4.8</v>
      </c>
      <c r="H224" t="n">
        <v>0</v>
      </c>
      <c r="I224" t="n">
        <v>0</v>
      </c>
      <c r="J224" t="n">
        <v>0</v>
      </c>
      <c r="K224" t="n">
        <v>0</v>
      </c>
      <c r="L224" t="n">
        <v>0</v>
      </c>
      <c r="M224" t="n">
        <v>0</v>
      </c>
      <c r="N224" t="n">
        <v>0</v>
      </c>
      <c r="O224" t="n">
        <v>0</v>
      </c>
      <c r="P224" t="n">
        <v>0</v>
      </c>
      <c r="Q224" t="n">
        <v>0</v>
      </c>
      <c r="R224" s="2" t="inlineStr"/>
    </row>
    <row r="225" ht="15" customHeight="1">
      <c r="A225" t="inlineStr">
        <is>
          <t>A 53341-2025</t>
        </is>
      </c>
      <c r="B225" s="1" t="n">
        <v>45959.41048611111</v>
      </c>
      <c r="C225" s="1" t="n">
        <v>46111</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3643-2025</t>
        </is>
      </c>
      <c r="B226" s="1" t="n">
        <v>45681</v>
      </c>
      <c r="C226" s="1" t="n">
        <v>46111</v>
      </c>
      <c r="D226" t="inlineStr">
        <is>
          <t>ÖREBRO LÄN</t>
        </is>
      </c>
      <c r="E226" t="inlineStr">
        <is>
          <t>HÄLLEFORS</t>
        </is>
      </c>
      <c r="G226" t="n">
        <v>20.8</v>
      </c>
      <c r="H226" t="n">
        <v>0</v>
      </c>
      <c r="I226" t="n">
        <v>0</v>
      </c>
      <c r="J226" t="n">
        <v>0</v>
      </c>
      <c r="K226" t="n">
        <v>0</v>
      </c>
      <c r="L226" t="n">
        <v>0</v>
      </c>
      <c r="M226" t="n">
        <v>0</v>
      </c>
      <c r="N226" t="n">
        <v>0</v>
      </c>
      <c r="O226" t="n">
        <v>0</v>
      </c>
      <c r="P226" t="n">
        <v>0</v>
      </c>
      <c r="Q226" t="n">
        <v>0</v>
      </c>
      <c r="R226" s="2" t="inlineStr"/>
    </row>
    <row r="227" ht="15" customHeight="1">
      <c r="A227" t="inlineStr">
        <is>
          <t>A 53335-2025</t>
        </is>
      </c>
      <c r="B227" s="1" t="n">
        <v>45959.38943287037</v>
      </c>
      <c r="C227" s="1" t="n">
        <v>46111</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53331-2025</t>
        </is>
      </c>
      <c r="B228" s="1" t="n">
        <v>45959.37532407408</v>
      </c>
      <c r="C228" s="1" t="n">
        <v>46111</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32813-2025</t>
        </is>
      </c>
      <c r="B229" s="1" t="n">
        <v>45839.51949074074</v>
      </c>
      <c r="C229" s="1" t="n">
        <v>46111</v>
      </c>
      <c r="D229" t="inlineStr">
        <is>
          <t>ÖREBRO LÄN</t>
        </is>
      </c>
      <c r="E229" t="inlineStr">
        <is>
          <t>HÄLLEFORS</t>
        </is>
      </c>
      <c r="G229" t="n">
        <v>3.5</v>
      </c>
      <c r="H229" t="n">
        <v>0</v>
      </c>
      <c r="I229" t="n">
        <v>0</v>
      </c>
      <c r="J229" t="n">
        <v>0</v>
      </c>
      <c r="K229" t="n">
        <v>0</v>
      </c>
      <c r="L229" t="n">
        <v>0</v>
      </c>
      <c r="M229" t="n">
        <v>0</v>
      </c>
      <c r="N229" t="n">
        <v>0</v>
      </c>
      <c r="O229" t="n">
        <v>0</v>
      </c>
      <c r="P229" t="n">
        <v>0</v>
      </c>
      <c r="Q229" t="n">
        <v>0</v>
      </c>
      <c r="R229" s="2" t="inlineStr"/>
    </row>
    <row r="230" ht="15" customHeight="1">
      <c r="A230" t="inlineStr">
        <is>
          <t>A 53952-2025</t>
        </is>
      </c>
      <c r="B230" s="1" t="n">
        <v>45961.5049537037</v>
      </c>
      <c r="C230" s="1" t="n">
        <v>46111</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32808-2025</t>
        </is>
      </c>
      <c r="B231" s="1" t="n">
        <v>45839.50719907408</v>
      </c>
      <c r="C231" s="1" t="n">
        <v>46111</v>
      </c>
      <c r="D231" t="inlineStr">
        <is>
          <t>ÖREBRO LÄN</t>
        </is>
      </c>
      <c r="E231" t="inlineStr">
        <is>
          <t>HÄLLEFORS</t>
        </is>
      </c>
      <c r="G231" t="n">
        <v>4.3</v>
      </c>
      <c r="H231" t="n">
        <v>0</v>
      </c>
      <c r="I231" t="n">
        <v>0</v>
      </c>
      <c r="J231" t="n">
        <v>0</v>
      </c>
      <c r="K231" t="n">
        <v>0</v>
      </c>
      <c r="L231" t="n">
        <v>0</v>
      </c>
      <c r="M231" t="n">
        <v>0</v>
      </c>
      <c r="N231" t="n">
        <v>0</v>
      </c>
      <c r="O231" t="n">
        <v>0</v>
      </c>
      <c r="P231" t="n">
        <v>0</v>
      </c>
      <c r="Q231" t="n">
        <v>0</v>
      </c>
      <c r="R231" s="2" t="inlineStr"/>
    </row>
    <row r="232" ht="15" customHeight="1">
      <c r="A232" t="inlineStr">
        <is>
          <t>A 12673-2026</t>
        </is>
      </c>
      <c r="B232" s="1" t="n">
        <v>46090.30780092593</v>
      </c>
      <c r="C232" s="1" t="n">
        <v>46111</v>
      </c>
      <c r="D232" t="inlineStr">
        <is>
          <t>ÖREBRO LÄN</t>
        </is>
      </c>
      <c r="E232" t="inlineStr">
        <is>
          <t>HÄLLEFORS</t>
        </is>
      </c>
      <c r="G232" t="n">
        <v>13.1</v>
      </c>
      <c r="H232" t="n">
        <v>0</v>
      </c>
      <c r="I232" t="n">
        <v>0</v>
      </c>
      <c r="J232" t="n">
        <v>0</v>
      </c>
      <c r="K232" t="n">
        <v>0</v>
      </c>
      <c r="L232" t="n">
        <v>0</v>
      </c>
      <c r="M232" t="n">
        <v>0</v>
      </c>
      <c r="N232" t="n">
        <v>0</v>
      </c>
      <c r="O232" t="n">
        <v>0</v>
      </c>
      <c r="P232" t="n">
        <v>0</v>
      </c>
      <c r="Q232" t="n">
        <v>0</v>
      </c>
      <c r="R232" s="2" t="inlineStr"/>
    </row>
    <row r="233" ht="15" customHeight="1">
      <c r="A233" t="inlineStr">
        <is>
          <t>A 1018-2025</t>
        </is>
      </c>
      <c r="B233" s="1" t="n">
        <v>45666.49185185185</v>
      </c>
      <c r="C233" s="1" t="n">
        <v>46111</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5684-2025</t>
        </is>
      </c>
      <c r="B234" s="1" t="n">
        <v>45694</v>
      </c>
      <c r="C234" s="1" t="n">
        <v>46111</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46111</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46111</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29340-2024</t>
        </is>
      </c>
      <c r="B237" s="1" t="n">
        <v>45483.46465277778</v>
      </c>
      <c r="C237" s="1" t="n">
        <v>46111</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17050-2025</t>
        </is>
      </c>
      <c r="B238" s="1" t="n">
        <v>45755.5997337963</v>
      </c>
      <c r="C238" s="1" t="n">
        <v>46111</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55183-2025</t>
        </is>
      </c>
      <c r="B239" s="1" t="n">
        <v>45968.533125</v>
      </c>
      <c r="C239" s="1" t="n">
        <v>46111</v>
      </c>
      <c r="D239" t="inlineStr">
        <is>
          <t>ÖREBRO LÄN</t>
        </is>
      </c>
      <c r="E239" t="inlineStr">
        <is>
          <t>HÄLLEFORS</t>
        </is>
      </c>
      <c r="G239" t="n">
        <v>0.7</v>
      </c>
      <c r="H239" t="n">
        <v>0</v>
      </c>
      <c r="I239" t="n">
        <v>0</v>
      </c>
      <c r="J239" t="n">
        <v>0</v>
      </c>
      <c r="K239" t="n">
        <v>0</v>
      </c>
      <c r="L239" t="n">
        <v>0</v>
      </c>
      <c r="M239" t="n">
        <v>0</v>
      </c>
      <c r="N239" t="n">
        <v>0</v>
      </c>
      <c r="O239" t="n">
        <v>0</v>
      </c>
      <c r="P239" t="n">
        <v>0</v>
      </c>
      <c r="Q239" t="n">
        <v>0</v>
      </c>
      <c r="R239" s="2" t="inlineStr"/>
    </row>
    <row r="240" ht="15" customHeight="1">
      <c r="A240" t="inlineStr">
        <is>
          <t>A 20170-2023</t>
        </is>
      </c>
      <c r="B240" s="1" t="n">
        <v>45055</v>
      </c>
      <c r="C240" s="1" t="n">
        <v>46111</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5268-2025</t>
        </is>
      </c>
      <c r="B241" s="1" t="n">
        <v>45692.40298611111</v>
      </c>
      <c r="C241" s="1" t="n">
        <v>46111</v>
      </c>
      <c r="D241" t="inlineStr">
        <is>
          <t>ÖREBRO LÄN</t>
        </is>
      </c>
      <c r="E241" t="inlineStr">
        <is>
          <t>HÄLLEFORS</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36276-2024</t>
        </is>
      </c>
      <c r="B242" s="1" t="n">
        <v>45534.58140046296</v>
      </c>
      <c r="C242" s="1" t="n">
        <v>46111</v>
      </c>
      <c r="D242" t="inlineStr">
        <is>
          <t>ÖREBRO LÄN</t>
        </is>
      </c>
      <c r="E242" t="inlineStr">
        <is>
          <t>HÄLLEFORS</t>
        </is>
      </c>
      <c r="F242" t="inlineStr">
        <is>
          <t>Bergvik skog väst AB</t>
        </is>
      </c>
      <c r="G242" t="n">
        <v>2.5</v>
      </c>
      <c r="H242" t="n">
        <v>0</v>
      </c>
      <c r="I242" t="n">
        <v>0</v>
      </c>
      <c r="J242" t="n">
        <v>0</v>
      </c>
      <c r="K242" t="n">
        <v>0</v>
      </c>
      <c r="L242" t="n">
        <v>0</v>
      </c>
      <c r="M242" t="n">
        <v>0</v>
      </c>
      <c r="N242" t="n">
        <v>0</v>
      </c>
      <c r="O242" t="n">
        <v>0</v>
      </c>
      <c r="P242" t="n">
        <v>0</v>
      </c>
      <c r="Q242" t="n">
        <v>0</v>
      </c>
      <c r="R242" s="2" t="inlineStr"/>
    </row>
    <row r="243" ht="15" customHeight="1">
      <c r="A243" t="inlineStr">
        <is>
          <t>A 6761-2025</t>
        </is>
      </c>
      <c r="B243" s="1" t="n">
        <v>45700.62762731482</v>
      </c>
      <c r="C243" s="1" t="n">
        <v>46111</v>
      </c>
      <c r="D243" t="inlineStr">
        <is>
          <t>ÖREBRO LÄN</t>
        </is>
      </c>
      <c r="E243" t="inlineStr">
        <is>
          <t>HÄLLEFORS</t>
        </is>
      </c>
      <c r="G243" t="n">
        <v>2.4</v>
      </c>
      <c r="H243" t="n">
        <v>0</v>
      </c>
      <c r="I243" t="n">
        <v>0</v>
      </c>
      <c r="J243" t="n">
        <v>0</v>
      </c>
      <c r="K243" t="n">
        <v>0</v>
      </c>
      <c r="L243" t="n">
        <v>0</v>
      </c>
      <c r="M243" t="n">
        <v>0</v>
      </c>
      <c r="N243" t="n">
        <v>0</v>
      </c>
      <c r="O243" t="n">
        <v>0</v>
      </c>
      <c r="P243" t="n">
        <v>0</v>
      </c>
      <c r="Q243" t="n">
        <v>0</v>
      </c>
      <c r="R243" s="2" t="inlineStr"/>
    </row>
    <row r="244" ht="15" customHeight="1">
      <c r="A244" t="inlineStr">
        <is>
          <t>A 34898-2021</t>
        </is>
      </c>
      <c r="B244" s="1" t="n">
        <v>44383</v>
      </c>
      <c r="C244" s="1" t="n">
        <v>46111</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34062-2025</t>
        </is>
      </c>
      <c r="B245" s="1" t="n">
        <v>45845.4264699074</v>
      </c>
      <c r="C245" s="1" t="n">
        <v>46111</v>
      </c>
      <c r="D245" t="inlineStr">
        <is>
          <t>ÖREBRO LÄN</t>
        </is>
      </c>
      <c r="E245" t="inlineStr">
        <is>
          <t>HÄLLEFORS</t>
        </is>
      </c>
      <c r="G245" t="n">
        <v>1.3</v>
      </c>
      <c r="H245" t="n">
        <v>0</v>
      </c>
      <c r="I245" t="n">
        <v>0</v>
      </c>
      <c r="J245" t="n">
        <v>0</v>
      </c>
      <c r="K245" t="n">
        <v>0</v>
      </c>
      <c r="L245" t="n">
        <v>0</v>
      </c>
      <c r="M245" t="n">
        <v>0</v>
      </c>
      <c r="N245" t="n">
        <v>0</v>
      </c>
      <c r="O245" t="n">
        <v>0</v>
      </c>
      <c r="P245" t="n">
        <v>0</v>
      </c>
      <c r="Q245" t="n">
        <v>0</v>
      </c>
      <c r="R245" s="2" t="inlineStr"/>
    </row>
    <row r="246" ht="15" customHeight="1">
      <c r="A246" t="inlineStr">
        <is>
          <t>A 34023-2025</t>
        </is>
      </c>
      <c r="B246" s="1" t="n">
        <v>45845.35355324074</v>
      </c>
      <c r="C246" s="1" t="n">
        <v>46111</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46111</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34022-2025</t>
        </is>
      </c>
      <c r="B248" s="1" t="n">
        <v>45845.34983796296</v>
      </c>
      <c r="C248" s="1" t="n">
        <v>46111</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34025-2025</t>
        </is>
      </c>
      <c r="B249" s="1" t="n">
        <v>45845.35546296297</v>
      </c>
      <c r="C249" s="1" t="n">
        <v>46111</v>
      </c>
      <c r="D249" t="inlineStr">
        <is>
          <t>ÖREBRO LÄN</t>
        </is>
      </c>
      <c r="E249" t="inlineStr">
        <is>
          <t>HÄLLEFORS</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34029-2025</t>
        </is>
      </c>
      <c r="B250" s="1" t="n">
        <v>45845.36309027778</v>
      </c>
      <c r="C250" s="1" t="n">
        <v>46111</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34059-2025</t>
        </is>
      </c>
      <c r="B251" s="1" t="n">
        <v>45845.41988425926</v>
      </c>
      <c r="C251" s="1" t="n">
        <v>46111</v>
      </c>
      <c r="D251" t="inlineStr">
        <is>
          <t>ÖREBRO LÄN</t>
        </is>
      </c>
      <c r="E251" t="inlineStr">
        <is>
          <t>HÄLLEFORS</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34033-2025</t>
        </is>
      </c>
      <c r="B252" s="1" t="n">
        <v>45845.36700231482</v>
      </c>
      <c r="C252" s="1" t="n">
        <v>46111</v>
      </c>
      <c r="D252" t="inlineStr">
        <is>
          <t>ÖREBRO LÄN</t>
        </is>
      </c>
      <c r="E252" t="inlineStr">
        <is>
          <t>HÄLLEFORS</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34037-2025</t>
        </is>
      </c>
      <c r="B253" s="1" t="n">
        <v>45845.37002314815</v>
      </c>
      <c r="C253" s="1" t="n">
        <v>46111</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46111</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34057-2025</t>
        </is>
      </c>
      <c r="B255" s="1" t="n">
        <v>45845.41581018519</v>
      </c>
      <c r="C255" s="1" t="n">
        <v>46111</v>
      </c>
      <c r="D255" t="inlineStr">
        <is>
          <t>ÖREBRO LÄN</t>
        </is>
      </c>
      <c r="E255" t="inlineStr">
        <is>
          <t>HÄLLEFORS</t>
        </is>
      </c>
      <c r="G255" t="n">
        <v>2.1</v>
      </c>
      <c r="H255" t="n">
        <v>0</v>
      </c>
      <c r="I255" t="n">
        <v>0</v>
      </c>
      <c r="J255" t="n">
        <v>0</v>
      </c>
      <c r="K255" t="n">
        <v>0</v>
      </c>
      <c r="L255" t="n">
        <v>0</v>
      </c>
      <c r="M255" t="n">
        <v>0</v>
      </c>
      <c r="N255" t="n">
        <v>0</v>
      </c>
      <c r="O255" t="n">
        <v>0</v>
      </c>
      <c r="P255" t="n">
        <v>0</v>
      </c>
      <c r="Q255" t="n">
        <v>0</v>
      </c>
      <c r="R255" s="2" t="inlineStr"/>
    </row>
    <row r="256" ht="15" customHeight="1">
      <c r="A256" t="inlineStr">
        <is>
          <t>A 34018-2025</t>
        </is>
      </c>
      <c r="B256" s="1" t="n">
        <v>45845.34341435185</v>
      </c>
      <c r="C256" s="1" t="n">
        <v>46111</v>
      </c>
      <c r="D256" t="inlineStr">
        <is>
          <t>ÖREBRO LÄN</t>
        </is>
      </c>
      <c r="E256" t="inlineStr">
        <is>
          <t>HÄLLEFORS</t>
        </is>
      </c>
      <c r="G256" t="n">
        <v>6.4</v>
      </c>
      <c r="H256" t="n">
        <v>0</v>
      </c>
      <c r="I256" t="n">
        <v>0</v>
      </c>
      <c r="J256" t="n">
        <v>0</v>
      </c>
      <c r="K256" t="n">
        <v>0</v>
      </c>
      <c r="L256" t="n">
        <v>0</v>
      </c>
      <c r="M256" t="n">
        <v>0</v>
      </c>
      <c r="N256" t="n">
        <v>0</v>
      </c>
      <c r="O256" t="n">
        <v>0</v>
      </c>
      <c r="P256" t="n">
        <v>0</v>
      </c>
      <c r="Q256" t="n">
        <v>0</v>
      </c>
      <c r="R256" s="2" t="inlineStr"/>
    </row>
    <row r="257" ht="15" customHeight="1">
      <c r="A257" t="inlineStr">
        <is>
          <t>A 34020-2025</t>
        </is>
      </c>
      <c r="B257" s="1" t="n">
        <v>45845.34695601852</v>
      </c>
      <c r="C257" s="1" t="n">
        <v>46111</v>
      </c>
      <c r="D257" t="inlineStr">
        <is>
          <t>ÖREBRO LÄN</t>
        </is>
      </c>
      <c r="E257" t="inlineStr">
        <is>
          <t>HÄLLEFORS</t>
        </is>
      </c>
      <c r="F257" t="inlineStr">
        <is>
          <t>Bergvik skog väst AB</t>
        </is>
      </c>
      <c r="G257" t="n">
        <v>1.9</v>
      </c>
      <c r="H257" t="n">
        <v>0</v>
      </c>
      <c r="I257" t="n">
        <v>0</v>
      </c>
      <c r="J257" t="n">
        <v>0</v>
      </c>
      <c r="K257" t="n">
        <v>0</v>
      </c>
      <c r="L257" t="n">
        <v>0</v>
      </c>
      <c r="M257" t="n">
        <v>0</v>
      </c>
      <c r="N257" t="n">
        <v>0</v>
      </c>
      <c r="O257" t="n">
        <v>0</v>
      </c>
      <c r="P257" t="n">
        <v>0</v>
      </c>
      <c r="Q257" t="n">
        <v>0</v>
      </c>
      <c r="R257" s="2" t="inlineStr"/>
    </row>
    <row r="258" ht="15" customHeight="1">
      <c r="A258" t="inlineStr">
        <is>
          <t>A 34042-2025</t>
        </is>
      </c>
      <c r="B258" s="1" t="n">
        <v>45845.37733796296</v>
      </c>
      <c r="C258" s="1" t="n">
        <v>46111</v>
      </c>
      <c r="D258" t="inlineStr">
        <is>
          <t>ÖREBRO LÄN</t>
        </is>
      </c>
      <c r="E258" t="inlineStr">
        <is>
          <t>HÄLLEFORS</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34045-2025</t>
        </is>
      </c>
      <c r="B259" s="1" t="n">
        <v>45845.38480324074</v>
      </c>
      <c r="C259" s="1" t="n">
        <v>46111</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34052-2025</t>
        </is>
      </c>
      <c r="B260" s="1" t="n">
        <v>45845.40813657407</v>
      </c>
      <c r="C260" s="1" t="n">
        <v>46111</v>
      </c>
      <c r="D260" t="inlineStr">
        <is>
          <t>ÖREBRO LÄN</t>
        </is>
      </c>
      <c r="E260" t="inlineStr">
        <is>
          <t>HÄLLEFORS</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6126-2026</t>
        </is>
      </c>
      <c r="B261" s="1" t="n">
        <v>46053.93969907407</v>
      </c>
      <c r="C261" s="1" t="n">
        <v>46111</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39327-2022</t>
        </is>
      </c>
      <c r="B262" s="1" t="n">
        <v>44817</v>
      </c>
      <c r="C262" s="1" t="n">
        <v>46111</v>
      </c>
      <c r="D262" t="inlineStr">
        <is>
          <t>ÖREBRO LÄN</t>
        </is>
      </c>
      <c r="E262" t="inlineStr">
        <is>
          <t>HÄLLEFORS</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41822-2023</t>
        </is>
      </c>
      <c r="B263" s="1" t="n">
        <v>45176.56863425926</v>
      </c>
      <c r="C263" s="1" t="n">
        <v>46111</v>
      </c>
      <c r="D263" t="inlineStr">
        <is>
          <t>ÖREBRO LÄN</t>
        </is>
      </c>
      <c r="E263" t="inlineStr">
        <is>
          <t>HÄLLEFORS</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6127-2026</t>
        </is>
      </c>
      <c r="B264" s="1" t="n">
        <v>46053.99731481481</v>
      </c>
      <c r="C264" s="1" t="n">
        <v>46111</v>
      </c>
      <c r="D264" t="inlineStr">
        <is>
          <t>ÖREBRO LÄN</t>
        </is>
      </c>
      <c r="E264" t="inlineStr">
        <is>
          <t>HÄLLEFORS</t>
        </is>
      </c>
      <c r="G264" t="n">
        <v>7.6</v>
      </c>
      <c r="H264" t="n">
        <v>0</v>
      </c>
      <c r="I264" t="n">
        <v>0</v>
      </c>
      <c r="J264" t="n">
        <v>0</v>
      </c>
      <c r="K264" t="n">
        <v>0</v>
      </c>
      <c r="L264" t="n">
        <v>0</v>
      </c>
      <c r="M264" t="n">
        <v>0</v>
      </c>
      <c r="N264" t="n">
        <v>0</v>
      </c>
      <c r="O264" t="n">
        <v>0</v>
      </c>
      <c r="P264" t="n">
        <v>0</v>
      </c>
      <c r="Q264" t="n">
        <v>0</v>
      </c>
      <c r="R264" s="2" t="inlineStr"/>
    </row>
    <row r="265" ht="15" customHeight="1">
      <c r="A265" t="inlineStr">
        <is>
          <t>A 16169-2025</t>
        </is>
      </c>
      <c r="B265" s="1" t="n">
        <v>45750</v>
      </c>
      <c r="C265" s="1" t="n">
        <v>46111</v>
      </c>
      <c r="D265" t="inlineStr">
        <is>
          <t>ÖREBRO LÄN</t>
        </is>
      </c>
      <c r="E265" t="inlineStr">
        <is>
          <t>HÄLLEFORS</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17075-2025</t>
        </is>
      </c>
      <c r="B266" s="1" t="n">
        <v>45755.62278935185</v>
      </c>
      <c r="C266" s="1" t="n">
        <v>46111</v>
      </c>
      <c r="D266" t="inlineStr">
        <is>
          <t>ÖREBRO LÄN</t>
        </is>
      </c>
      <c r="E266" t="inlineStr">
        <is>
          <t>HÄLLEFORS</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9411-2022</t>
        </is>
      </c>
      <c r="B267" s="1" t="n">
        <v>44616</v>
      </c>
      <c r="C267" s="1" t="n">
        <v>46111</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46111</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5033-2025</t>
        </is>
      </c>
      <c r="B269" s="1" t="n">
        <v>45691.425625</v>
      </c>
      <c r="C269" s="1" t="n">
        <v>46111</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27513-2021</t>
        </is>
      </c>
      <c r="B270" s="1" t="n">
        <v>44351</v>
      </c>
      <c r="C270" s="1" t="n">
        <v>46111</v>
      </c>
      <c r="D270" t="inlineStr">
        <is>
          <t>ÖREBRO LÄN</t>
        </is>
      </c>
      <c r="E270" t="inlineStr">
        <is>
          <t>HÄLLEFORS</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17350-2025</t>
        </is>
      </c>
      <c r="B271" s="1" t="n">
        <v>45756.68074074074</v>
      </c>
      <c r="C271" s="1" t="n">
        <v>46111</v>
      </c>
      <c r="D271" t="inlineStr">
        <is>
          <t>ÖREBRO LÄN</t>
        </is>
      </c>
      <c r="E271" t="inlineStr">
        <is>
          <t>HÄLLEFORS</t>
        </is>
      </c>
      <c r="F271" t="inlineStr">
        <is>
          <t>Bergvik skog väst AB</t>
        </is>
      </c>
      <c r="G271" t="n">
        <v>6.9</v>
      </c>
      <c r="H271" t="n">
        <v>0</v>
      </c>
      <c r="I271" t="n">
        <v>0</v>
      </c>
      <c r="J271" t="n">
        <v>0</v>
      </c>
      <c r="K271" t="n">
        <v>0</v>
      </c>
      <c r="L271" t="n">
        <v>0</v>
      </c>
      <c r="M271" t="n">
        <v>0</v>
      </c>
      <c r="N271" t="n">
        <v>0</v>
      </c>
      <c r="O271" t="n">
        <v>0</v>
      </c>
      <c r="P271" t="n">
        <v>0</v>
      </c>
      <c r="Q271" t="n">
        <v>0</v>
      </c>
      <c r="R271" s="2" t="inlineStr"/>
    </row>
    <row r="272" ht="15" customHeight="1">
      <c r="A272" t="inlineStr">
        <is>
          <t>A 6772-2026</t>
        </is>
      </c>
      <c r="B272" s="1" t="n">
        <v>46057.2934837963</v>
      </c>
      <c r="C272" s="1" t="n">
        <v>46111</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17810-2025</t>
        </is>
      </c>
      <c r="B273" s="1" t="n">
        <v>45758.55883101852</v>
      </c>
      <c r="C273" s="1" t="n">
        <v>46111</v>
      </c>
      <c r="D273" t="inlineStr">
        <is>
          <t>ÖREBRO LÄN</t>
        </is>
      </c>
      <c r="E273" t="inlineStr">
        <is>
          <t>HÄLLEFORS</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17811-2025</t>
        </is>
      </c>
      <c r="B274" s="1" t="n">
        <v>45758.5594212963</v>
      </c>
      <c r="C274" s="1" t="n">
        <v>46111</v>
      </c>
      <c r="D274" t="inlineStr">
        <is>
          <t>ÖREBRO LÄN</t>
        </is>
      </c>
      <c r="E274" t="inlineStr">
        <is>
          <t>HÄLLEFORS</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33944-2024</t>
        </is>
      </c>
      <c r="B275" s="1" t="n">
        <v>45523</v>
      </c>
      <c r="C275" s="1" t="n">
        <v>46111</v>
      </c>
      <c r="D275" t="inlineStr">
        <is>
          <t>ÖREBRO LÄN</t>
        </is>
      </c>
      <c r="E275" t="inlineStr">
        <is>
          <t>HÄLLEFORS</t>
        </is>
      </c>
      <c r="G275" t="n">
        <v>5.9</v>
      </c>
      <c r="H275" t="n">
        <v>0</v>
      </c>
      <c r="I275" t="n">
        <v>0</v>
      </c>
      <c r="J275" t="n">
        <v>0</v>
      </c>
      <c r="K275" t="n">
        <v>0</v>
      </c>
      <c r="L275" t="n">
        <v>0</v>
      </c>
      <c r="M275" t="n">
        <v>0</v>
      </c>
      <c r="N275" t="n">
        <v>0</v>
      </c>
      <c r="O275" t="n">
        <v>0</v>
      </c>
      <c r="P275" t="n">
        <v>0</v>
      </c>
      <c r="Q275" t="n">
        <v>0</v>
      </c>
      <c r="R275" s="2" t="inlineStr"/>
    </row>
    <row r="276" ht="15" customHeight="1">
      <c r="A276" t="inlineStr">
        <is>
          <t>A 14342-2026</t>
        </is>
      </c>
      <c r="B276" s="1" t="n">
        <v>46100.33013888889</v>
      </c>
      <c r="C276" s="1" t="n">
        <v>46111</v>
      </c>
      <c r="D276" t="inlineStr">
        <is>
          <t>ÖREBRO LÄN</t>
        </is>
      </c>
      <c r="E276" t="inlineStr">
        <is>
          <t>HÄLLEFORS</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14343-2026</t>
        </is>
      </c>
      <c r="B277" s="1" t="n">
        <v>46100.33061342593</v>
      </c>
      <c r="C277" s="1" t="n">
        <v>46111</v>
      </c>
      <c r="D277" t="inlineStr">
        <is>
          <t>ÖREBRO LÄN</t>
        </is>
      </c>
      <c r="E277" t="inlineStr">
        <is>
          <t>HÄLLEFORS</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6774-2026</t>
        </is>
      </c>
      <c r="B278" s="1" t="n">
        <v>46057.29586805555</v>
      </c>
      <c r="C278" s="1" t="n">
        <v>46111</v>
      </c>
      <c r="D278" t="inlineStr">
        <is>
          <t>ÖREBRO LÄN</t>
        </is>
      </c>
      <c r="E278" t="inlineStr">
        <is>
          <t>HÄLLEFORS</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46111</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46111</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5256-2025</t>
        </is>
      </c>
      <c r="B281" s="1" t="n">
        <v>45692.36032407408</v>
      </c>
      <c r="C281" s="1" t="n">
        <v>46111</v>
      </c>
      <c r="D281" t="inlineStr">
        <is>
          <t>ÖREBRO LÄN</t>
        </is>
      </c>
      <c r="E281" t="inlineStr">
        <is>
          <t>HÄLLEFORS</t>
        </is>
      </c>
      <c r="F281" t="inlineStr">
        <is>
          <t>Bergvik skog väst AB</t>
        </is>
      </c>
      <c r="G281" t="n">
        <v>6.3</v>
      </c>
      <c r="H281" t="n">
        <v>0</v>
      </c>
      <c r="I281" t="n">
        <v>0</v>
      </c>
      <c r="J281" t="n">
        <v>0</v>
      </c>
      <c r="K281" t="n">
        <v>0</v>
      </c>
      <c r="L281" t="n">
        <v>0</v>
      </c>
      <c r="M281" t="n">
        <v>0</v>
      </c>
      <c r="N281" t="n">
        <v>0</v>
      </c>
      <c r="O281" t="n">
        <v>0</v>
      </c>
      <c r="P281" t="n">
        <v>0</v>
      </c>
      <c r="Q281" t="n">
        <v>0</v>
      </c>
      <c r="R281" s="2" t="inlineStr"/>
    </row>
    <row r="282" ht="15" customHeight="1">
      <c r="A282" t="inlineStr">
        <is>
          <t>A 35183-2023</t>
        </is>
      </c>
      <c r="B282" s="1" t="n">
        <v>45145.59578703704</v>
      </c>
      <c r="C282" s="1" t="n">
        <v>46111</v>
      </c>
      <c r="D282" t="inlineStr">
        <is>
          <t>ÖREBRO LÄN</t>
        </is>
      </c>
      <c r="E282" t="inlineStr">
        <is>
          <t>HÄLLEFORS</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9536-2025</t>
        </is>
      </c>
      <c r="B283" s="1" t="n">
        <v>45715.57746527778</v>
      </c>
      <c r="C283" s="1" t="n">
        <v>46111</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9539-2025</t>
        </is>
      </c>
      <c r="B284" s="1" t="n">
        <v>45715.57984953704</v>
      </c>
      <c r="C284" s="1" t="n">
        <v>46111</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17045-2025</t>
        </is>
      </c>
      <c r="B285" s="1" t="n">
        <v>45755.59307870371</v>
      </c>
      <c r="C285" s="1" t="n">
        <v>46111</v>
      </c>
      <c r="D285" t="inlineStr">
        <is>
          <t>ÖREBRO LÄN</t>
        </is>
      </c>
      <c r="E285" t="inlineStr">
        <is>
          <t>HÄLLEFORS</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8064-2026</t>
        </is>
      </c>
      <c r="B286" s="1" t="n">
        <v>46063.6312962963</v>
      </c>
      <c r="C286" s="1" t="n">
        <v>46111</v>
      </c>
      <c r="D286" t="inlineStr">
        <is>
          <t>ÖREBRO LÄN</t>
        </is>
      </c>
      <c r="E286" t="inlineStr">
        <is>
          <t>HÄLLEFORS</t>
        </is>
      </c>
      <c r="G286" t="n">
        <v>6</v>
      </c>
      <c r="H286" t="n">
        <v>0</v>
      </c>
      <c r="I286" t="n">
        <v>0</v>
      </c>
      <c r="J286" t="n">
        <v>0</v>
      </c>
      <c r="K286" t="n">
        <v>0</v>
      </c>
      <c r="L286" t="n">
        <v>0</v>
      </c>
      <c r="M286" t="n">
        <v>0</v>
      </c>
      <c r="N286" t="n">
        <v>0</v>
      </c>
      <c r="O286" t="n">
        <v>0</v>
      </c>
      <c r="P286" t="n">
        <v>0</v>
      </c>
      <c r="Q286" t="n">
        <v>0</v>
      </c>
      <c r="R286" s="2" t="inlineStr"/>
    </row>
    <row r="287" ht="15" customHeight="1">
      <c r="A287" t="inlineStr">
        <is>
          <t>A 16135-2025</t>
        </is>
      </c>
      <c r="B287" s="1" t="n">
        <v>45750.44355324074</v>
      </c>
      <c r="C287" s="1" t="n">
        <v>46111</v>
      </c>
      <c r="D287" t="inlineStr">
        <is>
          <t>ÖREBRO LÄN</t>
        </is>
      </c>
      <c r="E287" t="inlineStr">
        <is>
          <t>HÄLLEFORS</t>
        </is>
      </c>
      <c r="F287" t="inlineStr">
        <is>
          <t>Kyrkan</t>
        </is>
      </c>
      <c r="G287" t="n">
        <v>4.6</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46111</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8095-2026</t>
        </is>
      </c>
      <c r="B289" s="1" t="n">
        <v>46063.71302083333</v>
      </c>
      <c r="C289" s="1" t="n">
        <v>46111</v>
      </c>
      <c r="D289" t="inlineStr">
        <is>
          <t>ÖREBRO LÄN</t>
        </is>
      </c>
      <c r="E289" t="inlineStr">
        <is>
          <t>HÄLLEFORS</t>
        </is>
      </c>
      <c r="G289" t="n">
        <v>2.7</v>
      </c>
      <c r="H289" t="n">
        <v>0</v>
      </c>
      <c r="I289" t="n">
        <v>0</v>
      </c>
      <c r="J289" t="n">
        <v>0</v>
      </c>
      <c r="K289" t="n">
        <v>0</v>
      </c>
      <c r="L289" t="n">
        <v>0</v>
      </c>
      <c r="M289" t="n">
        <v>0</v>
      </c>
      <c r="N289" t="n">
        <v>0</v>
      </c>
      <c r="O289" t="n">
        <v>0</v>
      </c>
      <c r="P289" t="n">
        <v>0</v>
      </c>
      <c r="Q289" t="n">
        <v>0</v>
      </c>
      <c r="R289" s="2" t="inlineStr"/>
    </row>
    <row r="290" ht="15" customHeight="1">
      <c r="A290" t="inlineStr">
        <is>
          <t>A 8099-2026</t>
        </is>
      </c>
      <c r="B290" s="1" t="n">
        <v>46063.7159837963</v>
      </c>
      <c r="C290" s="1" t="n">
        <v>46111</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5245-2025</t>
        </is>
      </c>
      <c r="B291" s="1" t="n">
        <v>45692</v>
      </c>
      <c r="C291" s="1" t="n">
        <v>46111</v>
      </c>
      <c r="D291" t="inlineStr">
        <is>
          <t>ÖREBRO LÄN</t>
        </is>
      </c>
      <c r="E291" t="inlineStr">
        <is>
          <t>HÄLLEFORS</t>
        </is>
      </c>
      <c r="F291" t="inlineStr">
        <is>
          <t>Bergvik skog väst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46111</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12558-2025</t>
        </is>
      </c>
      <c r="B293" s="1" t="n">
        <v>45731.46960648148</v>
      </c>
      <c r="C293" s="1" t="n">
        <v>46111</v>
      </c>
      <c r="D293" t="inlineStr">
        <is>
          <t>ÖREBRO LÄN</t>
        </is>
      </c>
      <c r="E293" t="inlineStr">
        <is>
          <t>HÄLLEFORS</t>
        </is>
      </c>
      <c r="G293" t="n">
        <v>2.2</v>
      </c>
      <c r="H293" t="n">
        <v>0</v>
      </c>
      <c r="I293" t="n">
        <v>0</v>
      </c>
      <c r="J293" t="n">
        <v>0</v>
      </c>
      <c r="K293" t="n">
        <v>0</v>
      </c>
      <c r="L293" t="n">
        <v>0</v>
      </c>
      <c r="M293" t="n">
        <v>0</v>
      </c>
      <c r="N293" t="n">
        <v>0</v>
      </c>
      <c r="O293" t="n">
        <v>0</v>
      </c>
      <c r="P293" t="n">
        <v>0</v>
      </c>
      <c r="Q293" t="n">
        <v>0</v>
      </c>
      <c r="R293" s="2" t="inlineStr"/>
    </row>
    <row r="294" ht="15" customHeight="1">
      <c r="A294" t="inlineStr">
        <is>
          <t>A 16088-2026</t>
        </is>
      </c>
      <c r="B294" s="1" t="n">
        <v>46108.57201388889</v>
      </c>
      <c r="C294" s="1" t="n">
        <v>46111</v>
      </c>
      <c r="D294" t="inlineStr">
        <is>
          <t>ÖREBRO LÄN</t>
        </is>
      </c>
      <c r="E294" t="inlineStr">
        <is>
          <t>HÄLLEFORS</t>
        </is>
      </c>
      <c r="F294" t="inlineStr">
        <is>
          <t>Sveaskog</t>
        </is>
      </c>
      <c r="G294" t="n">
        <v>4.8</v>
      </c>
      <c r="H294" t="n">
        <v>0</v>
      </c>
      <c r="I294" t="n">
        <v>0</v>
      </c>
      <c r="J294" t="n">
        <v>0</v>
      </c>
      <c r="K294" t="n">
        <v>0</v>
      </c>
      <c r="L294" t="n">
        <v>0</v>
      </c>
      <c r="M294" t="n">
        <v>0</v>
      </c>
      <c r="N294" t="n">
        <v>0</v>
      </c>
      <c r="O294" t="n">
        <v>0</v>
      </c>
      <c r="P294" t="n">
        <v>0</v>
      </c>
      <c r="Q294" t="n">
        <v>0</v>
      </c>
      <c r="R294" s="2" t="inlineStr"/>
    </row>
    <row r="295" ht="15" customHeight="1">
      <c r="A295" t="inlineStr">
        <is>
          <t>A 34478-2022</t>
        </is>
      </c>
      <c r="B295" s="1" t="n">
        <v>44792.64494212963</v>
      </c>
      <c r="C295" s="1" t="n">
        <v>46111</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46111</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37232-2025</t>
        </is>
      </c>
      <c r="B297" s="1" t="n">
        <v>45876.34452546296</v>
      </c>
      <c r="C297" s="1" t="n">
        <v>46111</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51088-2022</t>
        </is>
      </c>
      <c r="B298" s="1" t="n">
        <v>44868.3935300926</v>
      </c>
      <c r="C298" s="1" t="n">
        <v>46111</v>
      </c>
      <c r="D298" t="inlineStr">
        <is>
          <t>ÖREBRO LÄN</t>
        </is>
      </c>
      <c r="E298" t="inlineStr">
        <is>
          <t>HÄLLEFORS</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9906-2024</t>
        </is>
      </c>
      <c r="B299" s="1" t="n">
        <v>45363.53322916666</v>
      </c>
      <c r="C299" s="1" t="n">
        <v>46111</v>
      </c>
      <c r="D299" t="inlineStr">
        <is>
          <t>ÖREBRO LÄN</t>
        </is>
      </c>
      <c r="E299" t="inlineStr">
        <is>
          <t>HÄLLEFORS</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44905-2021</t>
        </is>
      </c>
      <c r="B300" s="1" t="n">
        <v>44438.65045138889</v>
      </c>
      <c r="C300" s="1" t="n">
        <v>46111</v>
      </c>
      <c r="D300" t="inlineStr">
        <is>
          <t>ÖREBRO LÄN</t>
        </is>
      </c>
      <c r="E300" t="inlineStr">
        <is>
          <t>HÄLLEFORS</t>
        </is>
      </c>
      <c r="F300" t="inlineStr">
        <is>
          <t>Sveaskog</t>
        </is>
      </c>
      <c r="G300" t="n">
        <v>5.3</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46111</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46111</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46111</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46111</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46111</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46111</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38148-2025</t>
        </is>
      </c>
      <c r="B307" s="1" t="n">
        <v>45882.58855324074</v>
      </c>
      <c r="C307" s="1" t="n">
        <v>46111</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59485-2022</t>
        </is>
      </c>
      <c r="B308" s="1" t="n">
        <v>44907</v>
      </c>
      <c r="C308" s="1" t="n">
        <v>46111</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38532-2025</t>
        </is>
      </c>
      <c r="B309" s="1" t="n">
        <v>45884</v>
      </c>
      <c r="C309" s="1" t="n">
        <v>46111</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55300-2023</t>
        </is>
      </c>
      <c r="B310" s="1" t="n">
        <v>45237.83621527778</v>
      </c>
      <c r="C310" s="1" t="n">
        <v>46111</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15073-2022</t>
        </is>
      </c>
      <c r="B311" s="1" t="n">
        <v>44657</v>
      </c>
      <c r="C311" s="1" t="n">
        <v>46111</v>
      </c>
      <c r="D311" t="inlineStr">
        <is>
          <t>ÖREBRO LÄN</t>
        </is>
      </c>
      <c r="E311" t="inlineStr">
        <is>
          <t>HÄLLEFORS</t>
        </is>
      </c>
      <c r="G311" t="n">
        <v>2.3</v>
      </c>
      <c r="H311" t="n">
        <v>0</v>
      </c>
      <c r="I311" t="n">
        <v>0</v>
      </c>
      <c r="J311" t="n">
        <v>0</v>
      </c>
      <c r="K311" t="n">
        <v>0</v>
      </c>
      <c r="L311" t="n">
        <v>0</v>
      </c>
      <c r="M311" t="n">
        <v>0</v>
      </c>
      <c r="N311" t="n">
        <v>0</v>
      </c>
      <c r="O311" t="n">
        <v>0</v>
      </c>
      <c r="P311" t="n">
        <v>0</v>
      </c>
      <c r="Q311" t="n">
        <v>0</v>
      </c>
      <c r="R311" s="2" t="inlineStr"/>
    </row>
    <row r="312" ht="15" customHeight="1">
      <c r="A312" t="inlineStr">
        <is>
          <t>A 30282-2023</t>
        </is>
      </c>
      <c r="B312" s="1" t="n">
        <v>45110.90550925926</v>
      </c>
      <c r="C312" s="1" t="n">
        <v>46111</v>
      </c>
      <c r="D312" t="inlineStr">
        <is>
          <t>ÖREBRO LÄN</t>
        </is>
      </c>
      <c r="E312" t="inlineStr">
        <is>
          <t>HÄLLEFORS</t>
        </is>
      </c>
      <c r="G312" t="n">
        <v>1.9</v>
      </c>
      <c r="H312" t="n">
        <v>0</v>
      </c>
      <c r="I312" t="n">
        <v>0</v>
      </c>
      <c r="J312" t="n">
        <v>0</v>
      </c>
      <c r="K312" t="n">
        <v>0</v>
      </c>
      <c r="L312" t="n">
        <v>0</v>
      </c>
      <c r="M312" t="n">
        <v>0</v>
      </c>
      <c r="N312" t="n">
        <v>0</v>
      </c>
      <c r="O312" t="n">
        <v>0</v>
      </c>
      <c r="P312" t="n">
        <v>0</v>
      </c>
      <c r="Q312" t="n">
        <v>0</v>
      </c>
      <c r="R312" s="2" t="inlineStr"/>
    </row>
    <row r="313" ht="15" customHeight="1">
      <c r="A313" t="inlineStr">
        <is>
          <t>A 35188-2023</t>
        </is>
      </c>
      <c r="B313" s="1" t="n">
        <v>45145.60365740741</v>
      </c>
      <c r="C313" s="1" t="n">
        <v>46111</v>
      </c>
      <c r="D313" t="inlineStr">
        <is>
          <t>ÖREBRO LÄN</t>
        </is>
      </c>
      <c r="E313" t="inlineStr">
        <is>
          <t>HÄLLEFORS</t>
        </is>
      </c>
      <c r="F313" t="inlineStr">
        <is>
          <t>Bergvik skog väst AB</t>
        </is>
      </c>
      <c r="G313" t="n">
        <v>12.9</v>
      </c>
      <c r="H313" t="n">
        <v>0</v>
      </c>
      <c r="I313" t="n">
        <v>0</v>
      </c>
      <c r="J313" t="n">
        <v>0</v>
      </c>
      <c r="K313" t="n">
        <v>0</v>
      </c>
      <c r="L313" t="n">
        <v>0</v>
      </c>
      <c r="M313" t="n">
        <v>0</v>
      </c>
      <c r="N313" t="n">
        <v>0</v>
      </c>
      <c r="O313" t="n">
        <v>0</v>
      </c>
      <c r="P313" t="n">
        <v>0</v>
      </c>
      <c r="Q313" t="n">
        <v>0</v>
      </c>
      <c r="R313" s="2" t="inlineStr"/>
    </row>
    <row r="314" ht="15" customHeight="1">
      <c r="A314" t="inlineStr">
        <is>
          <t>A 38010-2024</t>
        </is>
      </c>
      <c r="B314" s="1" t="n">
        <v>45544.62276620371</v>
      </c>
      <c r="C314" s="1" t="n">
        <v>46111</v>
      </c>
      <c r="D314" t="inlineStr">
        <is>
          <t>ÖREBRO LÄN</t>
        </is>
      </c>
      <c r="E314" t="inlineStr">
        <is>
          <t>HÄLLEFORS</t>
        </is>
      </c>
      <c r="G314" t="n">
        <v>22.7</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46111</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7774-2022</t>
        </is>
      </c>
      <c r="B316" s="1" t="n">
        <v>44608.45725694444</v>
      </c>
      <c r="C316" s="1" t="n">
        <v>46111</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41193-2023</t>
        </is>
      </c>
      <c r="B317" s="1" t="n">
        <v>45174</v>
      </c>
      <c r="C317" s="1" t="n">
        <v>46111</v>
      </c>
      <c r="D317" t="inlineStr">
        <is>
          <t>ÖREBRO LÄN</t>
        </is>
      </c>
      <c r="E317" t="inlineStr">
        <is>
          <t>HÄLLEFORS</t>
        </is>
      </c>
      <c r="F317" t="inlineStr">
        <is>
          <t>Bergvik skog väst AB</t>
        </is>
      </c>
      <c r="G317" t="n">
        <v>10.9</v>
      </c>
      <c r="H317" t="n">
        <v>0</v>
      </c>
      <c r="I317" t="n">
        <v>0</v>
      </c>
      <c r="J317" t="n">
        <v>0</v>
      </c>
      <c r="K317" t="n">
        <v>0</v>
      </c>
      <c r="L317" t="n">
        <v>0</v>
      </c>
      <c r="M317" t="n">
        <v>0</v>
      </c>
      <c r="N317" t="n">
        <v>0</v>
      </c>
      <c r="O317" t="n">
        <v>0</v>
      </c>
      <c r="P317" t="n">
        <v>0</v>
      </c>
      <c r="Q317" t="n">
        <v>0</v>
      </c>
      <c r="R317" s="2" t="inlineStr"/>
    </row>
    <row r="318" ht="15" customHeight="1">
      <c r="A318" t="inlineStr">
        <is>
          <t>A 39513-2024</t>
        </is>
      </c>
      <c r="B318" s="1" t="n">
        <v>45551</v>
      </c>
      <c r="C318" s="1" t="n">
        <v>46111</v>
      </c>
      <c r="D318" t="inlineStr">
        <is>
          <t>ÖREBRO LÄN</t>
        </is>
      </c>
      <c r="E318" t="inlineStr">
        <is>
          <t>HÄLLEFORS</t>
        </is>
      </c>
      <c r="G318" t="n">
        <v>0.7</v>
      </c>
      <c r="H318" t="n">
        <v>0</v>
      </c>
      <c r="I318" t="n">
        <v>0</v>
      </c>
      <c r="J318" t="n">
        <v>0</v>
      </c>
      <c r="K318" t="n">
        <v>0</v>
      </c>
      <c r="L318" t="n">
        <v>0</v>
      </c>
      <c r="M318" t="n">
        <v>0</v>
      </c>
      <c r="N318" t="n">
        <v>0</v>
      </c>
      <c r="O318" t="n">
        <v>0</v>
      </c>
      <c r="P318" t="n">
        <v>0</v>
      </c>
      <c r="Q318" t="n">
        <v>0</v>
      </c>
      <c r="R318" s="2" t="inlineStr"/>
    </row>
    <row r="319" ht="15" customHeight="1">
      <c r="A319" t="inlineStr">
        <is>
          <t>A 49709-2023</t>
        </is>
      </c>
      <c r="B319" s="1" t="n">
        <v>45212</v>
      </c>
      <c r="C319" s="1" t="n">
        <v>46111</v>
      </c>
      <c r="D319" t="inlineStr">
        <is>
          <t>ÖREBRO LÄN</t>
        </is>
      </c>
      <c r="E319" t="inlineStr">
        <is>
          <t>HÄLLEFORS</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27935-2023</t>
        </is>
      </c>
      <c r="B320" s="1" t="n">
        <v>45098.65641203704</v>
      </c>
      <c r="C320" s="1" t="n">
        <v>46111</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38429-2023</t>
        </is>
      </c>
      <c r="B321" s="1" t="n">
        <v>45162</v>
      </c>
      <c r="C321" s="1" t="n">
        <v>46111</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8513-2022</t>
        </is>
      </c>
      <c r="B322" s="1" t="n">
        <v>44613</v>
      </c>
      <c r="C322" s="1" t="n">
        <v>46111</v>
      </c>
      <c r="D322" t="inlineStr">
        <is>
          <t>ÖREBRO LÄN</t>
        </is>
      </c>
      <c r="E322" t="inlineStr">
        <is>
          <t>HÄLLEFORS</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46599-2024</t>
        </is>
      </c>
      <c r="B323" s="1" t="n">
        <v>45582</v>
      </c>
      <c r="C323" s="1" t="n">
        <v>46111</v>
      </c>
      <c r="D323" t="inlineStr">
        <is>
          <t>ÖREBRO LÄN</t>
        </is>
      </c>
      <c r="E323" t="inlineStr">
        <is>
          <t>HÄLLEFORS</t>
        </is>
      </c>
      <c r="F323" t="inlineStr">
        <is>
          <t>Sveaskog</t>
        </is>
      </c>
      <c r="G323" t="n">
        <v>10.1</v>
      </c>
      <c r="H323" t="n">
        <v>0</v>
      </c>
      <c r="I323" t="n">
        <v>0</v>
      </c>
      <c r="J323" t="n">
        <v>0</v>
      </c>
      <c r="K323" t="n">
        <v>0</v>
      </c>
      <c r="L323" t="n">
        <v>0</v>
      </c>
      <c r="M323" t="n">
        <v>0</v>
      </c>
      <c r="N323" t="n">
        <v>0</v>
      </c>
      <c r="O323" t="n">
        <v>0</v>
      </c>
      <c r="P323" t="n">
        <v>0</v>
      </c>
      <c r="Q323" t="n">
        <v>0</v>
      </c>
      <c r="R323" s="2" t="inlineStr"/>
    </row>
    <row r="324" ht="15" customHeight="1">
      <c r="A324" t="inlineStr">
        <is>
          <t>A 21315-2024</t>
        </is>
      </c>
      <c r="B324" s="1" t="n">
        <v>45440</v>
      </c>
      <c r="C324" s="1" t="n">
        <v>46111</v>
      </c>
      <c r="D324" t="inlineStr">
        <is>
          <t>ÖREBRO LÄN</t>
        </is>
      </c>
      <c r="E324" t="inlineStr">
        <is>
          <t>HÄLLEFORS</t>
        </is>
      </c>
      <c r="G324" t="n">
        <v>3.1</v>
      </c>
      <c r="H324" t="n">
        <v>0</v>
      </c>
      <c r="I324" t="n">
        <v>0</v>
      </c>
      <c r="J324" t="n">
        <v>0</v>
      </c>
      <c r="K324" t="n">
        <v>0</v>
      </c>
      <c r="L324" t="n">
        <v>0</v>
      </c>
      <c r="M324" t="n">
        <v>0</v>
      </c>
      <c r="N324" t="n">
        <v>0</v>
      </c>
      <c r="O324" t="n">
        <v>0</v>
      </c>
      <c r="P324" t="n">
        <v>0</v>
      </c>
      <c r="Q324" t="n">
        <v>0</v>
      </c>
      <c r="R324" s="2" t="inlineStr"/>
    </row>
    <row r="325" ht="15" customHeight="1">
      <c r="A325" t="inlineStr">
        <is>
          <t>A 60312-2024</t>
        </is>
      </c>
      <c r="B325" s="1" t="n">
        <v>45643</v>
      </c>
      <c r="C325" s="1" t="n">
        <v>46111</v>
      </c>
      <c r="D325" t="inlineStr">
        <is>
          <t>ÖREBRO LÄN</t>
        </is>
      </c>
      <c r="E325" t="inlineStr">
        <is>
          <t>HÄLLEFORS</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38402-2023</t>
        </is>
      </c>
      <c r="B326" s="1" t="n">
        <v>45162</v>
      </c>
      <c r="C326" s="1" t="n">
        <v>46111</v>
      </c>
      <c r="D326" t="inlineStr">
        <is>
          <t>ÖREBRO LÄN</t>
        </is>
      </c>
      <c r="E326" t="inlineStr">
        <is>
          <t>HÄLLEFORS</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46111</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46111</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18535-2025</t>
        </is>
      </c>
      <c r="B329" s="1" t="n">
        <v>45763</v>
      </c>
      <c r="C329" s="1" t="n">
        <v>46111</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59957-2024</t>
        </is>
      </c>
      <c r="B330" s="1" t="n">
        <v>45642.35061342592</v>
      </c>
      <c r="C330" s="1" t="n">
        <v>46111</v>
      </c>
      <c r="D330" t="inlineStr">
        <is>
          <t>ÖREBRO LÄN</t>
        </is>
      </c>
      <c r="E330" t="inlineStr">
        <is>
          <t>HÄLLEFORS</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59959-2024</t>
        </is>
      </c>
      <c r="B331" s="1" t="n">
        <v>45642.35097222222</v>
      </c>
      <c r="C331" s="1" t="n">
        <v>46111</v>
      </c>
      <c r="D331" t="inlineStr">
        <is>
          <t>ÖREBRO LÄN</t>
        </is>
      </c>
      <c r="E331" t="inlineStr">
        <is>
          <t>HÄLLEFORS</t>
        </is>
      </c>
      <c r="F331" t="inlineStr">
        <is>
          <t>Bergvik skog väst AB</t>
        </is>
      </c>
      <c r="G331" t="n">
        <v>4.9</v>
      </c>
      <c r="H331" t="n">
        <v>0</v>
      </c>
      <c r="I331" t="n">
        <v>0</v>
      </c>
      <c r="J331" t="n">
        <v>0</v>
      </c>
      <c r="K331" t="n">
        <v>0</v>
      </c>
      <c r="L331" t="n">
        <v>0</v>
      </c>
      <c r="M331" t="n">
        <v>0</v>
      </c>
      <c r="N331" t="n">
        <v>0</v>
      </c>
      <c r="O331" t="n">
        <v>0</v>
      </c>
      <c r="P331" t="n">
        <v>0</v>
      </c>
      <c r="Q331" t="n">
        <v>0</v>
      </c>
      <c r="R331" s="2" t="inlineStr"/>
    </row>
    <row r="332" ht="15" customHeight="1">
      <c r="A332" t="inlineStr">
        <is>
          <t>A 8503-2022</t>
        </is>
      </c>
      <c r="B332" s="1" t="n">
        <v>44613</v>
      </c>
      <c r="C332" s="1" t="n">
        <v>46111</v>
      </c>
      <c r="D332" t="inlineStr">
        <is>
          <t>ÖREBRO LÄN</t>
        </is>
      </c>
      <c r="E332" t="inlineStr">
        <is>
          <t>HÄLLEFORS</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46111</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55745-2024</t>
        </is>
      </c>
      <c r="B334" s="1" t="n">
        <v>45623.3168287037</v>
      </c>
      <c r="C334" s="1" t="n">
        <v>46111</v>
      </c>
      <c r="D334" t="inlineStr">
        <is>
          <t>ÖREBRO LÄN</t>
        </is>
      </c>
      <c r="E334" t="inlineStr">
        <is>
          <t>HÄLLEFORS</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46111</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1019-2025</t>
        </is>
      </c>
      <c r="B336" s="1" t="n">
        <v>45666.49216435185</v>
      </c>
      <c r="C336" s="1" t="n">
        <v>46111</v>
      </c>
      <c r="D336" t="inlineStr">
        <is>
          <t>ÖREBRO LÄN</t>
        </is>
      </c>
      <c r="E336" t="inlineStr">
        <is>
          <t>HÄLLEFORS</t>
        </is>
      </c>
      <c r="G336" t="n">
        <v>0.4</v>
      </c>
      <c r="H336" t="n">
        <v>0</v>
      </c>
      <c r="I336" t="n">
        <v>0</v>
      </c>
      <c r="J336" t="n">
        <v>0</v>
      </c>
      <c r="K336" t="n">
        <v>0</v>
      </c>
      <c r="L336" t="n">
        <v>0</v>
      </c>
      <c r="M336" t="n">
        <v>0</v>
      </c>
      <c r="N336" t="n">
        <v>0</v>
      </c>
      <c r="O336" t="n">
        <v>0</v>
      </c>
      <c r="P336" t="n">
        <v>0</v>
      </c>
      <c r="Q336" t="n">
        <v>0</v>
      </c>
      <c r="R336" s="2" t="inlineStr"/>
    </row>
    <row r="337" ht="15" customHeight="1">
      <c r="A337" t="inlineStr">
        <is>
          <t>A 20128-2024</t>
        </is>
      </c>
      <c r="B337" s="1" t="n">
        <v>45434.5571412037</v>
      </c>
      <c r="C337" s="1" t="n">
        <v>46111</v>
      </c>
      <c r="D337" t="inlineStr">
        <is>
          <t>ÖREBRO LÄN</t>
        </is>
      </c>
      <c r="E337" t="inlineStr">
        <is>
          <t>HÄLLEFORS</t>
        </is>
      </c>
      <c r="G337" t="n">
        <v>2.4</v>
      </c>
      <c r="H337" t="n">
        <v>0</v>
      </c>
      <c r="I337" t="n">
        <v>0</v>
      </c>
      <c r="J337" t="n">
        <v>0</v>
      </c>
      <c r="K337" t="n">
        <v>0</v>
      </c>
      <c r="L337" t="n">
        <v>0</v>
      </c>
      <c r="M337" t="n">
        <v>0</v>
      </c>
      <c r="N337" t="n">
        <v>0</v>
      </c>
      <c r="O337" t="n">
        <v>0</v>
      </c>
      <c r="P337" t="n">
        <v>0</v>
      </c>
      <c r="Q337" t="n">
        <v>0</v>
      </c>
      <c r="R337" s="2" t="inlineStr"/>
    </row>
    <row r="338" ht="15" customHeight="1">
      <c r="A338" t="inlineStr">
        <is>
          <t>A 45710-2023</t>
        </is>
      </c>
      <c r="B338" s="1" t="n">
        <v>45195.35254629629</v>
      </c>
      <c r="C338" s="1" t="n">
        <v>46111</v>
      </c>
      <c r="D338" t="inlineStr">
        <is>
          <t>ÖREBRO LÄN</t>
        </is>
      </c>
      <c r="E338" t="inlineStr">
        <is>
          <t>HÄLLEFORS</t>
        </is>
      </c>
      <c r="G338" t="n">
        <v>5.4</v>
      </c>
      <c r="H338" t="n">
        <v>0</v>
      </c>
      <c r="I338" t="n">
        <v>0</v>
      </c>
      <c r="J338" t="n">
        <v>0</v>
      </c>
      <c r="K338" t="n">
        <v>0</v>
      </c>
      <c r="L338" t="n">
        <v>0</v>
      </c>
      <c r="M338" t="n">
        <v>0</v>
      </c>
      <c r="N338" t="n">
        <v>0</v>
      </c>
      <c r="O338" t="n">
        <v>0</v>
      </c>
      <c r="P338" t="n">
        <v>0</v>
      </c>
      <c r="Q338" t="n">
        <v>0</v>
      </c>
      <c r="R338" s="2" t="inlineStr"/>
    </row>
    <row r="339" ht="15" customHeight="1">
      <c r="A339" t="inlineStr">
        <is>
          <t>A 59955-2024</t>
        </is>
      </c>
      <c r="B339" s="1" t="n">
        <v>45642.34987268518</v>
      </c>
      <c r="C339" s="1" t="n">
        <v>46111</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44088-2024</t>
        </is>
      </c>
      <c r="B340" s="1" t="n">
        <v>45572.61984953703</v>
      </c>
      <c r="C340" s="1" t="n">
        <v>46111</v>
      </c>
      <c r="D340" t="inlineStr">
        <is>
          <t>ÖREBRO LÄN</t>
        </is>
      </c>
      <c r="E340" t="inlineStr">
        <is>
          <t>HÄLLEFORS</t>
        </is>
      </c>
      <c r="G340" t="n">
        <v>4</v>
      </c>
      <c r="H340" t="n">
        <v>0</v>
      </c>
      <c r="I340" t="n">
        <v>0</v>
      </c>
      <c r="J340" t="n">
        <v>0</v>
      </c>
      <c r="K340" t="n">
        <v>0</v>
      </c>
      <c r="L340" t="n">
        <v>0</v>
      </c>
      <c r="M340" t="n">
        <v>0</v>
      </c>
      <c r="N340" t="n">
        <v>0</v>
      </c>
      <c r="O340" t="n">
        <v>0</v>
      </c>
      <c r="P340" t="n">
        <v>0</v>
      </c>
      <c r="Q340" t="n">
        <v>0</v>
      </c>
      <c r="R340" s="2" t="inlineStr"/>
    </row>
    <row r="341" ht="15" customHeight="1">
      <c r="A341" t="inlineStr">
        <is>
          <t>A 28788-2022</t>
        </is>
      </c>
      <c r="B341" s="1" t="n">
        <v>44749.39806712963</v>
      </c>
      <c r="C341" s="1" t="n">
        <v>46111</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60303-2024</t>
        </is>
      </c>
      <c r="B342" s="1" t="n">
        <v>45643</v>
      </c>
      <c r="C342" s="1" t="n">
        <v>46111</v>
      </c>
      <c r="D342" t="inlineStr">
        <is>
          <t>ÖREBRO LÄN</t>
        </is>
      </c>
      <c r="E342" t="inlineStr">
        <is>
          <t>HÄLLEFORS</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19245-2025</t>
        </is>
      </c>
      <c r="B343" s="1" t="n">
        <v>45769</v>
      </c>
      <c r="C343" s="1" t="n">
        <v>46111</v>
      </c>
      <c r="D343" t="inlineStr">
        <is>
          <t>ÖREBRO LÄN</t>
        </is>
      </c>
      <c r="E343" t="inlineStr">
        <is>
          <t>HÄLLEFORS</t>
        </is>
      </c>
      <c r="F343" t="inlineStr">
        <is>
          <t>Kyrkan</t>
        </is>
      </c>
      <c r="G343" t="n">
        <v>2.7</v>
      </c>
      <c r="H343" t="n">
        <v>0</v>
      </c>
      <c r="I343" t="n">
        <v>0</v>
      </c>
      <c r="J343" t="n">
        <v>0</v>
      </c>
      <c r="K343" t="n">
        <v>0</v>
      </c>
      <c r="L343" t="n">
        <v>0</v>
      </c>
      <c r="M343" t="n">
        <v>0</v>
      </c>
      <c r="N343" t="n">
        <v>0</v>
      </c>
      <c r="O343" t="n">
        <v>0</v>
      </c>
      <c r="P343" t="n">
        <v>0</v>
      </c>
      <c r="Q343" t="n">
        <v>0</v>
      </c>
      <c r="R343" s="2" t="inlineStr"/>
    </row>
    <row r="344" ht="15" customHeight="1">
      <c r="A344" t="inlineStr">
        <is>
          <t>A 39869-2023</t>
        </is>
      </c>
      <c r="B344" s="1" t="n">
        <v>45168</v>
      </c>
      <c r="C344" s="1" t="n">
        <v>46111</v>
      </c>
      <c r="D344" t="inlineStr">
        <is>
          <t>ÖREBRO LÄN</t>
        </is>
      </c>
      <c r="E344" t="inlineStr">
        <is>
          <t>HÄLLEFORS</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55756-2023</t>
        </is>
      </c>
      <c r="B345" s="1" t="n">
        <v>45239</v>
      </c>
      <c r="C345" s="1" t="n">
        <v>46111</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18945-2025</t>
        </is>
      </c>
      <c r="B346" s="1" t="n">
        <v>45764.50498842593</v>
      </c>
      <c r="C346" s="1" t="n">
        <v>46111</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17338-2025</t>
        </is>
      </c>
      <c r="B347" s="1" t="n">
        <v>45756</v>
      </c>
      <c r="C347" s="1" t="n">
        <v>46111</v>
      </c>
      <c r="D347" t="inlineStr">
        <is>
          <t>ÖREBRO LÄN</t>
        </is>
      </c>
      <c r="E347" t="inlineStr">
        <is>
          <t>HÄLLEFORS</t>
        </is>
      </c>
      <c r="G347" t="n">
        <v>2.5</v>
      </c>
      <c r="H347" t="n">
        <v>0</v>
      </c>
      <c r="I347" t="n">
        <v>0</v>
      </c>
      <c r="J347" t="n">
        <v>0</v>
      </c>
      <c r="K347" t="n">
        <v>0</v>
      </c>
      <c r="L347" t="n">
        <v>0</v>
      </c>
      <c r="M347" t="n">
        <v>0</v>
      </c>
      <c r="N347" t="n">
        <v>0</v>
      </c>
      <c r="O347" t="n">
        <v>0</v>
      </c>
      <c r="P347" t="n">
        <v>0</v>
      </c>
      <c r="Q347" t="n">
        <v>0</v>
      </c>
      <c r="R347" s="2" t="inlineStr"/>
    </row>
    <row r="348" ht="15" customHeight="1">
      <c r="A348" t="inlineStr">
        <is>
          <t>A 49215-2022</t>
        </is>
      </c>
      <c r="B348" s="1" t="n">
        <v>44861</v>
      </c>
      <c r="C348" s="1" t="n">
        <v>46111</v>
      </c>
      <c r="D348" t="inlineStr">
        <is>
          <t>ÖREBRO LÄN</t>
        </is>
      </c>
      <c r="E348" t="inlineStr">
        <is>
          <t>HÄLLEFORS</t>
        </is>
      </c>
      <c r="F348" t="inlineStr">
        <is>
          <t>Bergvik skog väst AB</t>
        </is>
      </c>
      <c r="G348" t="n">
        <v>9</v>
      </c>
      <c r="H348" t="n">
        <v>0</v>
      </c>
      <c r="I348" t="n">
        <v>0</v>
      </c>
      <c r="J348" t="n">
        <v>0</v>
      </c>
      <c r="K348" t="n">
        <v>0</v>
      </c>
      <c r="L348" t="n">
        <v>0</v>
      </c>
      <c r="M348" t="n">
        <v>0</v>
      </c>
      <c r="N348" t="n">
        <v>0</v>
      </c>
      <c r="O348" t="n">
        <v>0</v>
      </c>
      <c r="P348" t="n">
        <v>0</v>
      </c>
      <c r="Q348" t="n">
        <v>0</v>
      </c>
      <c r="R348" s="2" t="inlineStr"/>
    </row>
    <row r="349" ht="15" customHeight="1">
      <c r="A349" t="inlineStr">
        <is>
          <t>A 54843-2023</t>
        </is>
      </c>
      <c r="B349" s="1" t="n">
        <v>45236.58434027778</v>
      </c>
      <c r="C349" s="1" t="n">
        <v>46111</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29662-2022</t>
        </is>
      </c>
      <c r="B350" s="1" t="n">
        <v>44754</v>
      </c>
      <c r="C350" s="1" t="n">
        <v>46111</v>
      </c>
      <c r="D350" t="inlineStr">
        <is>
          <t>ÖREBRO LÄN</t>
        </is>
      </c>
      <c r="E350" t="inlineStr">
        <is>
          <t>HÄLLEFORS</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18979-2025</t>
        </is>
      </c>
      <c r="B351" s="1" t="n">
        <v>45764.55017361111</v>
      </c>
      <c r="C351" s="1" t="n">
        <v>46111</v>
      </c>
      <c r="D351" t="inlineStr">
        <is>
          <t>ÖREBRO LÄN</t>
        </is>
      </c>
      <c r="E351" t="inlineStr">
        <is>
          <t>HÄLLEFORS</t>
        </is>
      </c>
      <c r="G351" t="n">
        <v>0.9</v>
      </c>
      <c r="H351" t="n">
        <v>0</v>
      </c>
      <c r="I351" t="n">
        <v>0</v>
      </c>
      <c r="J351" t="n">
        <v>0</v>
      </c>
      <c r="K351" t="n">
        <v>0</v>
      </c>
      <c r="L351" t="n">
        <v>0</v>
      </c>
      <c r="M351" t="n">
        <v>0</v>
      </c>
      <c r="N351" t="n">
        <v>0</v>
      </c>
      <c r="O351" t="n">
        <v>0</v>
      </c>
      <c r="P351" t="n">
        <v>0</v>
      </c>
      <c r="Q351" t="n">
        <v>0</v>
      </c>
      <c r="R351" s="2" t="inlineStr"/>
    </row>
    <row r="352" ht="15" customHeight="1">
      <c r="A352" t="inlineStr">
        <is>
          <t>A 50754-2023</t>
        </is>
      </c>
      <c r="B352" s="1" t="n">
        <v>45217</v>
      </c>
      <c r="C352" s="1" t="n">
        <v>46111</v>
      </c>
      <c r="D352" t="inlineStr">
        <is>
          <t>ÖREBRO LÄN</t>
        </is>
      </c>
      <c r="E352" t="inlineStr">
        <is>
          <t>HÄLLEFORS</t>
        </is>
      </c>
      <c r="F352" t="inlineStr">
        <is>
          <t>Bergvik skog väst AB</t>
        </is>
      </c>
      <c r="G352" t="n">
        <v>5.8</v>
      </c>
      <c r="H352" t="n">
        <v>0</v>
      </c>
      <c r="I352" t="n">
        <v>0</v>
      </c>
      <c r="J352" t="n">
        <v>0</v>
      </c>
      <c r="K352" t="n">
        <v>0</v>
      </c>
      <c r="L352" t="n">
        <v>0</v>
      </c>
      <c r="M352" t="n">
        <v>0</v>
      </c>
      <c r="N352" t="n">
        <v>0</v>
      </c>
      <c r="O352" t="n">
        <v>0</v>
      </c>
      <c r="P352" t="n">
        <v>0</v>
      </c>
      <c r="Q352" t="n">
        <v>0</v>
      </c>
      <c r="R352" s="2" t="inlineStr"/>
    </row>
    <row r="353" ht="15" customHeight="1">
      <c r="A353" t="inlineStr">
        <is>
          <t>A 67843-2021</t>
        </is>
      </c>
      <c r="B353" s="1" t="n">
        <v>44525.47178240741</v>
      </c>
      <c r="C353" s="1" t="n">
        <v>46111</v>
      </c>
      <c r="D353" t="inlineStr">
        <is>
          <t>ÖREBRO LÄN</t>
        </is>
      </c>
      <c r="E353" t="inlineStr">
        <is>
          <t>HÄLLEFORS</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46111</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46111</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74464-2021</t>
        </is>
      </c>
      <c r="B356" s="1" t="n">
        <v>44560.52915509259</v>
      </c>
      <c r="C356" s="1" t="n">
        <v>46111</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46987-2023</t>
        </is>
      </c>
      <c r="B357" s="1" t="n">
        <v>45201</v>
      </c>
      <c r="C357" s="1" t="n">
        <v>46111</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13758-2023</t>
        </is>
      </c>
      <c r="B358" s="1" t="n">
        <v>45007.42528935185</v>
      </c>
      <c r="C358" s="1" t="n">
        <v>46111</v>
      </c>
      <c r="D358" t="inlineStr">
        <is>
          <t>ÖREBRO LÄN</t>
        </is>
      </c>
      <c r="E358" t="inlineStr">
        <is>
          <t>HÄLLEFORS</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19033-2021</t>
        </is>
      </c>
      <c r="B359" s="1" t="n">
        <v>44308</v>
      </c>
      <c r="C359" s="1" t="n">
        <v>46111</v>
      </c>
      <c r="D359" t="inlineStr">
        <is>
          <t>ÖREBRO LÄN</t>
        </is>
      </c>
      <c r="E359" t="inlineStr">
        <is>
          <t>HÄLLEFORS</t>
        </is>
      </c>
      <c r="G359" t="n">
        <v>7.8</v>
      </c>
      <c r="H359" t="n">
        <v>0</v>
      </c>
      <c r="I359" t="n">
        <v>0</v>
      </c>
      <c r="J359" t="n">
        <v>0</v>
      </c>
      <c r="K359" t="n">
        <v>0</v>
      </c>
      <c r="L359" t="n">
        <v>0</v>
      </c>
      <c r="M359" t="n">
        <v>0</v>
      </c>
      <c r="N359" t="n">
        <v>0</v>
      </c>
      <c r="O359" t="n">
        <v>0</v>
      </c>
      <c r="P359" t="n">
        <v>0</v>
      </c>
      <c r="Q359" t="n">
        <v>0</v>
      </c>
      <c r="R359" s="2" t="inlineStr"/>
    </row>
    <row r="360" ht="15" customHeight="1">
      <c r="A360" t="inlineStr">
        <is>
          <t>A 4353-2023</t>
        </is>
      </c>
      <c r="B360" s="1" t="n">
        <v>44954.27407407408</v>
      </c>
      <c r="C360" s="1" t="n">
        <v>46111</v>
      </c>
      <c r="D360" t="inlineStr">
        <is>
          <t>ÖREBRO LÄN</t>
        </is>
      </c>
      <c r="E360" t="inlineStr">
        <is>
          <t>HÄLLEFORS</t>
        </is>
      </c>
      <c r="G360" t="n">
        <v>0.5</v>
      </c>
      <c r="H360" t="n">
        <v>0</v>
      </c>
      <c r="I360" t="n">
        <v>0</v>
      </c>
      <c r="J360" t="n">
        <v>0</v>
      </c>
      <c r="K360" t="n">
        <v>0</v>
      </c>
      <c r="L360" t="n">
        <v>0</v>
      </c>
      <c r="M360" t="n">
        <v>0</v>
      </c>
      <c r="N360" t="n">
        <v>0</v>
      </c>
      <c r="O360" t="n">
        <v>0</v>
      </c>
      <c r="P360" t="n">
        <v>0</v>
      </c>
      <c r="Q360" t="n">
        <v>0</v>
      </c>
      <c r="R360" s="2" t="inlineStr"/>
    </row>
    <row r="361" ht="15" customHeight="1">
      <c r="A361" t="inlineStr">
        <is>
          <t>A 51488-2021</t>
        </is>
      </c>
      <c r="B361" s="1" t="n">
        <v>44460</v>
      </c>
      <c r="C361" s="1" t="n">
        <v>46111</v>
      </c>
      <c r="D361" t="inlineStr">
        <is>
          <t>ÖREBRO LÄN</t>
        </is>
      </c>
      <c r="E361" t="inlineStr">
        <is>
          <t>HÄLLEFORS</t>
        </is>
      </c>
      <c r="G361" t="n">
        <v>2.8</v>
      </c>
      <c r="H361" t="n">
        <v>0</v>
      </c>
      <c r="I361" t="n">
        <v>0</v>
      </c>
      <c r="J361" t="n">
        <v>0</v>
      </c>
      <c r="K361" t="n">
        <v>0</v>
      </c>
      <c r="L361" t="n">
        <v>0</v>
      </c>
      <c r="M361" t="n">
        <v>0</v>
      </c>
      <c r="N361" t="n">
        <v>0</v>
      </c>
      <c r="O361" t="n">
        <v>0</v>
      </c>
      <c r="P361" t="n">
        <v>0</v>
      </c>
      <c r="Q361" t="n">
        <v>0</v>
      </c>
      <c r="R361" s="2" t="inlineStr"/>
    </row>
    <row r="362" ht="15" customHeight="1">
      <c r="A362" t="inlineStr">
        <is>
          <t>A 44105-2024</t>
        </is>
      </c>
      <c r="B362" s="1" t="n">
        <v>45572.62980324074</v>
      </c>
      <c r="C362" s="1" t="n">
        <v>46111</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42920-2024</t>
        </is>
      </c>
      <c r="B363" s="1" t="n">
        <v>45567.29131944444</v>
      </c>
      <c r="C363" s="1" t="n">
        <v>46111</v>
      </c>
      <c r="D363" t="inlineStr">
        <is>
          <t>ÖREBRO LÄN</t>
        </is>
      </c>
      <c r="E363" t="inlineStr">
        <is>
          <t>HÄLLEFORS</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67027-2021</t>
        </is>
      </c>
      <c r="B364" s="1" t="n">
        <v>44522.66836805556</v>
      </c>
      <c r="C364" s="1" t="n">
        <v>46111</v>
      </c>
      <c r="D364" t="inlineStr">
        <is>
          <t>ÖREBRO LÄN</t>
        </is>
      </c>
      <c r="E364" t="inlineStr">
        <is>
          <t>HÄLLEFORS</t>
        </is>
      </c>
      <c r="G364" t="n">
        <v>1.7</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46111</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60518-2021</t>
        </is>
      </c>
      <c r="B366" s="1" t="n">
        <v>44496.5028125</v>
      </c>
      <c r="C366" s="1" t="n">
        <v>46111</v>
      </c>
      <c r="D366" t="inlineStr">
        <is>
          <t>ÖREBRO LÄN</t>
        </is>
      </c>
      <c r="E366" t="inlineStr">
        <is>
          <t>HÄLLEFORS</t>
        </is>
      </c>
      <c r="G366" t="n">
        <v>1.9</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46111</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18888-2025</t>
        </is>
      </c>
      <c r="B368" s="1" t="n">
        <v>45764.44396990741</v>
      </c>
      <c r="C368" s="1" t="n">
        <v>46111</v>
      </c>
      <c r="D368" t="inlineStr">
        <is>
          <t>ÖREBRO LÄN</t>
        </is>
      </c>
      <c r="E368" t="inlineStr">
        <is>
          <t>HÄLLEFORS</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30591-2024</t>
        </is>
      </c>
      <c r="B369" s="1" t="n">
        <v>45493.3153125</v>
      </c>
      <c r="C369" s="1" t="n">
        <v>46111</v>
      </c>
      <c r="D369" t="inlineStr">
        <is>
          <t>ÖREBRO LÄN</t>
        </is>
      </c>
      <c r="E369" t="inlineStr">
        <is>
          <t>HÄLLEFORS</t>
        </is>
      </c>
      <c r="G369" t="n">
        <v>12.5</v>
      </c>
      <c r="H369" t="n">
        <v>0</v>
      </c>
      <c r="I369" t="n">
        <v>0</v>
      </c>
      <c r="J369" t="n">
        <v>0</v>
      </c>
      <c r="K369" t="n">
        <v>0</v>
      </c>
      <c r="L369" t="n">
        <v>0</v>
      </c>
      <c r="M369" t="n">
        <v>0</v>
      </c>
      <c r="N369" t="n">
        <v>0</v>
      </c>
      <c r="O369" t="n">
        <v>0</v>
      </c>
      <c r="P369" t="n">
        <v>0</v>
      </c>
      <c r="Q369" t="n">
        <v>0</v>
      </c>
      <c r="R369" s="2" t="inlineStr"/>
    </row>
    <row r="370" ht="15" customHeight="1">
      <c r="A370" t="inlineStr">
        <is>
          <t>A 11467-2024</t>
        </is>
      </c>
      <c r="B370" s="1" t="n">
        <v>45372.59753472222</v>
      </c>
      <c r="C370" s="1" t="n">
        <v>46111</v>
      </c>
      <c r="D370" t="inlineStr">
        <is>
          <t>ÖREBRO LÄN</t>
        </is>
      </c>
      <c r="E370" t="inlineStr">
        <is>
          <t>HÄLLEFORS</t>
        </is>
      </c>
      <c r="G370" t="n">
        <v>1</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46111</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44052-2024</t>
        </is>
      </c>
      <c r="B372" s="1" t="n">
        <v>45572.59605324074</v>
      </c>
      <c r="C372" s="1" t="n">
        <v>46111</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46912-2023</t>
        </is>
      </c>
      <c r="B373" s="1" t="n">
        <v>45201</v>
      </c>
      <c r="C373" s="1" t="n">
        <v>46111</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2283-2023</t>
        </is>
      </c>
      <c r="B374" s="1" t="n">
        <v>44942</v>
      </c>
      <c r="C374" s="1" t="n">
        <v>46111</v>
      </c>
      <c r="D374" t="inlineStr">
        <is>
          <t>ÖREBRO LÄN</t>
        </is>
      </c>
      <c r="E374" t="inlineStr">
        <is>
          <t>HÄLLEFORS</t>
        </is>
      </c>
      <c r="G374" t="n">
        <v>3.2</v>
      </c>
      <c r="H374" t="n">
        <v>0</v>
      </c>
      <c r="I374" t="n">
        <v>0</v>
      </c>
      <c r="J374" t="n">
        <v>0</v>
      </c>
      <c r="K374" t="n">
        <v>0</v>
      </c>
      <c r="L374" t="n">
        <v>0</v>
      </c>
      <c r="M374" t="n">
        <v>0</v>
      </c>
      <c r="N374" t="n">
        <v>0</v>
      </c>
      <c r="O374" t="n">
        <v>0</v>
      </c>
      <c r="P374" t="n">
        <v>0</v>
      </c>
      <c r="Q374" t="n">
        <v>0</v>
      </c>
      <c r="R374" s="2" t="inlineStr"/>
    </row>
    <row r="375" ht="15" customHeight="1">
      <c r="A375" t="inlineStr">
        <is>
          <t>A 47190-2022</t>
        </is>
      </c>
      <c r="B375" s="1" t="n">
        <v>44852</v>
      </c>
      <c r="C375" s="1" t="n">
        <v>46111</v>
      </c>
      <c r="D375" t="inlineStr">
        <is>
          <t>ÖREBRO LÄN</t>
        </is>
      </c>
      <c r="E375" t="inlineStr">
        <is>
          <t>HÄLLEFORS</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9518-2023</t>
        </is>
      </c>
      <c r="B376" s="1" t="n">
        <v>44981</v>
      </c>
      <c r="C376" s="1" t="n">
        <v>46111</v>
      </c>
      <c r="D376" t="inlineStr">
        <is>
          <t>ÖREBRO LÄN</t>
        </is>
      </c>
      <c r="E376" t="inlineStr">
        <is>
          <t>HÄLLEFORS</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51213-2023</t>
        </is>
      </c>
      <c r="B377" s="1" t="n">
        <v>45219.44515046296</v>
      </c>
      <c r="C377" s="1" t="n">
        <v>46111</v>
      </c>
      <c r="D377" t="inlineStr">
        <is>
          <t>ÖREBRO LÄN</t>
        </is>
      </c>
      <c r="E377" t="inlineStr">
        <is>
          <t>HÄLLEFORS</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58499-2022</t>
        </is>
      </c>
      <c r="B378" s="1" t="n">
        <v>44902.3759375</v>
      </c>
      <c r="C378" s="1" t="n">
        <v>46111</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46980-2023</t>
        </is>
      </c>
      <c r="B379" s="1" t="n">
        <v>45201</v>
      </c>
      <c r="C379" s="1" t="n">
        <v>46111</v>
      </c>
      <c r="D379" t="inlineStr">
        <is>
          <t>ÖREBRO LÄN</t>
        </is>
      </c>
      <c r="E379" t="inlineStr">
        <is>
          <t>HÄLLEFORS</t>
        </is>
      </c>
      <c r="F379" t="inlineStr">
        <is>
          <t>Bergvik skog väst AB</t>
        </is>
      </c>
      <c r="G379" t="n">
        <v>7.5</v>
      </c>
      <c r="H379" t="n">
        <v>0</v>
      </c>
      <c r="I379" t="n">
        <v>0</v>
      </c>
      <c r="J379" t="n">
        <v>0</v>
      </c>
      <c r="K379" t="n">
        <v>0</v>
      </c>
      <c r="L379" t="n">
        <v>0</v>
      </c>
      <c r="M379" t="n">
        <v>0</v>
      </c>
      <c r="N379" t="n">
        <v>0</v>
      </c>
      <c r="O379" t="n">
        <v>0</v>
      </c>
      <c r="P379" t="n">
        <v>0</v>
      </c>
      <c r="Q379" t="n">
        <v>0</v>
      </c>
      <c r="R379" s="2" t="inlineStr"/>
    </row>
    <row r="380" ht="15" customHeight="1">
      <c r="A380" t="inlineStr">
        <is>
          <t>A 15771-2022</t>
        </is>
      </c>
      <c r="B380" s="1" t="n">
        <v>44663.63033564815</v>
      </c>
      <c r="C380" s="1" t="n">
        <v>46111</v>
      </c>
      <c r="D380" t="inlineStr">
        <is>
          <t>ÖREBRO LÄN</t>
        </is>
      </c>
      <c r="E380" t="inlineStr">
        <is>
          <t>HÄLLEFORS</t>
        </is>
      </c>
      <c r="F380" t="inlineStr">
        <is>
          <t>Bergvik skog väst AB</t>
        </is>
      </c>
      <c r="G380" t="n">
        <v>4.4</v>
      </c>
      <c r="H380" t="n">
        <v>0</v>
      </c>
      <c r="I380" t="n">
        <v>0</v>
      </c>
      <c r="J380" t="n">
        <v>0</v>
      </c>
      <c r="K380" t="n">
        <v>0</v>
      </c>
      <c r="L380" t="n">
        <v>0</v>
      </c>
      <c r="M380" t="n">
        <v>0</v>
      </c>
      <c r="N380" t="n">
        <v>0</v>
      </c>
      <c r="O380" t="n">
        <v>0</v>
      </c>
      <c r="P380" t="n">
        <v>0</v>
      </c>
      <c r="Q380" t="n">
        <v>0</v>
      </c>
      <c r="R380" s="2" t="inlineStr"/>
    </row>
    <row r="381" ht="15" customHeight="1">
      <c r="A381" t="inlineStr">
        <is>
          <t>A 60523-2024</t>
        </is>
      </c>
      <c r="B381" s="1" t="n">
        <v>45643.69060185185</v>
      </c>
      <c r="C381" s="1" t="n">
        <v>46111</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26537-2021</t>
        </is>
      </c>
      <c r="B382" s="1" t="n">
        <v>44348</v>
      </c>
      <c r="C382" s="1" t="n">
        <v>46111</v>
      </c>
      <c r="D382" t="inlineStr">
        <is>
          <t>ÖREBRO LÄN</t>
        </is>
      </c>
      <c r="E382" t="inlineStr">
        <is>
          <t>HÄLLEFORS</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21901-2023</t>
        </is>
      </c>
      <c r="B383" s="1" t="n">
        <v>45068.53265046296</v>
      </c>
      <c r="C383" s="1" t="n">
        <v>46111</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55397-2023</t>
        </is>
      </c>
      <c r="B384" s="1" t="n">
        <v>45238</v>
      </c>
      <c r="C384" s="1" t="n">
        <v>46111</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4716-2022</t>
        </is>
      </c>
      <c r="B385" s="1" t="n">
        <v>44592</v>
      </c>
      <c r="C385" s="1" t="n">
        <v>46111</v>
      </c>
      <c r="D385" t="inlineStr">
        <is>
          <t>ÖREBRO LÄN</t>
        </is>
      </c>
      <c r="E385" t="inlineStr">
        <is>
          <t>HÄLLEFORS</t>
        </is>
      </c>
      <c r="G385" t="n">
        <v>1.5</v>
      </c>
      <c r="H385" t="n">
        <v>0</v>
      </c>
      <c r="I385" t="n">
        <v>0</v>
      </c>
      <c r="J385" t="n">
        <v>0</v>
      </c>
      <c r="K385" t="n">
        <v>0</v>
      </c>
      <c r="L385" t="n">
        <v>0</v>
      </c>
      <c r="M385" t="n">
        <v>0</v>
      </c>
      <c r="N385" t="n">
        <v>0</v>
      </c>
      <c r="O385" t="n">
        <v>0</v>
      </c>
      <c r="P385" t="n">
        <v>0</v>
      </c>
      <c r="Q385" t="n">
        <v>0</v>
      </c>
      <c r="R385" s="2" t="inlineStr"/>
    </row>
    <row r="386" ht="15" customHeight="1">
      <c r="A386" t="inlineStr">
        <is>
          <t>A 43941-2023</t>
        </is>
      </c>
      <c r="B386" s="1" t="n">
        <v>45187</v>
      </c>
      <c r="C386" s="1" t="n">
        <v>46111</v>
      </c>
      <c r="D386" t="inlineStr">
        <is>
          <t>ÖREBRO LÄN</t>
        </is>
      </c>
      <c r="E386" t="inlineStr">
        <is>
          <t>HÄLLEFORS</t>
        </is>
      </c>
      <c r="G386" t="n">
        <v>1.5</v>
      </c>
      <c r="H386" t="n">
        <v>0</v>
      </c>
      <c r="I386" t="n">
        <v>0</v>
      </c>
      <c r="J386" t="n">
        <v>0</v>
      </c>
      <c r="K386" t="n">
        <v>0</v>
      </c>
      <c r="L386" t="n">
        <v>0</v>
      </c>
      <c r="M386" t="n">
        <v>0</v>
      </c>
      <c r="N386" t="n">
        <v>0</v>
      </c>
      <c r="O386" t="n">
        <v>0</v>
      </c>
      <c r="P386" t="n">
        <v>0</v>
      </c>
      <c r="Q386" t="n">
        <v>0</v>
      </c>
      <c r="R386" s="2" t="inlineStr"/>
    </row>
    <row r="387" ht="15" customHeight="1">
      <c r="A387" t="inlineStr">
        <is>
          <t>A 48429-2024</t>
        </is>
      </c>
      <c r="B387" s="1" t="n">
        <v>45590</v>
      </c>
      <c r="C387" s="1" t="n">
        <v>46111</v>
      </c>
      <c r="D387" t="inlineStr">
        <is>
          <t>ÖREBRO LÄN</t>
        </is>
      </c>
      <c r="E387" t="inlineStr">
        <is>
          <t>HÄLLEFORS</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16999-2024</t>
        </is>
      </c>
      <c r="B388" s="1" t="n">
        <v>45412.35543981481</v>
      </c>
      <c r="C388" s="1" t="n">
        <v>46111</v>
      </c>
      <c r="D388" t="inlineStr">
        <is>
          <t>ÖREBRO LÄN</t>
        </is>
      </c>
      <c r="E388" t="inlineStr">
        <is>
          <t>HÄLLEFORS</t>
        </is>
      </c>
      <c r="G388" t="n">
        <v>3.5</v>
      </c>
      <c r="H388" t="n">
        <v>0</v>
      </c>
      <c r="I388" t="n">
        <v>0</v>
      </c>
      <c r="J388" t="n">
        <v>0</v>
      </c>
      <c r="K388" t="n">
        <v>0</v>
      </c>
      <c r="L388" t="n">
        <v>0</v>
      </c>
      <c r="M388" t="n">
        <v>0</v>
      </c>
      <c r="N388" t="n">
        <v>0</v>
      </c>
      <c r="O388" t="n">
        <v>0</v>
      </c>
      <c r="P388" t="n">
        <v>0</v>
      </c>
      <c r="Q388" t="n">
        <v>0</v>
      </c>
      <c r="R388" s="2" t="inlineStr"/>
    </row>
    <row r="389" ht="15" customHeight="1">
      <c r="A389" t="inlineStr">
        <is>
          <t>A 12559-2025</t>
        </is>
      </c>
      <c r="B389" s="1" t="n">
        <v>45731.47399305556</v>
      </c>
      <c r="C389" s="1" t="n">
        <v>46111</v>
      </c>
      <c r="D389" t="inlineStr">
        <is>
          <t>ÖREBRO LÄN</t>
        </is>
      </c>
      <c r="E389" t="inlineStr">
        <is>
          <t>HÄLLEFORS</t>
        </is>
      </c>
      <c r="G389" t="n">
        <v>2.4</v>
      </c>
      <c r="H389" t="n">
        <v>0</v>
      </c>
      <c r="I389" t="n">
        <v>0</v>
      </c>
      <c r="J389" t="n">
        <v>0</v>
      </c>
      <c r="K389" t="n">
        <v>0</v>
      </c>
      <c r="L389" t="n">
        <v>0</v>
      </c>
      <c r="M389" t="n">
        <v>0</v>
      </c>
      <c r="N389" t="n">
        <v>0</v>
      </c>
      <c r="O389" t="n">
        <v>0</v>
      </c>
      <c r="P389" t="n">
        <v>0</v>
      </c>
      <c r="Q389" t="n">
        <v>0</v>
      </c>
      <c r="R389" s="2" t="inlineStr"/>
    </row>
    <row r="390" ht="15" customHeight="1">
      <c r="A390" t="inlineStr">
        <is>
          <t>A 5762-2024</t>
        </is>
      </c>
      <c r="B390" s="1" t="n">
        <v>45335</v>
      </c>
      <c r="C390" s="1" t="n">
        <v>46111</v>
      </c>
      <c r="D390" t="inlineStr">
        <is>
          <t>ÖREBRO LÄN</t>
        </is>
      </c>
      <c r="E390" t="inlineStr">
        <is>
          <t>HÄLLEFORS</t>
        </is>
      </c>
      <c r="G390" t="n">
        <v>12.1</v>
      </c>
      <c r="H390" t="n">
        <v>0</v>
      </c>
      <c r="I390" t="n">
        <v>0</v>
      </c>
      <c r="J390" t="n">
        <v>0</v>
      </c>
      <c r="K390" t="n">
        <v>0</v>
      </c>
      <c r="L390" t="n">
        <v>0</v>
      </c>
      <c r="M390" t="n">
        <v>0</v>
      </c>
      <c r="N390" t="n">
        <v>0</v>
      </c>
      <c r="O390" t="n">
        <v>0</v>
      </c>
      <c r="P390" t="n">
        <v>0</v>
      </c>
      <c r="Q390" t="n">
        <v>0</v>
      </c>
      <c r="R390" s="2" t="inlineStr"/>
    </row>
    <row r="391" ht="15" customHeight="1">
      <c r="A391" t="inlineStr">
        <is>
          <t>A 37542-2024</t>
        </is>
      </c>
      <c r="B391" s="1" t="n">
        <v>45541.42298611111</v>
      </c>
      <c r="C391" s="1" t="n">
        <v>46111</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row r="392" ht="15" customHeight="1">
      <c r="A392" t="inlineStr">
        <is>
          <t>A 55099-2024</t>
        </is>
      </c>
      <c r="B392" s="1" t="n">
        <v>45621</v>
      </c>
      <c r="C392" s="1" t="n">
        <v>46111</v>
      </c>
      <c r="D392" t="inlineStr">
        <is>
          <t>ÖREBRO LÄN</t>
        </is>
      </c>
      <c r="E392" t="inlineStr">
        <is>
          <t>HÄLLEFORS</t>
        </is>
      </c>
      <c r="G392" t="n">
        <v>0.8</v>
      </c>
      <c r="H392" t="n">
        <v>0</v>
      </c>
      <c r="I392" t="n">
        <v>0</v>
      </c>
      <c r="J392" t="n">
        <v>0</v>
      </c>
      <c r="K392" t="n">
        <v>0</v>
      </c>
      <c r="L392" t="n">
        <v>0</v>
      </c>
      <c r="M392" t="n">
        <v>0</v>
      </c>
      <c r="N392" t="n">
        <v>0</v>
      </c>
      <c r="O392" t="n">
        <v>0</v>
      </c>
      <c r="P392" t="n">
        <v>0</v>
      </c>
      <c r="Q392" t="n">
        <v>0</v>
      </c>
      <c r="R392" s="2" t="inlineStr"/>
    </row>
    <row r="393" ht="15" customHeight="1">
      <c r="A393" t="inlineStr">
        <is>
          <t>A 9537-2025</t>
        </is>
      </c>
      <c r="B393" s="1" t="n">
        <v>45715.57903935185</v>
      </c>
      <c r="C393" s="1" t="n">
        <v>46111</v>
      </c>
      <c r="D393" t="inlineStr">
        <is>
          <t>ÖREBRO LÄN</t>
        </is>
      </c>
      <c r="E393" t="inlineStr">
        <is>
          <t>HÄLLEFORS</t>
        </is>
      </c>
      <c r="G393" t="n">
        <v>2.7</v>
      </c>
      <c r="H393" t="n">
        <v>0</v>
      </c>
      <c r="I393" t="n">
        <v>0</v>
      </c>
      <c r="J393" t="n">
        <v>0</v>
      </c>
      <c r="K393" t="n">
        <v>0</v>
      </c>
      <c r="L393" t="n">
        <v>0</v>
      </c>
      <c r="M393" t="n">
        <v>0</v>
      </c>
      <c r="N393" t="n">
        <v>0</v>
      </c>
      <c r="O393" t="n">
        <v>0</v>
      </c>
      <c r="P393" t="n">
        <v>0</v>
      </c>
      <c r="Q393" t="n">
        <v>0</v>
      </c>
      <c r="R393" s="2" t="inlineStr"/>
    </row>
    <row r="394" ht="15" customHeight="1">
      <c r="A394" t="inlineStr">
        <is>
          <t>A 18715-2025</t>
        </is>
      </c>
      <c r="B394" s="1" t="n">
        <v>45763.64383101852</v>
      </c>
      <c r="C394" s="1" t="n">
        <v>46111</v>
      </c>
      <c r="D394" t="inlineStr">
        <is>
          <t>ÖREBRO LÄN</t>
        </is>
      </c>
      <c r="E394" t="inlineStr">
        <is>
          <t>HÄLLEFORS</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14669-2025</t>
        </is>
      </c>
      <c r="B395" s="1" t="n">
        <v>45742.55043981481</v>
      </c>
      <c r="C395" s="1" t="n">
        <v>46111</v>
      </c>
      <c r="D395" t="inlineStr">
        <is>
          <t>ÖREBRO LÄN</t>
        </is>
      </c>
      <c r="E395" t="inlineStr">
        <is>
          <t>HÄLLEFORS</t>
        </is>
      </c>
      <c r="G395" t="n">
        <v>0.8</v>
      </c>
      <c r="H395" t="n">
        <v>0</v>
      </c>
      <c r="I395" t="n">
        <v>0</v>
      </c>
      <c r="J395" t="n">
        <v>0</v>
      </c>
      <c r="K395" t="n">
        <v>0</v>
      </c>
      <c r="L395" t="n">
        <v>0</v>
      </c>
      <c r="M395" t="n">
        <v>0</v>
      </c>
      <c r="N395" t="n">
        <v>0</v>
      </c>
      <c r="O395" t="n">
        <v>0</v>
      </c>
      <c r="P395" t="n">
        <v>0</v>
      </c>
      <c r="Q395" t="n">
        <v>0</v>
      </c>
      <c r="R395" s="2" t="inlineStr"/>
    </row>
    <row r="396" ht="15" customHeight="1">
      <c r="A396" t="inlineStr">
        <is>
          <t>A 46642-2024</t>
        </is>
      </c>
      <c r="B396" s="1" t="n">
        <v>45583.34902777777</v>
      </c>
      <c r="C396" s="1" t="n">
        <v>46111</v>
      </c>
      <c r="D396" t="inlineStr">
        <is>
          <t>ÖREBRO LÄN</t>
        </is>
      </c>
      <c r="E396" t="inlineStr">
        <is>
          <t>HÄLLEFORS</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20670-2025</t>
        </is>
      </c>
      <c r="B397" s="1" t="n">
        <v>45776.43351851852</v>
      </c>
      <c r="C397" s="1" t="n">
        <v>46111</v>
      </c>
      <c r="D397" t="inlineStr">
        <is>
          <t>ÖREBRO LÄN</t>
        </is>
      </c>
      <c r="E397" t="inlineStr">
        <is>
          <t>HÄLLEFORS</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21050-2025</t>
        </is>
      </c>
      <c r="B398" s="1" t="n">
        <v>45777.56322916667</v>
      </c>
      <c r="C398" s="1" t="n">
        <v>46111</v>
      </c>
      <c r="D398" t="inlineStr">
        <is>
          <t>ÖREBRO LÄN</t>
        </is>
      </c>
      <c r="E398" t="inlineStr">
        <is>
          <t>HÄLLEFORS</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20951-2025</t>
        </is>
      </c>
      <c r="B399" s="1" t="n">
        <v>45777.43930555556</v>
      </c>
      <c r="C399" s="1" t="n">
        <v>46111</v>
      </c>
      <c r="D399" t="inlineStr">
        <is>
          <t>ÖREBRO LÄN</t>
        </is>
      </c>
      <c r="E399" t="inlineStr">
        <is>
          <t>HÄLLEFORS</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21099-2025</t>
        </is>
      </c>
      <c r="B400" s="1" t="n">
        <v>45777.64827546296</v>
      </c>
      <c r="C400" s="1" t="n">
        <v>46111</v>
      </c>
      <c r="D400" t="inlineStr">
        <is>
          <t>ÖREBRO LÄN</t>
        </is>
      </c>
      <c r="E400" t="inlineStr">
        <is>
          <t>HÄLLEFORS</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18878-2025</t>
        </is>
      </c>
      <c r="B401" s="1" t="n">
        <v>45764</v>
      </c>
      <c r="C401" s="1" t="n">
        <v>46111</v>
      </c>
      <c r="D401" t="inlineStr">
        <is>
          <t>ÖREBRO LÄN</t>
        </is>
      </c>
      <c r="E401" t="inlineStr">
        <is>
          <t>HÄLLEFORS</t>
        </is>
      </c>
      <c r="G401" t="n">
        <v>1.4</v>
      </c>
      <c r="H401" t="n">
        <v>0</v>
      </c>
      <c r="I401" t="n">
        <v>0</v>
      </c>
      <c r="J401" t="n">
        <v>0</v>
      </c>
      <c r="K401" t="n">
        <v>0</v>
      </c>
      <c r="L401" t="n">
        <v>0</v>
      </c>
      <c r="M401" t="n">
        <v>0</v>
      </c>
      <c r="N401" t="n">
        <v>0</v>
      </c>
      <c r="O401" t="n">
        <v>0</v>
      </c>
      <c r="P401" t="n">
        <v>0</v>
      </c>
      <c r="Q401" t="n">
        <v>0</v>
      </c>
      <c r="R401" s="2" t="inlineStr"/>
    </row>
    <row r="402" ht="15" customHeight="1">
      <c r="A402" t="inlineStr">
        <is>
          <t>A 18790-2025</t>
        </is>
      </c>
      <c r="B402" s="1" t="n">
        <v>45764</v>
      </c>
      <c r="C402" s="1" t="n">
        <v>46111</v>
      </c>
      <c r="D402" t="inlineStr">
        <is>
          <t>ÖREBRO LÄN</t>
        </is>
      </c>
      <c r="E402" t="inlineStr">
        <is>
          <t>HÄLLEFORS</t>
        </is>
      </c>
      <c r="G402" t="n">
        <v>14.9</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46111</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46111</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18891-2025</t>
        </is>
      </c>
      <c r="B405" s="1" t="n">
        <v>45764</v>
      </c>
      <c r="C405" s="1" t="n">
        <v>46111</v>
      </c>
      <c r="D405" t="inlineStr">
        <is>
          <t>ÖREBRO LÄN</t>
        </is>
      </c>
      <c r="E405" t="inlineStr">
        <is>
          <t>HÄLLEFORS</t>
        </is>
      </c>
      <c r="G405" t="n">
        <v>2.2</v>
      </c>
      <c r="H405" t="n">
        <v>0</v>
      </c>
      <c r="I405" t="n">
        <v>0</v>
      </c>
      <c r="J405" t="n">
        <v>0</v>
      </c>
      <c r="K405" t="n">
        <v>0</v>
      </c>
      <c r="L405" t="n">
        <v>0</v>
      </c>
      <c r="M405" t="n">
        <v>0</v>
      </c>
      <c r="N405" t="n">
        <v>0</v>
      </c>
      <c r="O405" t="n">
        <v>0</v>
      </c>
      <c r="P405" t="n">
        <v>0</v>
      </c>
      <c r="Q405" t="n">
        <v>0</v>
      </c>
      <c r="R405" s="2" t="inlineStr"/>
    </row>
    <row r="406" ht="15" customHeight="1">
      <c r="A406" t="inlineStr">
        <is>
          <t>A 21853-2025</t>
        </is>
      </c>
      <c r="B406" s="1" t="n">
        <v>45784.34652777778</v>
      </c>
      <c r="C406" s="1" t="n">
        <v>46111</v>
      </c>
      <c r="D406" t="inlineStr">
        <is>
          <t>ÖREBRO LÄN</t>
        </is>
      </c>
      <c r="E406" t="inlineStr">
        <is>
          <t>HÄLLEFORS</t>
        </is>
      </c>
      <c r="G406" t="n">
        <v>23.4</v>
      </c>
      <c r="H406" t="n">
        <v>0</v>
      </c>
      <c r="I406" t="n">
        <v>0</v>
      </c>
      <c r="J406" t="n">
        <v>0</v>
      </c>
      <c r="K406" t="n">
        <v>0</v>
      </c>
      <c r="L406" t="n">
        <v>0</v>
      </c>
      <c r="M406" t="n">
        <v>0</v>
      </c>
      <c r="N406" t="n">
        <v>0</v>
      </c>
      <c r="O406" t="n">
        <v>0</v>
      </c>
      <c r="P406" t="n">
        <v>0</v>
      </c>
      <c r="Q406" t="n">
        <v>0</v>
      </c>
      <c r="R406" s="2" t="inlineStr"/>
    </row>
    <row r="407" ht="15" customHeight="1">
      <c r="A407" t="inlineStr">
        <is>
          <t>A 17112-2025</t>
        </is>
      </c>
      <c r="B407" s="1" t="n">
        <v>45755</v>
      </c>
      <c r="C407" s="1" t="n">
        <v>46111</v>
      </c>
      <c r="D407" t="inlineStr">
        <is>
          <t>ÖREBRO LÄN</t>
        </is>
      </c>
      <c r="E407" t="inlineStr">
        <is>
          <t>HÄLLEFORS</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30307-2024</t>
        </is>
      </c>
      <c r="B408" s="1" t="n">
        <v>45490.70074074074</v>
      </c>
      <c r="C408" s="1" t="n">
        <v>46111</v>
      </c>
      <c r="D408" t="inlineStr">
        <is>
          <t>ÖREBRO LÄN</t>
        </is>
      </c>
      <c r="E408" t="inlineStr">
        <is>
          <t>HÄLLEFORS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45694-2023</t>
        </is>
      </c>
      <c r="B409" s="1" t="n">
        <v>45195</v>
      </c>
      <c r="C409" s="1" t="n">
        <v>46111</v>
      </c>
      <c r="D409" t="inlineStr">
        <is>
          <t>ÖREBRO LÄN</t>
        </is>
      </c>
      <c r="E409" t="inlineStr">
        <is>
          <t>HÄLLEFORS</t>
        </is>
      </c>
      <c r="G409" t="n">
        <v>10.8</v>
      </c>
      <c r="H409" t="n">
        <v>0</v>
      </c>
      <c r="I409" t="n">
        <v>0</v>
      </c>
      <c r="J409" t="n">
        <v>0</v>
      </c>
      <c r="K409" t="n">
        <v>0</v>
      </c>
      <c r="L409" t="n">
        <v>0</v>
      </c>
      <c r="M409" t="n">
        <v>0</v>
      </c>
      <c r="N409" t="n">
        <v>0</v>
      </c>
      <c r="O409" t="n">
        <v>0</v>
      </c>
      <c r="P409" t="n">
        <v>0</v>
      </c>
      <c r="Q409" t="n">
        <v>0</v>
      </c>
      <c r="R409" s="2" t="inlineStr"/>
    </row>
    <row r="410" ht="15" customHeight="1">
      <c r="A410" t="inlineStr">
        <is>
          <t>A 18168-2024</t>
        </is>
      </c>
      <c r="B410" s="1" t="n">
        <v>45420</v>
      </c>
      <c r="C410" s="1" t="n">
        <v>46111</v>
      </c>
      <c r="D410" t="inlineStr">
        <is>
          <t>ÖREBRO LÄN</t>
        </is>
      </c>
      <c r="E410" t="inlineStr">
        <is>
          <t>HÄLLEFORS</t>
        </is>
      </c>
      <c r="G410" t="n">
        <v>1.4</v>
      </c>
      <c r="H410" t="n">
        <v>0</v>
      </c>
      <c r="I410" t="n">
        <v>0</v>
      </c>
      <c r="J410" t="n">
        <v>0</v>
      </c>
      <c r="K410" t="n">
        <v>0</v>
      </c>
      <c r="L410" t="n">
        <v>0</v>
      </c>
      <c r="M410" t="n">
        <v>0</v>
      </c>
      <c r="N410" t="n">
        <v>0</v>
      </c>
      <c r="O410" t="n">
        <v>0</v>
      </c>
      <c r="P410" t="n">
        <v>0</v>
      </c>
      <c r="Q410" t="n">
        <v>0</v>
      </c>
      <c r="R410" s="2" t="inlineStr"/>
    </row>
    <row r="411" ht="15" customHeight="1">
      <c r="A411" t="inlineStr">
        <is>
          <t>A 21852-2025</t>
        </is>
      </c>
      <c r="B411" s="1" t="n">
        <v>45784</v>
      </c>
      <c r="C411" s="1" t="n">
        <v>46111</v>
      </c>
      <c r="D411" t="inlineStr">
        <is>
          <t>ÖREBRO LÄN</t>
        </is>
      </c>
      <c r="E411" t="inlineStr">
        <is>
          <t>HÄLLEFORS</t>
        </is>
      </c>
      <c r="G411" t="n">
        <v>4.2</v>
      </c>
      <c r="H411" t="n">
        <v>0</v>
      </c>
      <c r="I411" t="n">
        <v>0</v>
      </c>
      <c r="J411" t="n">
        <v>0</v>
      </c>
      <c r="K411" t="n">
        <v>0</v>
      </c>
      <c r="L411" t="n">
        <v>0</v>
      </c>
      <c r="M411" t="n">
        <v>0</v>
      </c>
      <c r="N411" t="n">
        <v>0</v>
      </c>
      <c r="O411" t="n">
        <v>0</v>
      </c>
      <c r="P411" t="n">
        <v>0</v>
      </c>
      <c r="Q411" t="n">
        <v>0</v>
      </c>
      <c r="R411" s="2" t="inlineStr"/>
    </row>
    <row r="412">
      <c r="A412" t="inlineStr">
        <is>
          <t>A 53340-2024</t>
        </is>
      </c>
      <c r="B412" s="1" t="n">
        <v>45614.43358796297</v>
      </c>
      <c r="C412" s="1" t="n">
        <v>46111</v>
      </c>
      <c r="D412" t="inlineStr">
        <is>
          <t>ÖREBRO LÄN</t>
        </is>
      </c>
      <c r="E412" t="inlineStr">
        <is>
          <t>HÄLLEFORS</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2026-03-30T10:51:55Z</dcterms:created>
  <dcterms:modified xmlns:dcterms="http://purl.org/dc/terms/" xmlns:xsi="http://www.w3.org/2001/XMLSchema-instance" xsi:type="dcterms:W3CDTF">2026-03-30T10:51:56Z</dcterms:modified>
</cp:coreProperties>
</file>