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46060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46060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46060</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44402-2025</t>
        </is>
      </c>
      <c r="B12" s="1" t="n">
        <v>45916.51012731482</v>
      </c>
      <c r="C12" s="1" t="n">
        <v>46060</v>
      </c>
      <c r="D12" t="inlineStr">
        <is>
          <t>ÖREBRO LÄN</t>
        </is>
      </c>
      <c r="E12" t="inlineStr">
        <is>
          <t>HÄLLEFORS</t>
        </is>
      </c>
      <c r="F12" t="inlineStr">
        <is>
          <t>Bergvik skog väst AB</t>
        </is>
      </c>
      <c r="G12" t="n">
        <v>1.8</v>
      </c>
      <c r="H12" t="n">
        <v>0</v>
      </c>
      <c r="I12" t="n">
        <v>1</v>
      </c>
      <c r="J12" t="n">
        <v>1</v>
      </c>
      <c r="K12" t="n">
        <v>0</v>
      </c>
      <c r="L12" t="n">
        <v>0</v>
      </c>
      <c r="M12" t="n">
        <v>0</v>
      </c>
      <c r="N12" t="n">
        <v>0</v>
      </c>
      <c r="O12" t="n">
        <v>1</v>
      </c>
      <c r="P12" t="n">
        <v>0</v>
      </c>
      <c r="Q12" t="n">
        <v>2</v>
      </c>
      <c r="R12" s="2" t="inlineStr">
        <is>
          <t>Garnlav
Vedticka</t>
        </is>
      </c>
      <c r="S12">
        <f>HYPERLINK("https://klasma.github.io/Logging_1863/artfynd/A 44402-2025 artfynd.xlsx", "A 44402-2025")</f>
        <v/>
      </c>
      <c r="T12">
        <f>HYPERLINK("https://klasma.github.io/Logging_1863/kartor/A 44402-2025 karta.png", "A 44402-2025")</f>
        <v/>
      </c>
      <c r="V12">
        <f>HYPERLINK("https://klasma.github.io/Logging_1863/klagomål/A 44402-2025 FSC-klagomål.docx", "A 44402-2025")</f>
        <v/>
      </c>
      <c r="W12">
        <f>HYPERLINK("https://klasma.github.io/Logging_1863/klagomålsmail/A 44402-2025 FSC-klagomål mail.docx", "A 44402-2025")</f>
        <v/>
      </c>
      <c r="X12">
        <f>HYPERLINK("https://klasma.github.io/Logging_1863/tillsyn/A 44402-2025 tillsynsbegäran.docx", "A 44402-2025")</f>
        <v/>
      </c>
      <c r="Y12">
        <f>HYPERLINK("https://klasma.github.io/Logging_1863/tillsynsmail/A 44402-2025 tillsynsbegäran mail.docx", "A 44402-2025")</f>
        <v/>
      </c>
    </row>
    <row r="13" ht="15" customHeight="1">
      <c r="A13" t="inlineStr">
        <is>
          <t>A 44397-2025</t>
        </is>
      </c>
      <c r="B13" s="1" t="n">
        <v>45916.50061342592</v>
      </c>
      <c r="C13" s="1" t="n">
        <v>46060</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61590-2024</t>
        </is>
      </c>
      <c r="B14" s="1" t="n">
        <v>45646.63039351852</v>
      </c>
      <c r="C14" s="1" t="n">
        <v>46060</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34050-2025</t>
        </is>
      </c>
      <c r="B15" s="1" t="n">
        <v>45845.40576388889</v>
      </c>
      <c r="C15" s="1" t="n">
        <v>46060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46060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37259-2024</t>
        </is>
      </c>
      <c r="B17" s="1" t="n">
        <v>45540.37113425926</v>
      </c>
      <c r="C17" s="1" t="n">
        <v>46060</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59521-2025</t>
        </is>
      </c>
      <c r="B18" s="1" t="n">
        <v>45989.65802083333</v>
      </c>
      <c r="C18" s="1" t="n">
        <v>46060</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46060</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46060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46060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46060</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46060</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18617-2025</t>
        </is>
      </c>
      <c r="B26" s="1" t="n">
        <v>45763.51037037037</v>
      </c>
      <c r="C26" s="1" t="n">
        <v>46060</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46060</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16923-2025</t>
        </is>
      </c>
      <c r="B28" s="1" t="n">
        <v>45755.38237268518</v>
      </c>
      <c r="C28" s="1" t="n">
        <v>46060</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46060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46060</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46060</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46060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46060</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46060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39876-2022</t>
        </is>
      </c>
      <c r="B39" s="1" t="n">
        <v>44819</v>
      </c>
      <c r="C39" s="1" t="n">
        <v>46060</v>
      </c>
      <c r="D39" t="inlineStr">
        <is>
          <t>ÖREBRO LÄN</t>
        </is>
      </c>
      <c r="E39" t="inlineStr">
        <is>
          <t>HÄLLEFORS</t>
        </is>
      </c>
      <c r="F39" t="inlineStr">
        <is>
          <t>Sveaskog</t>
        </is>
      </c>
      <c r="G39" t="n">
        <v>1.3</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46060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46060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46060</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46060</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46060</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46060</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46060</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46060</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46060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46060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46060</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46060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46060</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46060</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46060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46060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46060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46060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46060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46060</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46060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46060</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46060</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46060</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46060</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46060</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46060</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46060</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46060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46060</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46060</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46060</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46060</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46060</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46060</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46060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46060</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46060</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46060</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46060</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46060</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46060</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46060</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46060</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46060</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46060</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46060</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74464-2021</t>
        </is>
      </c>
      <c r="B88" s="1" t="n">
        <v>44560.52915509259</v>
      </c>
      <c r="C88" s="1" t="n">
        <v>46060</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13758-2023</t>
        </is>
      </c>
      <c r="B89" s="1" t="n">
        <v>45007.42528935185</v>
      </c>
      <c r="C89" s="1" t="n">
        <v>46060</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46060</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46060</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46060</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46060</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46060</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46060</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46060</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46060</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38010-2024</t>
        </is>
      </c>
      <c r="B98" s="1" t="n">
        <v>45544.62276620371</v>
      </c>
      <c r="C98" s="1" t="n">
        <v>46060</v>
      </c>
      <c r="D98" t="inlineStr">
        <is>
          <t>ÖREBRO LÄN</t>
        </is>
      </c>
      <c r="E98" t="inlineStr">
        <is>
          <t>HÄLLEFORS</t>
        </is>
      </c>
      <c r="G98" t="n">
        <v>22.7</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46060</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35191-2023</t>
        </is>
      </c>
      <c r="B100" s="1" t="n">
        <v>45145.61096064815</v>
      </c>
      <c r="C100" s="1" t="n">
        <v>46060</v>
      </c>
      <c r="D100" t="inlineStr">
        <is>
          <t>ÖREBRO LÄN</t>
        </is>
      </c>
      <c r="E100" t="inlineStr">
        <is>
          <t>HÄLLEFORS</t>
        </is>
      </c>
      <c r="F100" t="inlineStr">
        <is>
          <t>Bergvik skog väst AB</t>
        </is>
      </c>
      <c r="G100" t="n">
        <v>3.8</v>
      </c>
      <c r="H100" t="n">
        <v>0</v>
      </c>
      <c r="I100" t="n">
        <v>0</v>
      </c>
      <c r="J100" t="n">
        <v>0</v>
      </c>
      <c r="K100" t="n">
        <v>0</v>
      </c>
      <c r="L100" t="n">
        <v>0</v>
      </c>
      <c r="M100" t="n">
        <v>0</v>
      </c>
      <c r="N100" t="n">
        <v>0</v>
      </c>
      <c r="O100" t="n">
        <v>0</v>
      </c>
      <c r="P100" t="n">
        <v>0</v>
      </c>
      <c r="Q100" t="n">
        <v>0</v>
      </c>
      <c r="R100" s="2" t="inlineStr"/>
    </row>
    <row r="101" ht="15" customHeight="1">
      <c r="A101" t="inlineStr">
        <is>
          <t>A 16927-2025</t>
        </is>
      </c>
      <c r="B101" s="1" t="n">
        <v>45755.39212962963</v>
      </c>
      <c r="C101" s="1" t="n">
        <v>46060</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46060</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44088-2024</t>
        </is>
      </c>
      <c r="B103" s="1" t="n">
        <v>45572.61984953703</v>
      </c>
      <c r="C103" s="1" t="n">
        <v>46060</v>
      </c>
      <c r="D103" t="inlineStr">
        <is>
          <t>ÖREBRO LÄN</t>
        </is>
      </c>
      <c r="E103" t="inlineStr">
        <is>
          <t>HÄLLEFORS</t>
        </is>
      </c>
      <c r="G103" t="n">
        <v>4</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46060</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46060</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29662-2022</t>
        </is>
      </c>
      <c r="B106" s="1" t="n">
        <v>44754</v>
      </c>
      <c r="C106" s="1" t="n">
        <v>46060</v>
      </c>
      <c r="D106" t="inlineStr">
        <is>
          <t>ÖREBRO LÄN</t>
        </is>
      </c>
      <c r="E106" t="inlineStr">
        <is>
          <t>HÄLLEFORS</t>
        </is>
      </c>
      <c r="F106" t="inlineStr">
        <is>
          <t>Bergvik skog väst AB</t>
        </is>
      </c>
      <c r="G106" t="n">
        <v>1.8</v>
      </c>
      <c r="H106" t="n">
        <v>0</v>
      </c>
      <c r="I106" t="n">
        <v>0</v>
      </c>
      <c r="J106" t="n">
        <v>0</v>
      </c>
      <c r="K106" t="n">
        <v>0</v>
      </c>
      <c r="L106" t="n">
        <v>0</v>
      </c>
      <c r="M106" t="n">
        <v>0</v>
      </c>
      <c r="N106" t="n">
        <v>0</v>
      </c>
      <c r="O106" t="n">
        <v>0</v>
      </c>
      <c r="P106" t="n">
        <v>0</v>
      </c>
      <c r="Q106" t="n">
        <v>0</v>
      </c>
      <c r="R106" s="2" t="inlineStr"/>
    </row>
    <row r="107" ht="15" customHeight="1">
      <c r="A107" t="inlineStr">
        <is>
          <t>A 49709-2023</t>
        </is>
      </c>
      <c r="B107" s="1" t="n">
        <v>45212</v>
      </c>
      <c r="C107" s="1" t="n">
        <v>46060</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20170-2023</t>
        </is>
      </c>
      <c r="B108" s="1" t="n">
        <v>45055</v>
      </c>
      <c r="C108" s="1" t="n">
        <v>46060</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46060</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46060</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15073-2022</t>
        </is>
      </c>
      <c r="B111" s="1" t="n">
        <v>44657</v>
      </c>
      <c r="C111" s="1" t="n">
        <v>46060</v>
      </c>
      <c r="D111" t="inlineStr">
        <is>
          <t>ÖREBRO LÄN</t>
        </is>
      </c>
      <c r="E111" t="inlineStr">
        <is>
          <t>HÄLLEFORS</t>
        </is>
      </c>
      <c r="G111" t="n">
        <v>2.3</v>
      </c>
      <c r="H111" t="n">
        <v>0</v>
      </c>
      <c r="I111" t="n">
        <v>0</v>
      </c>
      <c r="J111" t="n">
        <v>0</v>
      </c>
      <c r="K111" t="n">
        <v>0</v>
      </c>
      <c r="L111" t="n">
        <v>0</v>
      </c>
      <c r="M111" t="n">
        <v>0</v>
      </c>
      <c r="N111" t="n">
        <v>0</v>
      </c>
      <c r="O111" t="n">
        <v>0</v>
      </c>
      <c r="P111" t="n">
        <v>0</v>
      </c>
      <c r="Q111" t="n">
        <v>0</v>
      </c>
      <c r="R111" s="2" t="inlineStr"/>
    </row>
    <row r="112" ht="15" customHeight="1">
      <c r="A112" t="inlineStr">
        <is>
          <t>A 39031-2022</t>
        </is>
      </c>
      <c r="B112" s="1" t="n">
        <v>44817.34144675926</v>
      </c>
      <c r="C112" s="1" t="n">
        <v>46060</v>
      </c>
      <c r="D112" t="inlineStr">
        <is>
          <t>ÖREBRO LÄN</t>
        </is>
      </c>
      <c r="E112" t="inlineStr">
        <is>
          <t>HÄLLEFORS</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5045-2025</t>
        </is>
      </c>
      <c r="B113" s="1" t="n">
        <v>45691.44689814815</v>
      </c>
      <c r="C113" s="1" t="n">
        <v>46060</v>
      </c>
      <c r="D113" t="inlineStr">
        <is>
          <t>ÖREBRO LÄN</t>
        </is>
      </c>
      <c r="E113" t="inlineStr">
        <is>
          <t>HÄLLEFORS</t>
        </is>
      </c>
      <c r="F113" t="inlineStr">
        <is>
          <t>Bergvik skog väst AB</t>
        </is>
      </c>
      <c r="G113" t="n">
        <v>6.4</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46060</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67843-2021</t>
        </is>
      </c>
      <c r="B115" s="1" t="n">
        <v>44525.47178240741</v>
      </c>
      <c r="C115" s="1" t="n">
        <v>46060</v>
      </c>
      <c r="D115" t="inlineStr">
        <is>
          <t>ÖREBRO LÄN</t>
        </is>
      </c>
      <c r="E115" t="inlineStr">
        <is>
          <t>HÄLLEFORS</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39926-2025</t>
        </is>
      </c>
      <c r="B116" s="1" t="n">
        <v>45891.68451388889</v>
      </c>
      <c r="C116" s="1" t="n">
        <v>46060</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12511-2025</t>
        </is>
      </c>
      <c r="B117" s="1" t="n">
        <v>45730.6371412037</v>
      </c>
      <c r="C117" s="1" t="n">
        <v>46060</v>
      </c>
      <c r="D117" t="inlineStr">
        <is>
          <t>ÖREBRO LÄN</t>
        </is>
      </c>
      <c r="E117" t="inlineStr">
        <is>
          <t>HÄLLEFORS</t>
        </is>
      </c>
      <c r="G117" t="n">
        <v>0.7</v>
      </c>
      <c r="H117" t="n">
        <v>0</v>
      </c>
      <c r="I117" t="n">
        <v>0</v>
      </c>
      <c r="J117" t="n">
        <v>0</v>
      </c>
      <c r="K117" t="n">
        <v>0</v>
      </c>
      <c r="L117" t="n">
        <v>0</v>
      </c>
      <c r="M117" t="n">
        <v>0</v>
      </c>
      <c r="N117" t="n">
        <v>0</v>
      </c>
      <c r="O117" t="n">
        <v>0</v>
      </c>
      <c r="P117" t="n">
        <v>0</v>
      </c>
      <c r="Q117" t="n">
        <v>0</v>
      </c>
      <c r="R117" s="2" t="inlineStr"/>
    </row>
    <row r="118" ht="15" customHeight="1">
      <c r="A118" t="inlineStr">
        <is>
          <t>A 28024-2025</t>
        </is>
      </c>
      <c r="B118" s="1" t="n">
        <v>45817.62070601852</v>
      </c>
      <c r="C118" s="1" t="n">
        <v>46060</v>
      </c>
      <c r="D118" t="inlineStr">
        <is>
          <t>ÖREBRO LÄN</t>
        </is>
      </c>
      <c r="E118" t="inlineStr">
        <is>
          <t>HÄLLEFORS</t>
        </is>
      </c>
      <c r="G118" t="n">
        <v>1.7</v>
      </c>
      <c r="H118" t="n">
        <v>0</v>
      </c>
      <c r="I118" t="n">
        <v>0</v>
      </c>
      <c r="J118" t="n">
        <v>0</v>
      </c>
      <c r="K118" t="n">
        <v>0</v>
      </c>
      <c r="L118" t="n">
        <v>0</v>
      </c>
      <c r="M118" t="n">
        <v>0</v>
      </c>
      <c r="N118" t="n">
        <v>0</v>
      </c>
      <c r="O118" t="n">
        <v>0</v>
      </c>
      <c r="P118" t="n">
        <v>0</v>
      </c>
      <c r="Q118" t="n">
        <v>0</v>
      </c>
      <c r="R118" s="2" t="inlineStr"/>
    </row>
    <row r="119" ht="15" customHeight="1">
      <c r="A119" t="inlineStr">
        <is>
          <t>A 17764-2023</t>
        </is>
      </c>
      <c r="B119" s="1" t="n">
        <v>45037.50085648148</v>
      </c>
      <c r="C119" s="1" t="n">
        <v>46060</v>
      </c>
      <c r="D119" t="inlineStr">
        <is>
          <t>ÖREBRO LÄN</t>
        </is>
      </c>
      <c r="E119" t="inlineStr">
        <is>
          <t>HÄLLEFORS</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46060</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65054-2021</t>
        </is>
      </c>
      <c r="B121" s="1" t="n">
        <v>44515.35802083334</v>
      </c>
      <c r="C121" s="1" t="n">
        <v>46060</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46060</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43941-2023</t>
        </is>
      </c>
      <c r="B123" s="1" t="n">
        <v>45187</v>
      </c>
      <c r="C123" s="1" t="n">
        <v>46060</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46060</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50754-2023</t>
        </is>
      </c>
      <c r="B125" s="1" t="n">
        <v>45217</v>
      </c>
      <c r="C125" s="1" t="n">
        <v>46060</v>
      </c>
      <c r="D125" t="inlineStr">
        <is>
          <t>ÖREBRO LÄN</t>
        </is>
      </c>
      <c r="E125" t="inlineStr">
        <is>
          <t>HÄLLEFORS</t>
        </is>
      </c>
      <c r="F125" t="inlineStr">
        <is>
          <t>Bergvik skog väst AB</t>
        </is>
      </c>
      <c r="G125" t="n">
        <v>5.8</v>
      </c>
      <c r="H125" t="n">
        <v>0</v>
      </c>
      <c r="I125" t="n">
        <v>0</v>
      </c>
      <c r="J125" t="n">
        <v>0</v>
      </c>
      <c r="K125" t="n">
        <v>0</v>
      </c>
      <c r="L125" t="n">
        <v>0</v>
      </c>
      <c r="M125" t="n">
        <v>0</v>
      </c>
      <c r="N125" t="n">
        <v>0</v>
      </c>
      <c r="O125" t="n">
        <v>0</v>
      </c>
      <c r="P125" t="n">
        <v>0</v>
      </c>
      <c r="Q125" t="n">
        <v>0</v>
      </c>
      <c r="R125" s="2" t="inlineStr"/>
    </row>
    <row r="126" ht="15" customHeight="1">
      <c r="A126" t="inlineStr">
        <is>
          <t>A 42918-2024</t>
        </is>
      </c>
      <c r="B126" s="1" t="n">
        <v>45567.27908564815</v>
      </c>
      <c r="C126" s="1" t="n">
        <v>46060</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38429-2023</t>
        </is>
      </c>
      <c r="B127" s="1" t="n">
        <v>45162</v>
      </c>
      <c r="C127" s="1" t="n">
        <v>46060</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28975-2025</t>
        </is>
      </c>
      <c r="B128" s="1" t="n">
        <v>45821</v>
      </c>
      <c r="C128" s="1" t="n">
        <v>46060</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46060</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50714-2022</t>
        </is>
      </c>
      <c r="B130" s="1" t="n">
        <v>44867.35501157407</v>
      </c>
      <c r="C130" s="1" t="n">
        <v>46060</v>
      </c>
      <c r="D130" t="inlineStr">
        <is>
          <t>ÖREBRO LÄN</t>
        </is>
      </c>
      <c r="E130" t="inlineStr">
        <is>
          <t>HÄLLEFORS</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42863-2022</t>
        </is>
      </c>
      <c r="B131" s="1" t="n">
        <v>44832.73646990741</v>
      </c>
      <c r="C131" s="1" t="n">
        <v>46060</v>
      </c>
      <c r="D131" t="inlineStr">
        <is>
          <t>ÖREBRO LÄN</t>
        </is>
      </c>
      <c r="E131" t="inlineStr">
        <is>
          <t>HÄLLEFORS</t>
        </is>
      </c>
      <c r="G131" t="n">
        <v>7.2</v>
      </c>
      <c r="H131" t="n">
        <v>0</v>
      </c>
      <c r="I131" t="n">
        <v>0</v>
      </c>
      <c r="J131" t="n">
        <v>0</v>
      </c>
      <c r="K131" t="n">
        <v>0</v>
      </c>
      <c r="L131" t="n">
        <v>0</v>
      </c>
      <c r="M131" t="n">
        <v>0</v>
      </c>
      <c r="N131" t="n">
        <v>0</v>
      </c>
      <c r="O131" t="n">
        <v>0</v>
      </c>
      <c r="P131" t="n">
        <v>0</v>
      </c>
      <c r="Q131" t="n">
        <v>0</v>
      </c>
      <c r="R131" s="2" t="inlineStr"/>
    </row>
    <row r="132" ht="15" customHeight="1">
      <c r="A132" t="inlineStr">
        <is>
          <t>A 4353-2023</t>
        </is>
      </c>
      <c r="B132" s="1" t="n">
        <v>44954.27407407408</v>
      </c>
      <c r="C132" s="1" t="n">
        <v>46060</v>
      </c>
      <c r="D132" t="inlineStr">
        <is>
          <t>ÖREBRO LÄN</t>
        </is>
      </c>
      <c r="E132" t="inlineStr">
        <is>
          <t>HÄLLEFORS</t>
        </is>
      </c>
      <c r="G132" t="n">
        <v>0.5</v>
      </c>
      <c r="H132" t="n">
        <v>0</v>
      </c>
      <c r="I132" t="n">
        <v>0</v>
      </c>
      <c r="J132" t="n">
        <v>0</v>
      </c>
      <c r="K132" t="n">
        <v>0</v>
      </c>
      <c r="L132" t="n">
        <v>0</v>
      </c>
      <c r="M132" t="n">
        <v>0</v>
      </c>
      <c r="N132" t="n">
        <v>0</v>
      </c>
      <c r="O132" t="n">
        <v>0</v>
      </c>
      <c r="P132" t="n">
        <v>0</v>
      </c>
      <c r="Q132" t="n">
        <v>0</v>
      </c>
      <c r="R132" s="2" t="inlineStr"/>
    </row>
    <row r="133" ht="15" customHeight="1">
      <c r="A133" t="inlineStr">
        <is>
          <t>A 30282-2023</t>
        </is>
      </c>
      <c r="B133" s="1" t="n">
        <v>45110.90550925926</v>
      </c>
      <c r="C133" s="1" t="n">
        <v>46060</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16135-2025</t>
        </is>
      </c>
      <c r="B134" s="1" t="n">
        <v>45750.44355324074</v>
      </c>
      <c r="C134" s="1" t="n">
        <v>46060</v>
      </c>
      <c r="D134" t="inlineStr">
        <is>
          <t>ÖREBRO LÄN</t>
        </is>
      </c>
      <c r="E134" t="inlineStr">
        <is>
          <t>HÄLLEFORS</t>
        </is>
      </c>
      <c r="F134" t="inlineStr">
        <is>
          <t>Kyrkan</t>
        </is>
      </c>
      <c r="G134" t="n">
        <v>4.6</v>
      </c>
      <c r="H134" t="n">
        <v>0</v>
      </c>
      <c r="I134" t="n">
        <v>0</v>
      </c>
      <c r="J134" t="n">
        <v>0</v>
      </c>
      <c r="K134" t="n">
        <v>0</v>
      </c>
      <c r="L134" t="n">
        <v>0</v>
      </c>
      <c r="M134" t="n">
        <v>0</v>
      </c>
      <c r="N134" t="n">
        <v>0</v>
      </c>
      <c r="O134" t="n">
        <v>0</v>
      </c>
      <c r="P134" t="n">
        <v>0</v>
      </c>
      <c r="Q134" t="n">
        <v>0</v>
      </c>
      <c r="R134" s="2" t="inlineStr"/>
    </row>
    <row r="135" ht="15" customHeight="1">
      <c r="A135" t="inlineStr">
        <is>
          <t>A 16999-2024</t>
        </is>
      </c>
      <c r="B135" s="1" t="n">
        <v>45412.35543981481</v>
      </c>
      <c r="C135" s="1" t="n">
        <v>46060</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59955-2024</t>
        </is>
      </c>
      <c r="B136" s="1" t="n">
        <v>45642.34987268518</v>
      </c>
      <c r="C136" s="1" t="n">
        <v>46060</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39327-2022</t>
        </is>
      </c>
      <c r="B137" s="1" t="n">
        <v>44817</v>
      </c>
      <c r="C137" s="1" t="n">
        <v>46060</v>
      </c>
      <c r="D137" t="inlineStr">
        <is>
          <t>ÖREBRO LÄN</t>
        </is>
      </c>
      <c r="E137" t="inlineStr">
        <is>
          <t>HÄLLEFORS</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9518-2023</t>
        </is>
      </c>
      <c r="B138" s="1" t="n">
        <v>44981</v>
      </c>
      <c r="C138" s="1" t="n">
        <v>46060</v>
      </c>
      <c r="D138" t="inlineStr">
        <is>
          <t>ÖREBRO LÄN</t>
        </is>
      </c>
      <c r="E138" t="inlineStr">
        <is>
          <t>HÄLLEFORS</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18889-2024</t>
        </is>
      </c>
      <c r="B139" s="1" t="n">
        <v>45427.26467592592</v>
      </c>
      <c r="C139" s="1" t="n">
        <v>46060</v>
      </c>
      <c r="D139" t="inlineStr">
        <is>
          <t>ÖREBRO LÄN</t>
        </is>
      </c>
      <c r="E139" t="inlineStr">
        <is>
          <t>HÄLLEFORS</t>
        </is>
      </c>
      <c r="G139" t="n">
        <v>8.5</v>
      </c>
      <c r="H139" t="n">
        <v>0</v>
      </c>
      <c r="I139" t="n">
        <v>0</v>
      </c>
      <c r="J139" t="n">
        <v>0</v>
      </c>
      <c r="K139" t="n">
        <v>0</v>
      </c>
      <c r="L139" t="n">
        <v>0</v>
      </c>
      <c r="M139" t="n">
        <v>0</v>
      </c>
      <c r="N139" t="n">
        <v>0</v>
      </c>
      <c r="O139" t="n">
        <v>0</v>
      </c>
      <c r="P139" t="n">
        <v>0</v>
      </c>
      <c r="Q139" t="n">
        <v>0</v>
      </c>
      <c r="R139" s="2" t="inlineStr"/>
    </row>
    <row r="140" ht="15" customHeight="1">
      <c r="A140" t="inlineStr">
        <is>
          <t>A 44400-2025</t>
        </is>
      </c>
      <c r="B140" s="1" t="n">
        <v>45916.5037037037</v>
      </c>
      <c r="C140" s="1" t="n">
        <v>46060</v>
      </c>
      <c r="D140" t="inlineStr">
        <is>
          <t>ÖREBRO LÄN</t>
        </is>
      </c>
      <c r="E140" t="inlineStr">
        <is>
          <t>HÄLLEFORS</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46060</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46060</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20128-2024</t>
        </is>
      </c>
      <c r="B143" s="1" t="n">
        <v>45434.5571412037</v>
      </c>
      <c r="C143" s="1" t="n">
        <v>46060</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15771-2022</t>
        </is>
      </c>
      <c r="B144" s="1" t="n">
        <v>44663.63033564815</v>
      </c>
      <c r="C144" s="1" t="n">
        <v>46060</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46060</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51159-2023</t>
        </is>
      </c>
      <c r="B146" s="1" t="n">
        <v>45219.37791666666</v>
      </c>
      <c r="C146" s="1" t="n">
        <v>46060</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45916-2025</t>
        </is>
      </c>
      <c r="B147" s="1" t="n">
        <v>45923.83761574074</v>
      </c>
      <c r="C147" s="1" t="n">
        <v>46060</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39513-2024</t>
        </is>
      </c>
      <c r="B148" s="1" t="n">
        <v>45551</v>
      </c>
      <c r="C148" s="1" t="n">
        <v>46060</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1018-2025</t>
        </is>
      </c>
      <c r="B149" s="1" t="n">
        <v>45666.49185185185</v>
      </c>
      <c r="C149" s="1" t="n">
        <v>46060</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62265-2022</t>
        </is>
      </c>
      <c r="B150" s="1" t="n">
        <v>44923</v>
      </c>
      <c r="C150" s="1" t="n">
        <v>46060</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32217-2025</t>
        </is>
      </c>
      <c r="B151" s="1" t="n">
        <v>45835.58846064815</v>
      </c>
      <c r="C151" s="1" t="n">
        <v>46060</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46667-2025</t>
        </is>
      </c>
      <c r="B152" s="1" t="n">
        <v>45926.52738425926</v>
      </c>
      <c r="C152" s="1" t="n">
        <v>46060</v>
      </c>
      <c r="D152" t="inlineStr">
        <is>
          <t>ÖREBRO LÄN</t>
        </is>
      </c>
      <c r="E152" t="inlineStr">
        <is>
          <t>HÄLLEFORS</t>
        </is>
      </c>
      <c r="G152" t="n">
        <v>3.9</v>
      </c>
      <c r="H152" t="n">
        <v>0</v>
      </c>
      <c r="I152" t="n">
        <v>0</v>
      </c>
      <c r="J152" t="n">
        <v>0</v>
      </c>
      <c r="K152" t="n">
        <v>0</v>
      </c>
      <c r="L152" t="n">
        <v>0</v>
      </c>
      <c r="M152" t="n">
        <v>0</v>
      </c>
      <c r="N152" t="n">
        <v>0</v>
      </c>
      <c r="O152" t="n">
        <v>0</v>
      </c>
      <c r="P152" t="n">
        <v>0</v>
      </c>
      <c r="Q152" t="n">
        <v>0</v>
      </c>
      <c r="R152" s="2" t="inlineStr"/>
    </row>
    <row r="153" ht="15" customHeight="1">
      <c r="A153" t="inlineStr">
        <is>
          <t>A 12082-2025</t>
        </is>
      </c>
      <c r="B153" s="1" t="n">
        <v>45728</v>
      </c>
      <c r="C153" s="1" t="n">
        <v>46060</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60518-2021</t>
        </is>
      </c>
      <c r="B154" s="1" t="n">
        <v>44496.5028125</v>
      </c>
      <c r="C154" s="1" t="n">
        <v>46060</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21901-2023</t>
        </is>
      </c>
      <c r="B155" s="1" t="n">
        <v>45068.53265046296</v>
      </c>
      <c r="C155" s="1" t="n">
        <v>46060</v>
      </c>
      <c r="D155" t="inlineStr">
        <is>
          <t>ÖREBRO LÄN</t>
        </is>
      </c>
      <c r="E155" t="inlineStr">
        <is>
          <t>HÄLLEFORS</t>
        </is>
      </c>
      <c r="G155" t="n">
        <v>1.3</v>
      </c>
      <c r="H155" t="n">
        <v>0</v>
      </c>
      <c r="I155" t="n">
        <v>0</v>
      </c>
      <c r="J155" t="n">
        <v>0</v>
      </c>
      <c r="K155" t="n">
        <v>0</v>
      </c>
      <c r="L155" t="n">
        <v>0</v>
      </c>
      <c r="M155" t="n">
        <v>0</v>
      </c>
      <c r="N155" t="n">
        <v>0</v>
      </c>
      <c r="O155" t="n">
        <v>0</v>
      </c>
      <c r="P155" t="n">
        <v>0</v>
      </c>
      <c r="Q155" t="n">
        <v>0</v>
      </c>
      <c r="R155" s="2" t="inlineStr"/>
    </row>
    <row r="156" ht="15" customHeight="1">
      <c r="A156" t="inlineStr">
        <is>
          <t>A 44693-2025</t>
        </is>
      </c>
      <c r="B156" s="1" t="n">
        <v>45917</v>
      </c>
      <c r="C156" s="1" t="n">
        <v>46060</v>
      </c>
      <c r="D156" t="inlineStr">
        <is>
          <t>ÖREBRO LÄN</t>
        </is>
      </c>
      <c r="E156" t="inlineStr">
        <is>
          <t>HÄLLEFORS</t>
        </is>
      </c>
      <c r="G156" t="n">
        <v>10.3</v>
      </c>
      <c r="H156" t="n">
        <v>0</v>
      </c>
      <c r="I156" t="n">
        <v>0</v>
      </c>
      <c r="J156" t="n">
        <v>0</v>
      </c>
      <c r="K156" t="n">
        <v>0</v>
      </c>
      <c r="L156" t="n">
        <v>0</v>
      </c>
      <c r="M156" t="n">
        <v>0</v>
      </c>
      <c r="N156" t="n">
        <v>0</v>
      </c>
      <c r="O156" t="n">
        <v>0</v>
      </c>
      <c r="P156" t="n">
        <v>0</v>
      </c>
      <c r="Q156" t="n">
        <v>0</v>
      </c>
      <c r="R156" s="2" t="inlineStr"/>
    </row>
    <row r="157" ht="15" customHeight="1">
      <c r="A157" t="inlineStr">
        <is>
          <t>A 29027-2024</t>
        </is>
      </c>
      <c r="B157" s="1" t="n">
        <v>45481.58833333333</v>
      </c>
      <c r="C157" s="1" t="n">
        <v>46060</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32808-2025</t>
        </is>
      </c>
      <c r="B158" s="1" t="n">
        <v>45839.50719907408</v>
      </c>
      <c r="C158" s="1" t="n">
        <v>46060</v>
      </c>
      <c r="D158" t="inlineStr">
        <is>
          <t>ÖREBRO LÄN</t>
        </is>
      </c>
      <c r="E158" t="inlineStr">
        <is>
          <t>HÄLLEFORS</t>
        </is>
      </c>
      <c r="G158" t="n">
        <v>4.3</v>
      </c>
      <c r="H158" t="n">
        <v>0</v>
      </c>
      <c r="I158" t="n">
        <v>0</v>
      </c>
      <c r="J158" t="n">
        <v>0</v>
      </c>
      <c r="K158" t="n">
        <v>0</v>
      </c>
      <c r="L158" t="n">
        <v>0</v>
      </c>
      <c r="M158" t="n">
        <v>0</v>
      </c>
      <c r="N158" t="n">
        <v>0</v>
      </c>
      <c r="O158" t="n">
        <v>0</v>
      </c>
      <c r="P158" t="n">
        <v>0</v>
      </c>
      <c r="Q158" t="n">
        <v>0</v>
      </c>
      <c r="R158" s="2" t="inlineStr"/>
    </row>
    <row r="159" ht="15" customHeight="1">
      <c r="A159" t="inlineStr">
        <is>
          <t>A 47847-2025</t>
        </is>
      </c>
      <c r="B159" s="1" t="n">
        <v>45932.38244212963</v>
      </c>
      <c r="C159" s="1" t="n">
        <v>46060</v>
      </c>
      <c r="D159" t="inlineStr">
        <is>
          <t>ÖREBRO LÄN</t>
        </is>
      </c>
      <c r="E159" t="inlineStr">
        <is>
          <t>HÄLLEFORS</t>
        </is>
      </c>
      <c r="F159" t="inlineStr">
        <is>
          <t>Bergvik skog väst AB</t>
        </is>
      </c>
      <c r="G159" t="n">
        <v>11.5</v>
      </c>
      <c r="H159" t="n">
        <v>0</v>
      </c>
      <c r="I159" t="n">
        <v>0</v>
      </c>
      <c r="J159" t="n">
        <v>0</v>
      </c>
      <c r="K159" t="n">
        <v>0</v>
      </c>
      <c r="L159" t="n">
        <v>0</v>
      </c>
      <c r="M159" t="n">
        <v>0</v>
      </c>
      <c r="N159" t="n">
        <v>0</v>
      </c>
      <c r="O159" t="n">
        <v>0</v>
      </c>
      <c r="P159" t="n">
        <v>0</v>
      </c>
      <c r="Q159" t="n">
        <v>0</v>
      </c>
      <c r="R159" s="2" t="inlineStr"/>
    </row>
    <row r="160" ht="15" customHeight="1">
      <c r="A160" t="inlineStr">
        <is>
          <t>A 47862-2025</t>
        </is>
      </c>
      <c r="B160" s="1" t="n">
        <v>45932.42637731481</v>
      </c>
      <c r="C160" s="1" t="n">
        <v>46060</v>
      </c>
      <c r="D160" t="inlineStr">
        <is>
          <t>ÖREBRO LÄN</t>
        </is>
      </c>
      <c r="E160" t="inlineStr">
        <is>
          <t>HÄLLEFORS</t>
        </is>
      </c>
      <c r="F160" t="inlineStr">
        <is>
          <t>Bergvik skog väst AB</t>
        </is>
      </c>
      <c r="G160" t="n">
        <v>6.3</v>
      </c>
      <c r="H160" t="n">
        <v>0</v>
      </c>
      <c r="I160" t="n">
        <v>0</v>
      </c>
      <c r="J160" t="n">
        <v>0</v>
      </c>
      <c r="K160" t="n">
        <v>0</v>
      </c>
      <c r="L160" t="n">
        <v>0</v>
      </c>
      <c r="M160" t="n">
        <v>0</v>
      </c>
      <c r="N160" t="n">
        <v>0</v>
      </c>
      <c r="O160" t="n">
        <v>0</v>
      </c>
      <c r="P160" t="n">
        <v>0</v>
      </c>
      <c r="Q160" t="n">
        <v>0</v>
      </c>
      <c r="R160" s="2" t="inlineStr"/>
    </row>
    <row r="161" ht="15" customHeight="1">
      <c r="A161" t="inlineStr">
        <is>
          <t>A 32813-2025</t>
        </is>
      </c>
      <c r="B161" s="1" t="n">
        <v>45839.51949074074</v>
      </c>
      <c r="C161" s="1" t="n">
        <v>46060</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5684-2025</t>
        </is>
      </c>
      <c r="B162" s="1" t="n">
        <v>45694</v>
      </c>
      <c r="C162" s="1" t="n">
        <v>46060</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46060</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47854-2025</t>
        </is>
      </c>
      <c r="B164" s="1" t="n">
        <v>45932.39532407407</v>
      </c>
      <c r="C164" s="1" t="n">
        <v>46060</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44905-2021</t>
        </is>
      </c>
      <c r="B165" s="1" t="n">
        <v>44438.65045138889</v>
      </c>
      <c r="C165" s="1" t="n">
        <v>46060</v>
      </c>
      <c r="D165" t="inlineStr">
        <is>
          <t>ÖREBRO LÄN</t>
        </is>
      </c>
      <c r="E165" t="inlineStr">
        <is>
          <t>HÄLLEFORS</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47852-2025</t>
        </is>
      </c>
      <c r="B166" s="1" t="n">
        <v>45932.38914351852</v>
      </c>
      <c r="C166" s="1" t="n">
        <v>46060</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47856-2025</t>
        </is>
      </c>
      <c r="B167" s="1" t="n">
        <v>45932.40252314815</v>
      </c>
      <c r="C167" s="1" t="n">
        <v>46060</v>
      </c>
      <c r="D167" t="inlineStr">
        <is>
          <t>ÖREBRO LÄN</t>
        </is>
      </c>
      <c r="E167" t="inlineStr">
        <is>
          <t>HÄLLEFORS</t>
        </is>
      </c>
      <c r="F167" t="inlineStr">
        <is>
          <t>Bergvik skog väst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29884-2022</t>
        </is>
      </c>
      <c r="B168" s="1" t="n">
        <v>44756</v>
      </c>
      <c r="C168" s="1" t="n">
        <v>46060</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48961-2025</t>
        </is>
      </c>
      <c r="B169" s="1" t="n">
        <v>45936</v>
      </c>
      <c r="C169" s="1" t="n">
        <v>46060</v>
      </c>
      <c r="D169" t="inlineStr">
        <is>
          <t>ÖREBRO LÄN</t>
        </is>
      </c>
      <c r="E169" t="inlineStr">
        <is>
          <t>HÄLLEFORS</t>
        </is>
      </c>
      <c r="G169" t="n">
        <v>3.7</v>
      </c>
      <c r="H169" t="n">
        <v>0</v>
      </c>
      <c r="I169" t="n">
        <v>0</v>
      </c>
      <c r="J169" t="n">
        <v>0</v>
      </c>
      <c r="K169" t="n">
        <v>0</v>
      </c>
      <c r="L169" t="n">
        <v>0</v>
      </c>
      <c r="M169" t="n">
        <v>0</v>
      </c>
      <c r="N169" t="n">
        <v>0</v>
      </c>
      <c r="O169" t="n">
        <v>0</v>
      </c>
      <c r="P169" t="n">
        <v>0</v>
      </c>
      <c r="Q169" t="n">
        <v>0</v>
      </c>
      <c r="R169" s="2" t="inlineStr"/>
    </row>
    <row r="170" ht="15" customHeight="1">
      <c r="A170" t="inlineStr">
        <is>
          <t>A 48765-2025</t>
        </is>
      </c>
      <c r="B170" s="1" t="n">
        <v>45936.85859953704</v>
      </c>
      <c r="C170" s="1" t="n">
        <v>46060</v>
      </c>
      <c r="D170" t="inlineStr">
        <is>
          <t>ÖREBRO LÄN</t>
        </is>
      </c>
      <c r="E170" t="inlineStr">
        <is>
          <t>HÄLLEFORS</t>
        </is>
      </c>
      <c r="F170" t="inlineStr">
        <is>
          <t>Bergvik skog väst AB</t>
        </is>
      </c>
      <c r="G170" t="n">
        <v>17.6</v>
      </c>
      <c r="H170" t="n">
        <v>0</v>
      </c>
      <c r="I170" t="n">
        <v>0</v>
      </c>
      <c r="J170" t="n">
        <v>0</v>
      </c>
      <c r="K170" t="n">
        <v>0</v>
      </c>
      <c r="L170" t="n">
        <v>0</v>
      </c>
      <c r="M170" t="n">
        <v>0</v>
      </c>
      <c r="N170" t="n">
        <v>0</v>
      </c>
      <c r="O170" t="n">
        <v>0</v>
      </c>
      <c r="P170" t="n">
        <v>0</v>
      </c>
      <c r="Q170" t="n">
        <v>0</v>
      </c>
      <c r="R170" s="2" t="inlineStr"/>
    </row>
    <row r="171" ht="15" customHeight="1">
      <c r="A171" t="inlineStr">
        <is>
          <t>A 2079-2024</t>
        </is>
      </c>
      <c r="B171" s="1" t="n">
        <v>45309</v>
      </c>
      <c r="C171" s="1" t="n">
        <v>46060</v>
      </c>
      <c r="D171" t="inlineStr">
        <is>
          <t>ÖREBRO LÄN</t>
        </is>
      </c>
      <c r="E171" t="inlineStr">
        <is>
          <t>HÄLLEFORS</t>
        </is>
      </c>
      <c r="G171" t="n">
        <v>0.4</v>
      </c>
      <c r="H171" t="n">
        <v>0</v>
      </c>
      <c r="I171" t="n">
        <v>0</v>
      </c>
      <c r="J171" t="n">
        <v>0</v>
      </c>
      <c r="K171" t="n">
        <v>0</v>
      </c>
      <c r="L171" t="n">
        <v>0</v>
      </c>
      <c r="M171" t="n">
        <v>0</v>
      </c>
      <c r="N171" t="n">
        <v>0</v>
      </c>
      <c r="O171" t="n">
        <v>0</v>
      </c>
      <c r="P171" t="n">
        <v>0</v>
      </c>
      <c r="Q171" t="n">
        <v>0</v>
      </c>
      <c r="R171" s="2" t="inlineStr"/>
    </row>
    <row r="172" ht="15" customHeight="1">
      <c r="A172" t="inlineStr">
        <is>
          <t>A 34033-2025</t>
        </is>
      </c>
      <c r="B172" s="1" t="n">
        <v>45845.36700231482</v>
      </c>
      <c r="C172" s="1" t="n">
        <v>46060</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46060</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46060</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46060</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34042-2025</t>
        </is>
      </c>
      <c r="B176" s="1" t="n">
        <v>45845.37733796296</v>
      </c>
      <c r="C176" s="1" t="n">
        <v>46060</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34045-2025</t>
        </is>
      </c>
      <c r="B177" s="1" t="n">
        <v>45845.38480324074</v>
      </c>
      <c r="C177" s="1" t="n">
        <v>46060</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34052-2025</t>
        </is>
      </c>
      <c r="B178" s="1" t="n">
        <v>45845.40813657407</v>
      </c>
      <c r="C178" s="1" t="n">
        <v>46060</v>
      </c>
      <c r="D178" t="inlineStr">
        <is>
          <t>ÖREBRO LÄN</t>
        </is>
      </c>
      <c r="E178" t="inlineStr">
        <is>
          <t>HÄLLEFORS</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6761-2025</t>
        </is>
      </c>
      <c r="B179" s="1" t="n">
        <v>45700.62762731482</v>
      </c>
      <c r="C179" s="1" t="n">
        <v>46060</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23561-2023</t>
        </is>
      </c>
      <c r="B180" s="1" t="n">
        <v>45077.39368055556</v>
      </c>
      <c r="C180" s="1" t="n">
        <v>46060</v>
      </c>
      <c r="D180" t="inlineStr">
        <is>
          <t>ÖREBRO LÄN</t>
        </is>
      </c>
      <c r="E180" t="inlineStr">
        <is>
          <t>HÄLLEFORS</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34059-2025</t>
        </is>
      </c>
      <c r="B181" s="1" t="n">
        <v>45845.41988425926</v>
      </c>
      <c r="C181" s="1" t="n">
        <v>46060</v>
      </c>
      <c r="D181" t="inlineStr">
        <is>
          <t>ÖREBRO LÄN</t>
        </is>
      </c>
      <c r="E181" t="inlineStr">
        <is>
          <t>HÄLLEFORS</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51088-2022</t>
        </is>
      </c>
      <c r="B182" s="1" t="n">
        <v>44868.3935300926</v>
      </c>
      <c r="C182" s="1" t="n">
        <v>46060</v>
      </c>
      <c r="D182" t="inlineStr">
        <is>
          <t>ÖREBRO LÄN</t>
        </is>
      </c>
      <c r="E182" t="inlineStr">
        <is>
          <t>HÄLLEFORS</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34023-2025</t>
        </is>
      </c>
      <c r="B183" s="1" t="n">
        <v>45845.35355324074</v>
      </c>
      <c r="C183" s="1" t="n">
        <v>46060</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34057-2025</t>
        </is>
      </c>
      <c r="B184" s="1" t="n">
        <v>45845.41581018519</v>
      </c>
      <c r="C184" s="1" t="n">
        <v>46060</v>
      </c>
      <c r="D184" t="inlineStr">
        <is>
          <t>ÖREBRO LÄN</t>
        </is>
      </c>
      <c r="E184" t="inlineStr">
        <is>
          <t>HÄLLEFORS</t>
        </is>
      </c>
      <c r="G184" t="n">
        <v>2.1</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46060</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34022-2025</t>
        </is>
      </c>
      <c r="B186" s="1" t="n">
        <v>45845.34983796296</v>
      </c>
      <c r="C186" s="1" t="n">
        <v>46060</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34025-2025</t>
        </is>
      </c>
      <c r="B187" s="1" t="n">
        <v>45845.35546296297</v>
      </c>
      <c r="C187" s="1" t="n">
        <v>46060</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34093-2025</t>
        </is>
      </c>
      <c r="B188" s="1" t="n">
        <v>45845.47775462963</v>
      </c>
      <c r="C188" s="1" t="n">
        <v>46060</v>
      </c>
      <c r="D188" t="inlineStr">
        <is>
          <t>ÖREBRO LÄN</t>
        </is>
      </c>
      <c r="E188" t="inlineStr">
        <is>
          <t>HÄLLEFORS</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34062-2025</t>
        </is>
      </c>
      <c r="B189" s="1" t="n">
        <v>45845.4264699074</v>
      </c>
      <c r="C189" s="1" t="n">
        <v>46060</v>
      </c>
      <c r="D189" t="inlineStr">
        <is>
          <t>ÖREBRO LÄN</t>
        </is>
      </c>
      <c r="E189" t="inlineStr">
        <is>
          <t>HÄLLEFORS</t>
        </is>
      </c>
      <c r="G189" t="n">
        <v>1.3</v>
      </c>
      <c r="H189" t="n">
        <v>0</v>
      </c>
      <c r="I189" t="n">
        <v>0</v>
      </c>
      <c r="J189" t="n">
        <v>0</v>
      </c>
      <c r="K189" t="n">
        <v>0</v>
      </c>
      <c r="L189" t="n">
        <v>0</v>
      </c>
      <c r="M189" t="n">
        <v>0</v>
      </c>
      <c r="N189" t="n">
        <v>0</v>
      </c>
      <c r="O189" t="n">
        <v>0</v>
      </c>
      <c r="P189" t="n">
        <v>0</v>
      </c>
      <c r="Q189" t="n">
        <v>0</v>
      </c>
      <c r="R189" s="2" t="inlineStr"/>
    </row>
    <row r="190" ht="15" customHeight="1">
      <c r="A190" t="inlineStr">
        <is>
          <t>A 50881-2025</t>
        </is>
      </c>
      <c r="B190" s="1" t="n">
        <v>45946.62914351852</v>
      </c>
      <c r="C190" s="1" t="n">
        <v>46060</v>
      </c>
      <c r="D190" t="inlineStr">
        <is>
          <t>ÖREBRO LÄN</t>
        </is>
      </c>
      <c r="E190" t="inlineStr">
        <is>
          <t>HÄLLEFORS</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50794-2025</t>
        </is>
      </c>
      <c r="B191" s="1" t="n">
        <v>45946.47722222222</v>
      </c>
      <c r="C191" s="1" t="n">
        <v>46060</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50798-2025</t>
        </is>
      </c>
      <c r="B192" s="1" t="n">
        <v>45946.48537037037</v>
      </c>
      <c r="C192" s="1" t="n">
        <v>46060</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8615-2025</t>
        </is>
      </c>
      <c r="B193" s="1" t="n">
        <v>45710.81305555555</v>
      </c>
      <c r="C193" s="1" t="n">
        <v>46060</v>
      </c>
      <c r="D193" t="inlineStr">
        <is>
          <t>ÖREBRO LÄN</t>
        </is>
      </c>
      <c r="E193" t="inlineStr">
        <is>
          <t>HÄLLEFORS</t>
        </is>
      </c>
      <c r="G193" t="n">
        <v>6.2</v>
      </c>
      <c r="H193" t="n">
        <v>0</v>
      </c>
      <c r="I193" t="n">
        <v>0</v>
      </c>
      <c r="J193" t="n">
        <v>0</v>
      </c>
      <c r="K193" t="n">
        <v>0</v>
      </c>
      <c r="L193" t="n">
        <v>0</v>
      </c>
      <c r="M193" t="n">
        <v>0</v>
      </c>
      <c r="N193" t="n">
        <v>0</v>
      </c>
      <c r="O193" t="n">
        <v>0</v>
      </c>
      <c r="P193" t="n">
        <v>0</v>
      </c>
      <c r="Q193" t="n">
        <v>0</v>
      </c>
      <c r="R193" s="2" t="inlineStr"/>
    </row>
    <row r="194" ht="15" customHeight="1">
      <c r="A194" t="inlineStr">
        <is>
          <t>A 17075-2025</t>
        </is>
      </c>
      <c r="B194" s="1" t="n">
        <v>45755.62278935185</v>
      </c>
      <c r="C194" s="1" t="n">
        <v>46060</v>
      </c>
      <c r="D194" t="inlineStr">
        <is>
          <t>ÖREBRO LÄN</t>
        </is>
      </c>
      <c r="E194" t="inlineStr">
        <is>
          <t>HÄLLEFORS</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5033-2025</t>
        </is>
      </c>
      <c r="B195" s="1" t="n">
        <v>45691.425625</v>
      </c>
      <c r="C195" s="1" t="n">
        <v>46060</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17350-2025</t>
        </is>
      </c>
      <c r="B196" s="1" t="n">
        <v>45756.68074074074</v>
      </c>
      <c r="C196" s="1" t="n">
        <v>46060</v>
      </c>
      <c r="D196" t="inlineStr">
        <is>
          <t>ÖREBRO LÄN</t>
        </is>
      </c>
      <c r="E196" t="inlineStr">
        <is>
          <t>HÄLLEFORS</t>
        </is>
      </c>
      <c r="F196" t="inlineStr">
        <is>
          <t>Bergvik skog väst AB</t>
        </is>
      </c>
      <c r="G196" t="n">
        <v>6.9</v>
      </c>
      <c r="H196" t="n">
        <v>0</v>
      </c>
      <c r="I196" t="n">
        <v>0</v>
      </c>
      <c r="J196" t="n">
        <v>0</v>
      </c>
      <c r="K196" t="n">
        <v>0</v>
      </c>
      <c r="L196" t="n">
        <v>0</v>
      </c>
      <c r="M196" t="n">
        <v>0</v>
      </c>
      <c r="N196" t="n">
        <v>0</v>
      </c>
      <c r="O196" t="n">
        <v>0</v>
      </c>
      <c r="P196" t="n">
        <v>0</v>
      </c>
      <c r="Q196" t="n">
        <v>0</v>
      </c>
      <c r="R196" s="2" t="inlineStr"/>
    </row>
    <row r="197" ht="15" customHeight="1">
      <c r="A197" t="inlineStr">
        <is>
          <t>A 9411-2022</t>
        </is>
      </c>
      <c r="B197" s="1" t="n">
        <v>44616</v>
      </c>
      <c r="C197" s="1" t="n">
        <v>46060</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33944-2024</t>
        </is>
      </c>
      <c r="B198" s="1" t="n">
        <v>45523</v>
      </c>
      <c r="C198" s="1" t="n">
        <v>46060</v>
      </c>
      <c r="D198" t="inlineStr">
        <is>
          <t>ÖREBRO LÄN</t>
        </is>
      </c>
      <c r="E198" t="inlineStr">
        <is>
          <t>HÄLLEFORS</t>
        </is>
      </c>
      <c r="G198" t="n">
        <v>5.9</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46060</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46060</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35183-2023</t>
        </is>
      </c>
      <c r="B201" s="1" t="n">
        <v>45145.59578703704</v>
      </c>
      <c r="C201" s="1" t="n">
        <v>46060</v>
      </c>
      <c r="D201" t="inlineStr">
        <is>
          <t>ÖREBRO LÄN</t>
        </is>
      </c>
      <c r="E201" t="inlineStr">
        <is>
          <t>HÄLLEFORS</t>
        </is>
      </c>
      <c r="F201" t="inlineStr">
        <is>
          <t>Bergvik skog väst AB</t>
        </is>
      </c>
      <c r="G201" t="n">
        <v>6.6</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46060</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46060</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12558-2025</t>
        </is>
      </c>
      <c r="B204" s="1" t="n">
        <v>45731.46960648148</v>
      </c>
      <c r="C204" s="1" t="n">
        <v>46060</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36635-2022</t>
        </is>
      </c>
      <c r="B205" s="1" t="n">
        <v>44804.70893518518</v>
      </c>
      <c r="C205" s="1" t="n">
        <v>46060</v>
      </c>
      <c r="D205" t="inlineStr">
        <is>
          <t>ÖREBRO LÄN</t>
        </is>
      </c>
      <c r="E205" t="inlineStr">
        <is>
          <t>HÄLLEFORS</t>
        </is>
      </c>
      <c r="G205" t="n">
        <v>2.5</v>
      </c>
      <c r="H205" t="n">
        <v>0</v>
      </c>
      <c r="I205" t="n">
        <v>0</v>
      </c>
      <c r="J205" t="n">
        <v>0</v>
      </c>
      <c r="K205" t="n">
        <v>0</v>
      </c>
      <c r="L205" t="n">
        <v>0</v>
      </c>
      <c r="M205" t="n">
        <v>0</v>
      </c>
      <c r="N205" t="n">
        <v>0</v>
      </c>
      <c r="O205" t="n">
        <v>0</v>
      </c>
      <c r="P205" t="n">
        <v>0</v>
      </c>
      <c r="Q205" t="n">
        <v>0</v>
      </c>
      <c r="R205" s="2" t="inlineStr"/>
    </row>
    <row r="206" ht="15" customHeight="1">
      <c r="A206" t="inlineStr">
        <is>
          <t>A 9009-2023</t>
        </is>
      </c>
      <c r="B206" s="1" t="n">
        <v>44979</v>
      </c>
      <c r="C206" s="1" t="n">
        <v>46060</v>
      </c>
      <c r="D206" t="inlineStr">
        <is>
          <t>ÖREBRO LÄN</t>
        </is>
      </c>
      <c r="E206" t="inlineStr">
        <is>
          <t>HÄLLEFORS</t>
        </is>
      </c>
      <c r="G206" t="n">
        <v>0.6</v>
      </c>
      <c r="H206" t="n">
        <v>0</v>
      </c>
      <c r="I206" t="n">
        <v>0</v>
      </c>
      <c r="J206" t="n">
        <v>0</v>
      </c>
      <c r="K206" t="n">
        <v>0</v>
      </c>
      <c r="L206" t="n">
        <v>0</v>
      </c>
      <c r="M206" t="n">
        <v>0</v>
      </c>
      <c r="N206" t="n">
        <v>0</v>
      </c>
      <c r="O206" t="n">
        <v>0</v>
      </c>
      <c r="P206" t="n">
        <v>0</v>
      </c>
      <c r="Q206" t="n">
        <v>0</v>
      </c>
      <c r="R206" s="2" t="inlineStr"/>
    </row>
    <row r="207" ht="15" customHeight="1">
      <c r="A207" t="inlineStr">
        <is>
          <t>A 52449-2025</t>
        </is>
      </c>
      <c r="B207" s="1" t="n">
        <v>45954.41862268518</v>
      </c>
      <c r="C207" s="1" t="n">
        <v>46060</v>
      </c>
      <c r="D207" t="inlineStr">
        <is>
          <t>ÖREBRO LÄN</t>
        </is>
      </c>
      <c r="E207" t="inlineStr">
        <is>
          <t>HÄLLEFORS</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46060</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5657-2024</t>
        </is>
      </c>
      <c r="B209" s="1" t="n">
        <v>45334</v>
      </c>
      <c r="C209" s="1" t="n">
        <v>46060</v>
      </c>
      <c r="D209" t="inlineStr">
        <is>
          <t>ÖREBRO LÄN</t>
        </is>
      </c>
      <c r="E209" t="inlineStr">
        <is>
          <t>HÄLLEFORS</t>
        </is>
      </c>
      <c r="G209" t="n">
        <v>0.3</v>
      </c>
      <c r="H209" t="n">
        <v>0</v>
      </c>
      <c r="I209" t="n">
        <v>0</v>
      </c>
      <c r="J209" t="n">
        <v>0</v>
      </c>
      <c r="K209" t="n">
        <v>0</v>
      </c>
      <c r="L209" t="n">
        <v>0</v>
      </c>
      <c r="M209" t="n">
        <v>0</v>
      </c>
      <c r="N209" t="n">
        <v>0</v>
      </c>
      <c r="O209" t="n">
        <v>0</v>
      </c>
      <c r="P209" t="n">
        <v>0</v>
      </c>
      <c r="Q209" t="n">
        <v>0</v>
      </c>
      <c r="R209" s="2" t="inlineStr"/>
    </row>
    <row r="210" ht="15" customHeight="1">
      <c r="A210" t="inlineStr">
        <is>
          <t>A 18927-2025</t>
        </is>
      </c>
      <c r="B210" s="1" t="n">
        <v>45764.4846412037</v>
      </c>
      <c r="C210" s="1" t="n">
        <v>46060</v>
      </c>
      <c r="D210" t="inlineStr">
        <is>
          <t>ÖREBRO LÄN</t>
        </is>
      </c>
      <c r="E210" t="inlineStr">
        <is>
          <t>HÄLLEFORS</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18941-2025</t>
        </is>
      </c>
      <c r="B211" s="1" t="n">
        <v>45764.495625</v>
      </c>
      <c r="C211" s="1" t="n">
        <v>46060</v>
      </c>
      <c r="D211" t="inlineStr">
        <is>
          <t>ÖREBRO LÄN</t>
        </is>
      </c>
      <c r="E211" t="inlineStr">
        <is>
          <t>HÄLLEFORS</t>
        </is>
      </c>
      <c r="F211" t="inlineStr">
        <is>
          <t>Bergvik skog väst AB</t>
        </is>
      </c>
      <c r="G211" t="n">
        <v>3.7</v>
      </c>
      <c r="H211" t="n">
        <v>0</v>
      </c>
      <c r="I211" t="n">
        <v>0</v>
      </c>
      <c r="J211" t="n">
        <v>0</v>
      </c>
      <c r="K211" t="n">
        <v>0</v>
      </c>
      <c r="L211" t="n">
        <v>0</v>
      </c>
      <c r="M211" t="n">
        <v>0</v>
      </c>
      <c r="N211" t="n">
        <v>0</v>
      </c>
      <c r="O211" t="n">
        <v>0</v>
      </c>
      <c r="P211" t="n">
        <v>0</v>
      </c>
      <c r="Q211" t="n">
        <v>0</v>
      </c>
      <c r="R211" s="2" t="inlineStr"/>
    </row>
    <row r="212" ht="15" customHeight="1">
      <c r="A212" t="inlineStr">
        <is>
          <t>A 5245-2025</t>
        </is>
      </c>
      <c r="B212" s="1" t="n">
        <v>45692</v>
      </c>
      <c r="C212" s="1" t="n">
        <v>46060</v>
      </c>
      <c r="D212" t="inlineStr">
        <is>
          <t>ÖREBRO LÄN</t>
        </is>
      </c>
      <c r="E212" t="inlineStr">
        <is>
          <t>HÄLLEFORS</t>
        </is>
      </c>
      <c r="F212" t="inlineStr">
        <is>
          <t>Bergvik skog väst AB</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47190-2022</t>
        </is>
      </c>
      <c r="B213" s="1" t="n">
        <v>44852</v>
      </c>
      <c r="C213" s="1" t="n">
        <v>46060</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34478-2022</t>
        </is>
      </c>
      <c r="B214" s="1" t="n">
        <v>44792.64494212963</v>
      </c>
      <c r="C214" s="1" t="n">
        <v>46060</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37232-2025</t>
        </is>
      </c>
      <c r="B215" s="1" t="n">
        <v>45876.34452546296</v>
      </c>
      <c r="C215" s="1" t="n">
        <v>46060</v>
      </c>
      <c r="D215" t="inlineStr">
        <is>
          <t>ÖREBRO LÄN</t>
        </is>
      </c>
      <c r="E215" t="inlineStr">
        <is>
          <t>HÄLLEFORS</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53335-2025</t>
        </is>
      </c>
      <c r="B216" s="1" t="n">
        <v>45959.38943287037</v>
      </c>
      <c r="C216" s="1" t="n">
        <v>46060</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46060</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15013-2024</t>
        </is>
      </c>
      <c r="B218" s="1" t="n">
        <v>45399</v>
      </c>
      <c r="C218" s="1" t="n">
        <v>46060</v>
      </c>
      <c r="D218" t="inlineStr">
        <is>
          <t>ÖREBRO LÄN</t>
        </is>
      </c>
      <c r="E218" t="inlineStr">
        <is>
          <t>HÄLLEFORS</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46060</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53341-2025</t>
        </is>
      </c>
      <c r="B220" s="1" t="n">
        <v>45959.41048611111</v>
      </c>
      <c r="C220" s="1" t="n">
        <v>46060</v>
      </c>
      <c r="D220" t="inlineStr">
        <is>
          <t>ÖREBRO LÄN</t>
        </is>
      </c>
      <c r="E220" t="inlineStr">
        <is>
          <t>HÄLLEFORS</t>
        </is>
      </c>
      <c r="G220" t="n">
        <v>1</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46060</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53331-2025</t>
        </is>
      </c>
      <c r="B222" s="1" t="n">
        <v>45959.37532407408</v>
      </c>
      <c r="C222" s="1" t="n">
        <v>46060</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1019-2025</t>
        </is>
      </c>
      <c r="B223" s="1" t="n">
        <v>45666.49216435185</v>
      </c>
      <c r="C223" s="1" t="n">
        <v>46060</v>
      </c>
      <c r="D223" t="inlineStr">
        <is>
          <t>ÖREBRO LÄN</t>
        </is>
      </c>
      <c r="E223" t="inlineStr">
        <is>
          <t>HÄLLEFORS</t>
        </is>
      </c>
      <c r="G223" t="n">
        <v>0.4</v>
      </c>
      <c r="H223" t="n">
        <v>0</v>
      </c>
      <c r="I223" t="n">
        <v>0</v>
      </c>
      <c r="J223" t="n">
        <v>0</v>
      </c>
      <c r="K223" t="n">
        <v>0</v>
      </c>
      <c r="L223" t="n">
        <v>0</v>
      </c>
      <c r="M223" t="n">
        <v>0</v>
      </c>
      <c r="N223" t="n">
        <v>0</v>
      </c>
      <c r="O223" t="n">
        <v>0</v>
      </c>
      <c r="P223" t="n">
        <v>0</v>
      </c>
      <c r="Q223" t="n">
        <v>0</v>
      </c>
      <c r="R223" s="2" t="inlineStr"/>
    </row>
    <row r="224" ht="15" customHeight="1">
      <c r="A224" t="inlineStr">
        <is>
          <t>A 55747-2024</t>
        </is>
      </c>
      <c r="B224" s="1" t="n">
        <v>45623.32141203704</v>
      </c>
      <c r="C224" s="1" t="n">
        <v>46060</v>
      </c>
      <c r="D224" t="inlineStr">
        <is>
          <t>ÖREBRO LÄN</t>
        </is>
      </c>
      <c r="E224" t="inlineStr">
        <is>
          <t>HÄLLEFORS</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39171-2024</t>
        </is>
      </c>
      <c r="B225" s="1" t="n">
        <v>45548</v>
      </c>
      <c r="C225" s="1" t="n">
        <v>46060</v>
      </c>
      <c r="D225" t="inlineStr">
        <is>
          <t>ÖREBRO LÄN</t>
        </is>
      </c>
      <c r="E225" t="inlineStr">
        <is>
          <t>HÄLLEFORS</t>
        </is>
      </c>
      <c r="G225" t="n">
        <v>3.8</v>
      </c>
      <c r="H225" t="n">
        <v>0</v>
      </c>
      <c r="I225" t="n">
        <v>0</v>
      </c>
      <c r="J225" t="n">
        <v>0</v>
      </c>
      <c r="K225" t="n">
        <v>0</v>
      </c>
      <c r="L225" t="n">
        <v>0</v>
      </c>
      <c r="M225" t="n">
        <v>0</v>
      </c>
      <c r="N225" t="n">
        <v>0</v>
      </c>
      <c r="O225" t="n">
        <v>0</v>
      </c>
      <c r="P225" t="n">
        <v>0</v>
      </c>
      <c r="Q225" t="n">
        <v>0</v>
      </c>
      <c r="R225" s="2" t="inlineStr"/>
    </row>
    <row r="226" ht="15" customHeight="1">
      <c r="A226" t="inlineStr">
        <is>
          <t>A 55397-2023</t>
        </is>
      </c>
      <c r="B226" s="1" t="n">
        <v>45238</v>
      </c>
      <c r="C226" s="1" t="n">
        <v>46060</v>
      </c>
      <c r="D226" t="inlineStr">
        <is>
          <t>ÖREBRO LÄN</t>
        </is>
      </c>
      <c r="E226" t="inlineStr">
        <is>
          <t>HÄLLEFORS</t>
        </is>
      </c>
      <c r="G226" t="n">
        <v>1.3</v>
      </c>
      <c r="H226" t="n">
        <v>0</v>
      </c>
      <c r="I226" t="n">
        <v>0</v>
      </c>
      <c r="J226" t="n">
        <v>0</v>
      </c>
      <c r="K226" t="n">
        <v>0</v>
      </c>
      <c r="L226" t="n">
        <v>0</v>
      </c>
      <c r="M226" t="n">
        <v>0</v>
      </c>
      <c r="N226" t="n">
        <v>0</v>
      </c>
      <c r="O226" t="n">
        <v>0</v>
      </c>
      <c r="P226" t="n">
        <v>0</v>
      </c>
      <c r="Q226" t="n">
        <v>0</v>
      </c>
      <c r="R226" s="2" t="inlineStr"/>
    </row>
    <row r="227" ht="15" customHeight="1">
      <c r="A227" t="inlineStr">
        <is>
          <t>A 17050-2025</t>
        </is>
      </c>
      <c r="B227" s="1" t="n">
        <v>45755.5997337963</v>
      </c>
      <c r="C227" s="1" t="n">
        <v>46060</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55183-2025</t>
        </is>
      </c>
      <c r="B228" s="1" t="n">
        <v>45968.533125</v>
      </c>
      <c r="C228" s="1" t="n">
        <v>46060</v>
      </c>
      <c r="D228" t="inlineStr">
        <is>
          <t>ÖREBRO LÄN</t>
        </is>
      </c>
      <c r="E228" t="inlineStr">
        <is>
          <t>HÄLLEFORS</t>
        </is>
      </c>
      <c r="G228" t="n">
        <v>0.7</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46060</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16169-2025</t>
        </is>
      </c>
      <c r="B230" s="1" t="n">
        <v>45750</v>
      </c>
      <c r="C230" s="1" t="n">
        <v>46060</v>
      </c>
      <c r="D230" t="inlineStr">
        <is>
          <t>ÖREBRO LÄN</t>
        </is>
      </c>
      <c r="E230" t="inlineStr">
        <is>
          <t>HÄLLEFORS</t>
        </is>
      </c>
      <c r="F230" t="inlineStr">
        <is>
          <t>Kyrkan</t>
        </is>
      </c>
      <c r="G230" t="n">
        <v>2.1</v>
      </c>
      <c r="H230" t="n">
        <v>0</v>
      </c>
      <c r="I230" t="n">
        <v>0</v>
      </c>
      <c r="J230" t="n">
        <v>0</v>
      </c>
      <c r="K230" t="n">
        <v>0</v>
      </c>
      <c r="L230" t="n">
        <v>0</v>
      </c>
      <c r="M230" t="n">
        <v>0</v>
      </c>
      <c r="N230" t="n">
        <v>0</v>
      </c>
      <c r="O230" t="n">
        <v>0</v>
      </c>
      <c r="P230" t="n">
        <v>0</v>
      </c>
      <c r="Q230" t="n">
        <v>0</v>
      </c>
      <c r="R230" s="2" t="inlineStr"/>
    </row>
    <row r="231" ht="15" customHeight="1">
      <c r="A231" t="inlineStr">
        <is>
          <t>A 29280-2025</t>
        </is>
      </c>
      <c r="B231" s="1" t="n">
        <v>45824</v>
      </c>
      <c r="C231" s="1" t="n">
        <v>46060</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46980-2023</t>
        </is>
      </c>
      <c r="B232" s="1" t="n">
        <v>45201</v>
      </c>
      <c r="C232" s="1" t="n">
        <v>46060</v>
      </c>
      <c r="D232" t="inlineStr">
        <is>
          <t>ÖREBRO LÄN</t>
        </is>
      </c>
      <c r="E232" t="inlineStr">
        <is>
          <t>HÄLLEFORS</t>
        </is>
      </c>
      <c r="F232" t="inlineStr">
        <is>
          <t>Bergvik skog väst AB</t>
        </is>
      </c>
      <c r="G232" t="n">
        <v>7.5</v>
      </c>
      <c r="H232" t="n">
        <v>0</v>
      </c>
      <c r="I232" t="n">
        <v>0</v>
      </c>
      <c r="J232" t="n">
        <v>0</v>
      </c>
      <c r="K232" t="n">
        <v>0</v>
      </c>
      <c r="L232" t="n">
        <v>0</v>
      </c>
      <c r="M232" t="n">
        <v>0</v>
      </c>
      <c r="N232" t="n">
        <v>0</v>
      </c>
      <c r="O232" t="n">
        <v>0</v>
      </c>
      <c r="P232" t="n">
        <v>0</v>
      </c>
      <c r="Q232" t="n">
        <v>0</v>
      </c>
      <c r="R232" s="2" t="inlineStr"/>
    </row>
    <row r="233" ht="15" customHeight="1">
      <c r="A233" t="inlineStr">
        <is>
          <t>A 26537-2021</t>
        </is>
      </c>
      <c r="B233" s="1" t="n">
        <v>44348</v>
      </c>
      <c r="C233" s="1" t="n">
        <v>46060</v>
      </c>
      <c r="D233" t="inlineStr">
        <is>
          <t>ÖREBRO LÄN</t>
        </is>
      </c>
      <c r="E233" t="inlineStr">
        <is>
          <t>HÄLLEFORS</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18582-2025</t>
        </is>
      </c>
      <c r="B234" s="1" t="n">
        <v>45763</v>
      </c>
      <c r="C234" s="1" t="n">
        <v>46060</v>
      </c>
      <c r="D234" t="inlineStr">
        <is>
          <t>ÖREBRO LÄN</t>
        </is>
      </c>
      <c r="E234" t="inlineStr">
        <is>
          <t>HÄLLEFORS</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38532-2025</t>
        </is>
      </c>
      <c r="B235" s="1" t="n">
        <v>45884</v>
      </c>
      <c r="C235" s="1" t="n">
        <v>46060</v>
      </c>
      <c r="D235" t="inlineStr">
        <is>
          <t>ÖREBRO LÄN</t>
        </is>
      </c>
      <c r="E235" t="inlineStr">
        <is>
          <t>HÄLLEFORS</t>
        </is>
      </c>
      <c r="F235" t="inlineStr">
        <is>
          <t>Bergvik skog väst AB</t>
        </is>
      </c>
      <c r="G235" t="n">
        <v>6.6</v>
      </c>
      <c r="H235" t="n">
        <v>0</v>
      </c>
      <c r="I235" t="n">
        <v>0</v>
      </c>
      <c r="J235" t="n">
        <v>0</v>
      </c>
      <c r="K235" t="n">
        <v>0</v>
      </c>
      <c r="L235" t="n">
        <v>0</v>
      </c>
      <c r="M235" t="n">
        <v>0</v>
      </c>
      <c r="N235" t="n">
        <v>0</v>
      </c>
      <c r="O235" t="n">
        <v>0</v>
      </c>
      <c r="P235" t="n">
        <v>0</v>
      </c>
      <c r="Q235" t="n">
        <v>0</v>
      </c>
      <c r="R235" s="2" t="inlineStr"/>
    </row>
    <row r="236" ht="15" customHeight="1">
      <c r="A236" t="inlineStr">
        <is>
          <t>A 18664-2025</t>
        </is>
      </c>
      <c r="B236" s="1" t="n">
        <v>45763.58991898148</v>
      </c>
      <c r="C236" s="1" t="n">
        <v>46060</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46599-2024</t>
        </is>
      </c>
      <c r="B237" s="1" t="n">
        <v>45582</v>
      </c>
      <c r="C237" s="1" t="n">
        <v>46060</v>
      </c>
      <c r="D237" t="inlineStr">
        <is>
          <t>ÖREBRO LÄN</t>
        </is>
      </c>
      <c r="E237" t="inlineStr">
        <is>
          <t>HÄLLEFORS</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623-2023</t>
        </is>
      </c>
      <c r="B238" s="1" t="n">
        <v>44930</v>
      </c>
      <c r="C238" s="1" t="n">
        <v>46060</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46060</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60303-2024</t>
        </is>
      </c>
      <c r="B240" s="1" t="n">
        <v>45643</v>
      </c>
      <c r="C240" s="1" t="n">
        <v>46060</v>
      </c>
      <c r="D240" t="inlineStr">
        <is>
          <t>ÖREBRO LÄN</t>
        </is>
      </c>
      <c r="E240" t="inlineStr">
        <is>
          <t>HÄLLEFORS</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57421-2025</t>
        </is>
      </c>
      <c r="B241" s="1" t="n">
        <v>45980.45798611111</v>
      </c>
      <c r="C241" s="1" t="n">
        <v>46060</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8503-2022</t>
        </is>
      </c>
      <c r="B242" s="1" t="n">
        <v>44613</v>
      </c>
      <c r="C242" s="1" t="n">
        <v>46060</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42920-2024</t>
        </is>
      </c>
      <c r="B243" s="1" t="n">
        <v>45567.29131944444</v>
      </c>
      <c r="C243" s="1" t="n">
        <v>46060</v>
      </c>
      <c r="D243" t="inlineStr">
        <is>
          <t>ÖREBRO LÄN</t>
        </is>
      </c>
      <c r="E243" t="inlineStr">
        <is>
          <t>HÄLLEFORS</t>
        </is>
      </c>
      <c r="F243" t="inlineStr">
        <is>
          <t>Bergvik skog väst AB</t>
        </is>
      </c>
      <c r="G243" t="n">
        <v>5.5</v>
      </c>
      <c r="H243" t="n">
        <v>0</v>
      </c>
      <c r="I243" t="n">
        <v>0</v>
      </c>
      <c r="J243" t="n">
        <v>0</v>
      </c>
      <c r="K243" t="n">
        <v>0</v>
      </c>
      <c r="L243" t="n">
        <v>0</v>
      </c>
      <c r="M243" t="n">
        <v>0</v>
      </c>
      <c r="N243" t="n">
        <v>0</v>
      </c>
      <c r="O243" t="n">
        <v>0</v>
      </c>
      <c r="P243" t="n">
        <v>0</v>
      </c>
      <c r="Q243" t="n">
        <v>0</v>
      </c>
      <c r="R243" s="2" t="inlineStr"/>
    </row>
    <row r="244" ht="15" customHeight="1">
      <c r="A244" t="inlineStr">
        <is>
          <t>A 32-2026</t>
        </is>
      </c>
      <c r="B244" s="1" t="n">
        <v>46024.36721064815</v>
      </c>
      <c r="C244" s="1" t="n">
        <v>46060</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17041-2025</t>
        </is>
      </c>
      <c r="B245" s="1" t="n">
        <v>45755.58488425926</v>
      </c>
      <c r="C245" s="1" t="n">
        <v>46060</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46060</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46060</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58949-2025</t>
        </is>
      </c>
      <c r="B248" s="1" t="n">
        <v>45987.58652777778</v>
      </c>
      <c r="C248" s="1" t="n">
        <v>46060</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58938-2025</t>
        </is>
      </c>
      <c r="B249" s="1" t="n">
        <v>45987.56550925926</v>
      </c>
      <c r="C249" s="1" t="n">
        <v>46060</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58942-2025</t>
        </is>
      </c>
      <c r="B250" s="1" t="n">
        <v>45987.57672453704</v>
      </c>
      <c r="C250" s="1" t="n">
        <v>46060</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58947-2025</t>
        </is>
      </c>
      <c r="B251" s="1" t="n">
        <v>45987.58177083333</v>
      </c>
      <c r="C251" s="1" t="n">
        <v>46060</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8513-2022</t>
        </is>
      </c>
      <c r="B252" s="1" t="n">
        <v>44613</v>
      </c>
      <c r="C252" s="1" t="n">
        <v>46060</v>
      </c>
      <c r="D252" t="inlineStr">
        <is>
          <t>ÖREBRO LÄN</t>
        </is>
      </c>
      <c r="E252" t="inlineStr">
        <is>
          <t>HÄLLEFORS</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58940-2025</t>
        </is>
      </c>
      <c r="B253" s="1" t="n">
        <v>45987.57128472222</v>
      </c>
      <c r="C253" s="1" t="n">
        <v>46060</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46060</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11467-2024</t>
        </is>
      </c>
      <c r="B255" s="1" t="n">
        <v>45372.59753472222</v>
      </c>
      <c r="C255" s="1" t="n">
        <v>46060</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30592-2024</t>
        </is>
      </c>
      <c r="B256" s="1" t="n">
        <v>45493.31666666667</v>
      </c>
      <c r="C256" s="1" t="n">
        <v>46060</v>
      </c>
      <c r="D256" t="inlineStr">
        <is>
          <t>ÖREBRO LÄN</t>
        </is>
      </c>
      <c r="E256" t="inlineStr">
        <is>
          <t>HÄLLEFORS</t>
        </is>
      </c>
      <c r="G256" t="n">
        <v>7.1</v>
      </c>
      <c r="H256" t="n">
        <v>0</v>
      </c>
      <c r="I256" t="n">
        <v>0</v>
      </c>
      <c r="J256" t="n">
        <v>0</v>
      </c>
      <c r="K256" t="n">
        <v>0</v>
      </c>
      <c r="L256" t="n">
        <v>0</v>
      </c>
      <c r="M256" t="n">
        <v>0</v>
      </c>
      <c r="N256" t="n">
        <v>0</v>
      </c>
      <c r="O256" t="n">
        <v>0</v>
      </c>
      <c r="P256" t="n">
        <v>0</v>
      </c>
      <c r="Q256" t="n">
        <v>0</v>
      </c>
      <c r="R256" s="2" t="inlineStr"/>
    </row>
    <row r="257" ht="15" customHeight="1">
      <c r="A257" t="inlineStr">
        <is>
          <t>A 46987-2023</t>
        </is>
      </c>
      <c r="B257" s="1" t="n">
        <v>45201</v>
      </c>
      <c r="C257" s="1" t="n">
        <v>46060</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1806-2026</t>
        </is>
      </c>
      <c r="B258" s="1" t="n">
        <v>46035.33097222223</v>
      </c>
      <c r="C258" s="1" t="n">
        <v>46060</v>
      </c>
      <c r="D258" t="inlineStr">
        <is>
          <t>ÖREBRO LÄN</t>
        </is>
      </c>
      <c r="E258" t="inlineStr">
        <is>
          <t>HÄLLEFORS</t>
        </is>
      </c>
      <c r="F258" t="inlineStr">
        <is>
          <t>Bergvik skog väst AB</t>
        </is>
      </c>
      <c r="G258" t="n">
        <v>20.3</v>
      </c>
      <c r="H258" t="n">
        <v>0</v>
      </c>
      <c r="I258" t="n">
        <v>0</v>
      </c>
      <c r="J258" t="n">
        <v>0</v>
      </c>
      <c r="K258" t="n">
        <v>0</v>
      </c>
      <c r="L258" t="n">
        <v>0</v>
      </c>
      <c r="M258" t="n">
        <v>0</v>
      </c>
      <c r="N258" t="n">
        <v>0</v>
      </c>
      <c r="O258" t="n">
        <v>0</v>
      </c>
      <c r="P258" t="n">
        <v>0</v>
      </c>
      <c r="Q258" t="n">
        <v>0</v>
      </c>
      <c r="R258" s="2" t="inlineStr"/>
    </row>
    <row r="259" ht="15" customHeight="1">
      <c r="A259" t="inlineStr">
        <is>
          <t>A 35243-2022</t>
        </is>
      </c>
      <c r="B259" s="1" t="n">
        <v>44798</v>
      </c>
      <c r="C259" s="1" t="n">
        <v>46060</v>
      </c>
      <c r="D259" t="inlineStr">
        <is>
          <t>ÖREBRO LÄN</t>
        </is>
      </c>
      <c r="E259" t="inlineStr">
        <is>
          <t>HÄLLEFORS</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18627-2025</t>
        </is>
      </c>
      <c r="B260" s="1" t="n">
        <v>45763.53284722222</v>
      </c>
      <c r="C260" s="1" t="n">
        <v>46060</v>
      </c>
      <c r="D260" t="inlineStr">
        <is>
          <t>ÖREBRO LÄN</t>
        </is>
      </c>
      <c r="E260" t="inlineStr">
        <is>
          <t>HÄLLEFORS</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27513-2021</t>
        </is>
      </c>
      <c r="B261" s="1" t="n">
        <v>44351</v>
      </c>
      <c r="C261" s="1" t="n">
        <v>46060</v>
      </c>
      <c r="D261" t="inlineStr">
        <is>
          <t>ÖREBRO LÄN</t>
        </is>
      </c>
      <c r="E261" t="inlineStr">
        <is>
          <t>HÄLLEFORS</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3057-2024</t>
        </is>
      </c>
      <c r="B262" s="1" t="n">
        <v>45316</v>
      </c>
      <c r="C262" s="1" t="n">
        <v>46060</v>
      </c>
      <c r="D262" t="inlineStr">
        <is>
          <t>ÖREBRO LÄN</t>
        </is>
      </c>
      <c r="E262" t="inlineStr">
        <is>
          <t>HÄLLEFORS</t>
        </is>
      </c>
      <c r="F262" t="inlineStr">
        <is>
          <t>Bergvik skog väst AB</t>
        </is>
      </c>
      <c r="G262" t="n">
        <v>12.2</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46060</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46060</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3365-2026</t>
        </is>
      </c>
      <c r="B265" s="1" t="n">
        <v>46042.33357638889</v>
      </c>
      <c r="C265" s="1" t="n">
        <v>46060</v>
      </c>
      <c r="D265" t="inlineStr">
        <is>
          <t>ÖREBRO LÄN</t>
        </is>
      </c>
      <c r="E265" t="inlineStr">
        <is>
          <t>HÄLLEFORS</t>
        </is>
      </c>
      <c r="F265" t="inlineStr">
        <is>
          <t>Bergvik skog väst AB</t>
        </is>
      </c>
      <c r="G265" t="n">
        <v>4.1</v>
      </c>
      <c r="H265" t="n">
        <v>0</v>
      </c>
      <c r="I265" t="n">
        <v>0</v>
      </c>
      <c r="J265" t="n">
        <v>0</v>
      </c>
      <c r="K265" t="n">
        <v>0</v>
      </c>
      <c r="L265" t="n">
        <v>0</v>
      </c>
      <c r="M265" t="n">
        <v>0</v>
      </c>
      <c r="N265" t="n">
        <v>0</v>
      </c>
      <c r="O265" t="n">
        <v>0</v>
      </c>
      <c r="P265" t="n">
        <v>0</v>
      </c>
      <c r="Q265" t="n">
        <v>0</v>
      </c>
      <c r="R265" s="2" t="inlineStr"/>
    </row>
    <row r="266" ht="15" customHeight="1">
      <c r="A266" t="inlineStr">
        <is>
          <t>A 61079-2025</t>
        </is>
      </c>
      <c r="B266" s="1" t="n">
        <v>46000.40052083333</v>
      </c>
      <c r="C266" s="1" t="n">
        <v>46060</v>
      </c>
      <c r="D266" t="inlineStr">
        <is>
          <t>ÖREBRO LÄN</t>
        </is>
      </c>
      <c r="E266" t="inlineStr">
        <is>
          <t>HÄLLEFORS</t>
        </is>
      </c>
      <c r="F266" t="inlineStr">
        <is>
          <t>Bergvik skog väst AB</t>
        </is>
      </c>
      <c r="G266" t="n">
        <v>6.8</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46060</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46060</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3863-2026</t>
        </is>
      </c>
      <c r="B269" s="1" t="n">
        <v>46043.62747685185</v>
      </c>
      <c r="C269" s="1" t="n">
        <v>46060</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19055-2024</t>
        </is>
      </c>
      <c r="B270" s="1" t="n">
        <v>45427.79534722222</v>
      </c>
      <c r="C270" s="1" t="n">
        <v>46060</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61366-2025</t>
        </is>
      </c>
      <c r="B271" s="1" t="n">
        <v>46001.42888888889</v>
      </c>
      <c r="C271" s="1" t="n">
        <v>46060</v>
      </c>
      <c r="D271" t="inlineStr">
        <is>
          <t>ÖREBRO LÄN</t>
        </is>
      </c>
      <c r="E271" t="inlineStr">
        <is>
          <t>HÄLLEFORS</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46060</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61164-2025</t>
        </is>
      </c>
      <c r="B273" s="1" t="n">
        <v>46000.56178240741</v>
      </c>
      <c r="C273" s="1" t="n">
        <v>46060</v>
      </c>
      <c r="D273" t="inlineStr">
        <is>
          <t>ÖREBRO LÄN</t>
        </is>
      </c>
      <c r="E273" t="inlineStr">
        <is>
          <t>HÄLLEFORS</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16928-2025</t>
        </is>
      </c>
      <c r="B274" s="1" t="n">
        <v>45755.39711805555</v>
      </c>
      <c r="C274" s="1" t="n">
        <v>46060</v>
      </c>
      <c r="D274" t="inlineStr">
        <is>
          <t>ÖREBRO LÄN</t>
        </is>
      </c>
      <c r="E274" t="inlineStr">
        <is>
          <t>HÄLLEFORS</t>
        </is>
      </c>
      <c r="F274" t="inlineStr">
        <is>
          <t>Bergvik skog väst AB</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44107-2024</t>
        </is>
      </c>
      <c r="B275" s="1" t="n">
        <v>45572.63357638889</v>
      </c>
      <c r="C275" s="1" t="n">
        <v>46060</v>
      </c>
      <c r="D275" t="inlineStr">
        <is>
          <t>ÖREBRO LÄN</t>
        </is>
      </c>
      <c r="E275" t="inlineStr">
        <is>
          <t>HÄLLEFORS</t>
        </is>
      </c>
      <c r="F275" t="inlineStr">
        <is>
          <t>Bergvik skog väst AB</t>
        </is>
      </c>
      <c r="G275" t="n">
        <v>4.9</v>
      </c>
      <c r="H275" t="n">
        <v>0</v>
      </c>
      <c r="I275" t="n">
        <v>0</v>
      </c>
      <c r="J275" t="n">
        <v>0</v>
      </c>
      <c r="K275" t="n">
        <v>0</v>
      </c>
      <c r="L275" t="n">
        <v>0</v>
      </c>
      <c r="M275" t="n">
        <v>0</v>
      </c>
      <c r="N275" t="n">
        <v>0</v>
      </c>
      <c r="O275" t="n">
        <v>0</v>
      </c>
      <c r="P275" t="n">
        <v>0</v>
      </c>
      <c r="Q275" t="n">
        <v>0</v>
      </c>
      <c r="R275" s="2" t="inlineStr"/>
    </row>
    <row r="276" ht="15" customHeight="1">
      <c r="A276" t="inlineStr">
        <is>
          <t>A 18605-2025</t>
        </is>
      </c>
      <c r="B276" s="1" t="n">
        <v>45763.49344907407</v>
      </c>
      <c r="C276" s="1" t="n">
        <v>46060</v>
      </c>
      <c r="D276" t="inlineStr">
        <is>
          <t>ÖREBRO LÄN</t>
        </is>
      </c>
      <c r="E276" t="inlineStr">
        <is>
          <t>HÄLLEFORS</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46060</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51212-2023</t>
        </is>
      </c>
      <c r="B278" s="1" t="n">
        <v>45219.44366898148</v>
      </c>
      <c r="C278" s="1" t="n">
        <v>46060</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45710-2023</t>
        </is>
      </c>
      <c r="B279" s="1" t="n">
        <v>45195.35254629629</v>
      </c>
      <c r="C279" s="1" t="n">
        <v>46060</v>
      </c>
      <c r="D279" t="inlineStr">
        <is>
          <t>ÖREBRO LÄN</t>
        </is>
      </c>
      <c r="E279" t="inlineStr">
        <is>
          <t>HÄLLEFORS</t>
        </is>
      </c>
      <c r="G279" t="n">
        <v>5.4</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46060</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46060</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62400-2025</t>
        </is>
      </c>
      <c r="B282" s="1" t="n">
        <v>46007.40847222223</v>
      </c>
      <c r="C282" s="1" t="n">
        <v>46060</v>
      </c>
      <c r="D282" t="inlineStr">
        <is>
          <t>ÖREBRO LÄN</t>
        </is>
      </c>
      <c r="E282" t="inlineStr">
        <is>
          <t>HÄLLEFORS</t>
        </is>
      </c>
      <c r="F282" t="inlineStr">
        <is>
          <t>Bergvik skog väst AB</t>
        </is>
      </c>
      <c r="G282" t="n">
        <v>7.3</v>
      </c>
      <c r="H282" t="n">
        <v>0</v>
      </c>
      <c r="I282" t="n">
        <v>0</v>
      </c>
      <c r="J282" t="n">
        <v>0</v>
      </c>
      <c r="K282" t="n">
        <v>0</v>
      </c>
      <c r="L282" t="n">
        <v>0</v>
      </c>
      <c r="M282" t="n">
        <v>0</v>
      </c>
      <c r="N282" t="n">
        <v>0</v>
      </c>
      <c r="O282" t="n">
        <v>0</v>
      </c>
      <c r="P282" t="n">
        <v>0</v>
      </c>
      <c r="Q282" t="n">
        <v>0</v>
      </c>
      <c r="R282" s="2" t="inlineStr"/>
    </row>
    <row r="283" ht="15" customHeight="1">
      <c r="A283" t="inlineStr">
        <is>
          <t>A 55745-2024</t>
        </is>
      </c>
      <c r="B283" s="1" t="n">
        <v>45623.3168287037</v>
      </c>
      <c r="C283" s="1" t="n">
        <v>46060</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62262-2025</t>
        </is>
      </c>
      <c r="B284" s="1" t="n">
        <v>46006.61628472222</v>
      </c>
      <c r="C284" s="1" t="n">
        <v>46060</v>
      </c>
      <c r="D284" t="inlineStr">
        <is>
          <t>ÖREBRO LÄN</t>
        </is>
      </c>
      <c r="E284" t="inlineStr">
        <is>
          <t>HÄLLEFORS</t>
        </is>
      </c>
      <c r="G284" t="n">
        <v>13.4</v>
      </c>
      <c r="H284" t="n">
        <v>0</v>
      </c>
      <c r="I284" t="n">
        <v>0</v>
      </c>
      <c r="J284" t="n">
        <v>0</v>
      </c>
      <c r="K284" t="n">
        <v>0</v>
      </c>
      <c r="L284" t="n">
        <v>0</v>
      </c>
      <c r="M284" t="n">
        <v>0</v>
      </c>
      <c r="N284" t="n">
        <v>0</v>
      </c>
      <c r="O284" t="n">
        <v>0</v>
      </c>
      <c r="P284" t="n">
        <v>0</v>
      </c>
      <c r="Q284" t="n">
        <v>0</v>
      </c>
      <c r="R284" s="2" t="inlineStr"/>
    </row>
    <row r="285" ht="15" customHeight="1">
      <c r="A285" t="inlineStr">
        <is>
          <t>A 18945-2025</t>
        </is>
      </c>
      <c r="B285" s="1" t="n">
        <v>45764.50498842593</v>
      </c>
      <c r="C285" s="1" t="n">
        <v>46060</v>
      </c>
      <c r="D285" t="inlineStr">
        <is>
          <t>ÖREBRO LÄN</t>
        </is>
      </c>
      <c r="E285" t="inlineStr">
        <is>
          <t>HÄLLEFORS</t>
        </is>
      </c>
      <c r="F285" t="inlineStr">
        <is>
          <t>Bergvik skog väst AB</t>
        </is>
      </c>
      <c r="G285" t="n">
        <v>5.1</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46060</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46060</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54105-2023</t>
        </is>
      </c>
      <c r="B288" s="1" t="n">
        <v>45232</v>
      </c>
      <c r="C288" s="1" t="n">
        <v>46060</v>
      </c>
      <c r="D288" t="inlineStr">
        <is>
          <t>ÖREBRO LÄN</t>
        </is>
      </c>
      <c r="E288" t="inlineStr">
        <is>
          <t>HÄLLEFORS</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16930-2025</t>
        </is>
      </c>
      <c r="B289" s="1" t="n">
        <v>45755.40039351852</v>
      </c>
      <c r="C289" s="1" t="n">
        <v>46060</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62841-2025</t>
        </is>
      </c>
      <c r="B290" s="1" t="n">
        <v>46008.69076388889</v>
      </c>
      <c r="C290" s="1" t="n">
        <v>46060</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62848-2025</t>
        </is>
      </c>
      <c r="B291" s="1" t="n">
        <v>46008.6987037037</v>
      </c>
      <c r="C291" s="1" t="n">
        <v>46060</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21315-2024</t>
        </is>
      </c>
      <c r="B292" s="1" t="n">
        <v>45440</v>
      </c>
      <c r="C292" s="1" t="n">
        <v>46060</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13757-2023</t>
        </is>
      </c>
      <c r="B293" s="1" t="n">
        <v>45007.42442129629</v>
      </c>
      <c r="C293" s="1" t="n">
        <v>46060</v>
      </c>
      <c r="D293" t="inlineStr">
        <is>
          <t>ÖREBRO LÄN</t>
        </is>
      </c>
      <c r="E293" t="inlineStr">
        <is>
          <t>HÄLLEFORS</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30591-2024</t>
        </is>
      </c>
      <c r="B294" s="1" t="n">
        <v>45493.3153125</v>
      </c>
      <c r="C294" s="1" t="n">
        <v>46060</v>
      </c>
      <c r="D294" t="inlineStr">
        <is>
          <t>ÖREBRO LÄN</t>
        </is>
      </c>
      <c r="E294" t="inlineStr">
        <is>
          <t>HÄLLEFORS</t>
        </is>
      </c>
      <c r="G294" t="n">
        <v>12.5</v>
      </c>
      <c r="H294" t="n">
        <v>0</v>
      </c>
      <c r="I294" t="n">
        <v>0</v>
      </c>
      <c r="J294" t="n">
        <v>0</v>
      </c>
      <c r="K294" t="n">
        <v>0</v>
      </c>
      <c r="L294" t="n">
        <v>0</v>
      </c>
      <c r="M294" t="n">
        <v>0</v>
      </c>
      <c r="N294" t="n">
        <v>0</v>
      </c>
      <c r="O294" t="n">
        <v>0</v>
      </c>
      <c r="P294" t="n">
        <v>0</v>
      </c>
      <c r="Q294" t="n">
        <v>0</v>
      </c>
      <c r="R294" s="2" t="inlineStr"/>
    </row>
    <row r="295" ht="15" customHeight="1">
      <c r="A295" t="inlineStr">
        <is>
          <t>A 12545-2023</t>
        </is>
      </c>
      <c r="B295" s="1" t="n">
        <v>45000</v>
      </c>
      <c r="C295" s="1" t="n">
        <v>46060</v>
      </c>
      <c r="D295" t="inlineStr">
        <is>
          <t>ÖREBRO LÄN</t>
        </is>
      </c>
      <c r="E295" t="inlineStr">
        <is>
          <t>HÄLLEFORS</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6281-2025</t>
        </is>
      </c>
      <c r="B296" s="1" t="n">
        <v>45698</v>
      </c>
      <c r="C296" s="1" t="n">
        <v>46060</v>
      </c>
      <c r="D296" t="inlineStr">
        <is>
          <t>ÖREBRO LÄN</t>
        </is>
      </c>
      <c r="E296" t="inlineStr">
        <is>
          <t>HÄLLEFORS</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46060</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46060</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6774-2026</t>
        </is>
      </c>
      <c r="B299" s="1" t="n">
        <v>46057.29586805555</v>
      </c>
      <c r="C299" s="1" t="n">
        <v>46060</v>
      </c>
      <c r="D299" t="inlineStr">
        <is>
          <t>ÖREBRO LÄN</t>
        </is>
      </c>
      <c r="E299" t="inlineStr">
        <is>
          <t>HÄLLEFORS</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19245-2025</t>
        </is>
      </c>
      <c r="B300" s="1" t="n">
        <v>45769</v>
      </c>
      <c r="C300" s="1" t="n">
        <v>46060</v>
      </c>
      <c r="D300" t="inlineStr">
        <is>
          <t>ÖREBRO LÄN</t>
        </is>
      </c>
      <c r="E300" t="inlineStr">
        <is>
          <t>HÄLLEFORS</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38908-2021</t>
        </is>
      </c>
      <c r="B301" s="1" t="n">
        <v>44411</v>
      </c>
      <c r="C301" s="1" t="n">
        <v>46060</v>
      </c>
      <c r="D301" t="inlineStr">
        <is>
          <t>ÖREBRO LÄN</t>
        </is>
      </c>
      <c r="E301" t="inlineStr">
        <is>
          <t>HÄLLEFORS</t>
        </is>
      </c>
      <c r="G301" t="n">
        <v>3.9</v>
      </c>
      <c r="H301" t="n">
        <v>0</v>
      </c>
      <c r="I301" t="n">
        <v>0</v>
      </c>
      <c r="J301" t="n">
        <v>0</v>
      </c>
      <c r="K301" t="n">
        <v>0</v>
      </c>
      <c r="L301" t="n">
        <v>0</v>
      </c>
      <c r="M301" t="n">
        <v>0</v>
      </c>
      <c r="N301" t="n">
        <v>0</v>
      </c>
      <c r="O301" t="n">
        <v>0</v>
      </c>
      <c r="P301" t="n">
        <v>0</v>
      </c>
      <c r="Q301" t="n">
        <v>0</v>
      </c>
      <c r="R301" s="2" t="inlineStr"/>
    </row>
    <row r="302" ht="15" customHeight="1">
      <c r="A302" t="inlineStr">
        <is>
          <t>A 34898-2021</t>
        </is>
      </c>
      <c r="B302" s="1" t="n">
        <v>44383</v>
      </c>
      <c r="C302" s="1" t="n">
        <v>46060</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28004-2022</t>
        </is>
      </c>
      <c r="B303" s="1" t="n">
        <v>44746.34457175926</v>
      </c>
      <c r="C303" s="1" t="n">
        <v>46060</v>
      </c>
      <c r="D303" t="inlineStr">
        <is>
          <t>ÖREBRO LÄN</t>
        </is>
      </c>
      <c r="E303" t="inlineStr">
        <is>
          <t>HÄLLEFORS</t>
        </is>
      </c>
      <c r="G303" t="n">
        <v>2.9</v>
      </c>
      <c r="H303" t="n">
        <v>0</v>
      </c>
      <c r="I303" t="n">
        <v>0</v>
      </c>
      <c r="J303" t="n">
        <v>0</v>
      </c>
      <c r="K303" t="n">
        <v>0</v>
      </c>
      <c r="L303" t="n">
        <v>0</v>
      </c>
      <c r="M303" t="n">
        <v>0</v>
      </c>
      <c r="N303" t="n">
        <v>0</v>
      </c>
      <c r="O303" t="n">
        <v>0</v>
      </c>
      <c r="P303" t="n">
        <v>0</v>
      </c>
      <c r="Q303" t="n">
        <v>0</v>
      </c>
      <c r="R303" s="2" t="inlineStr"/>
    </row>
    <row r="304" ht="15" customHeight="1">
      <c r="A304" t="inlineStr">
        <is>
          <t>A 67953-2021</t>
        </is>
      </c>
      <c r="B304" s="1" t="n">
        <v>44525.63929398148</v>
      </c>
      <c r="C304" s="1" t="n">
        <v>46060</v>
      </c>
      <c r="D304" t="inlineStr">
        <is>
          <t>ÖREBRO LÄN</t>
        </is>
      </c>
      <c r="E304" t="inlineStr">
        <is>
          <t>HÄLLEFORS</t>
        </is>
      </c>
      <c r="G304" t="n">
        <v>2</v>
      </c>
      <c r="H304" t="n">
        <v>0</v>
      </c>
      <c r="I304" t="n">
        <v>0</v>
      </c>
      <c r="J304" t="n">
        <v>0</v>
      </c>
      <c r="K304" t="n">
        <v>0</v>
      </c>
      <c r="L304" t="n">
        <v>0</v>
      </c>
      <c r="M304" t="n">
        <v>0</v>
      </c>
      <c r="N304" t="n">
        <v>0</v>
      </c>
      <c r="O304" t="n">
        <v>0</v>
      </c>
      <c r="P304" t="n">
        <v>0</v>
      </c>
      <c r="Q304" t="n">
        <v>0</v>
      </c>
      <c r="R304" s="2" t="inlineStr"/>
    </row>
    <row r="305" ht="15" customHeight="1">
      <c r="A305" t="inlineStr">
        <is>
          <t>A 6772-2026</t>
        </is>
      </c>
      <c r="B305" s="1" t="n">
        <v>46057.2934837963</v>
      </c>
      <c r="C305" s="1" t="n">
        <v>46060</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46060</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41822-2023</t>
        </is>
      </c>
      <c r="B307" s="1" t="n">
        <v>45176.56863425926</v>
      </c>
      <c r="C307" s="1" t="n">
        <v>46060</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14120-2023</t>
        </is>
      </c>
      <c r="B308" s="1" t="n">
        <v>45009</v>
      </c>
      <c r="C308" s="1" t="n">
        <v>46060</v>
      </c>
      <c r="D308" t="inlineStr">
        <is>
          <t>ÖREBRO LÄN</t>
        </is>
      </c>
      <c r="E308" t="inlineStr">
        <is>
          <t>HÄLLEFORS</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44105-2024</t>
        </is>
      </c>
      <c r="B309" s="1" t="n">
        <v>45572.62980324074</v>
      </c>
      <c r="C309" s="1" t="n">
        <v>46060</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50571-2024</t>
        </is>
      </c>
      <c r="B310" s="1" t="n">
        <v>45601.60576388889</v>
      </c>
      <c r="C310" s="1" t="n">
        <v>46060</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46060</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48429-2024</t>
        </is>
      </c>
      <c r="B312" s="1" t="n">
        <v>45590</v>
      </c>
      <c r="C312" s="1" t="n">
        <v>46060</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4716-2022</t>
        </is>
      </c>
      <c r="B313" s="1" t="n">
        <v>44592</v>
      </c>
      <c r="C313" s="1" t="n">
        <v>46060</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9906-2024</t>
        </is>
      </c>
      <c r="B314" s="1" t="n">
        <v>45363.53322916666</v>
      </c>
      <c r="C314" s="1" t="n">
        <v>46060</v>
      </c>
      <c r="D314" t="inlineStr">
        <is>
          <t>ÖREBRO LÄN</t>
        </is>
      </c>
      <c r="E314" t="inlineStr">
        <is>
          <t>HÄLLEFORS</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18555-2025</t>
        </is>
      </c>
      <c r="B315" s="1" t="n">
        <v>45763</v>
      </c>
      <c r="C315" s="1" t="n">
        <v>46060</v>
      </c>
      <c r="D315" t="inlineStr">
        <is>
          <t>ÖREBRO LÄN</t>
        </is>
      </c>
      <c r="E315" t="inlineStr">
        <is>
          <t>HÄLLEFORS</t>
        </is>
      </c>
      <c r="F315" t="inlineStr">
        <is>
          <t>Bergvik skog väst AB</t>
        </is>
      </c>
      <c r="G315" t="n">
        <v>4.5</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46060</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46060</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46060</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46060</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46060</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46060</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46060</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46060</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46060</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46060</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46060</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46060</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46060</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46060</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46060</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46060</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46060</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46060</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46060</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46060</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46060</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46060</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46060</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46060</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46060</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46060</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46060</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46060</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46060</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46060</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46060</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46060</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46060</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46060</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46060</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46060</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46060</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46060</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46060</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46060</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46060</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46060</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46060</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46060</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46060</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46060</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46060</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46060</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46060</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46060</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46060</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46060</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46060</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46060</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46060</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46060</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46060</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46060</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46060</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46060</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46060</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46060</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46060</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46060</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46060</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46060</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46060</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46060</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46060</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46060</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46060</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46060</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46060</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46060</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46060</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46060</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46060</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46060</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46060</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46060</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46060</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46060</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46060</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46060</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46060</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46060</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46060</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46060</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46060</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46060</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46060</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46060</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c r="A408" t="inlineStr">
        <is>
          <t>A 5042-2025</t>
        </is>
      </c>
      <c r="B408" s="1" t="n">
        <v>45691.43619212963</v>
      </c>
      <c r="C408" s="1" t="n">
        <v>46060</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2026-02-07T13:53:52Z</dcterms:created>
  <dcterms:modified xmlns:dcterms="http://purl.org/dc/terms/" xmlns:xsi="http://www.w3.org/2001/XMLSchema-instance" xsi:type="dcterms:W3CDTF">2026-02-07T13:53:52Z</dcterms:modified>
</cp:coreProperties>
</file>