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45589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45589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45589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45589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45589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45589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45589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9464-2023</t>
        </is>
      </c>
      <c r="B9" s="1" t="n">
        <v>44981</v>
      </c>
      <c r="C9" s="1" t="n">
        <v>45589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29.1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Vinterhämpling
Buskskvätta
Fiskgjuse</t>
        </is>
      </c>
      <c r="S9">
        <f>HYPERLINK("https://klasma.github.io/Logging_1863/artfynd/A 9464-2023 artfynd.xlsx", "A 9464-2023")</f>
        <v/>
      </c>
      <c r="T9">
        <f>HYPERLINK("https://klasma.github.io/Logging_1863/kartor/A 9464-2023 karta.png", "A 9464-2023")</f>
        <v/>
      </c>
      <c r="V9">
        <f>HYPERLINK("https://klasma.github.io/Logging_1863/klagomål/A 9464-2023 FSC-klagomål.docx", "A 9464-2023")</f>
        <v/>
      </c>
      <c r="W9">
        <f>HYPERLINK("https://klasma.github.io/Logging_1863/klagomålsmail/A 9464-2023 FSC-klagomål mail.docx", "A 9464-2023")</f>
        <v/>
      </c>
      <c r="X9">
        <f>HYPERLINK("https://klasma.github.io/Logging_1863/tillsyn/A 9464-2023 tillsynsbegäran.docx", "A 9464-2023")</f>
        <v/>
      </c>
      <c r="Y9">
        <f>HYPERLINK("https://klasma.github.io/Logging_1863/tillsynsmail/A 9464-2023 tillsynsbegäran mail.docx", "A 9464-2023")</f>
        <v/>
      </c>
      <c r="Z9">
        <f>HYPERLINK("https://klasma.github.io/Logging_1863/fåglar/A 9464-2023 prioriterade fågelarter.docx", "A 9464-2023")</f>
        <v/>
      </c>
    </row>
    <row r="10" ht="15" customHeight="1">
      <c r="A10" t="inlineStr">
        <is>
          <t>A 23892-2024</t>
        </is>
      </c>
      <c r="B10" s="1" t="n">
        <v>45455</v>
      </c>
      <c r="C10" s="1" t="n">
        <v>45589</v>
      </c>
      <c r="D10" t="inlineStr">
        <is>
          <t>ÖREBRO LÄN</t>
        </is>
      </c>
      <c r="E10" t="inlineStr">
        <is>
          <t>HÄLLEFORS</t>
        </is>
      </c>
      <c r="G10" t="n">
        <v>9.6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Blomkålssvamp
Nästlav</t>
        </is>
      </c>
      <c r="S10">
        <f>HYPERLINK("https://klasma.github.io/Logging_1863/artfynd/A 23892-2024 artfynd.xlsx", "A 23892-2024")</f>
        <v/>
      </c>
      <c r="T10">
        <f>HYPERLINK("https://klasma.github.io/Logging_1863/kartor/A 23892-2024 karta.png", "A 23892-2024")</f>
        <v/>
      </c>
      <c r="U10">
        <f>HYPERLINK("https://klasma.github.io/Logging_1863/knärot/A 23892-2024 karta knärot.png", "A 23892-2024")</f>
        <v/>
      </c>
      <c r="V10">
        <f>HYPERLINK("https://klasma.github.io/Logging_1863/klagomål/A 23892-2024 FSC-klagomål.docx", "A 23892-2024")</f>
        <v/>
      </c>
      <c r="W10">
        <f>HYPERLINK("https://klasma.github.io/Logging_1863/klagomålsmail/A 23892-2024 FSC-klagomål mail.docx", "A 23892-2024")</f>
        <v/>
      </c>
      <c r="X10">
        <f>HYPERLINK("https://klasma.github.io/Logging_1863/tillsyn/A 23892-2024 tillsynsbegäran.docx", "A 23892-2024")</f>
        <v/>
      </c>
      <c r="Y10">
        <f>HYPERLINK("https://klasma.github.io/Logging_1863/tillsynsmail/A 23892-2024 tillsynsbegäran mail.docx", "A 23892-2024")</f>
        <v/>
      </c>
    </row>
    <row r="11" ht="15" customHeight="1">
      <c r="A11" t="inlineStr">
        <is>
          <t>A 58760-2020</t>
        </is>
      </c>
      <c r="B11" s="1" t="n">
        <v>44146</v>
      </c>
      <c r="C11" s="1" t="n">
        <v>45589</v>
      </c>
      <c r="D11" t="inlineStr">
        <is>
          <t>ÖREBRO LÄN</t>
        </is>
      </c>
      <c r="E11" t="inlineStr">
        <is>
          <t>HÄLLEFORS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Stor revmossa</t>
        </is>
      </c>
      <c r="S11">
        <f>HYPERLINK("https://klasma.github.io/Logging_1863/artfynd/A 58760-2020 artfynd.xlsx", "A 58760-2020")</f>
        <v/>
      </c>
      <c r="T11">
        <f>HYPERLINK("https://klasma.github.io/Logging_1863/kartor/A 58760-2020 karta.png", "A 58760-2020")</f>
        <v/>
      </c>
      <c r="V11">
        <f>HYPERLINK("https://klasma.github.io/Logging_1863/klagomål/A 58760-2020 FSC-klagomål.docx", "A 58760-2020")</f>
        <v/>
      </c>
      <c r="W11">
        <f>HYPERLINK("https://klasma.github.io/Logging_1863/klagomålsmail/A 58760-2020 FSC-klagomål mail.docx", "A 58760-2020")</f>
        <v/>
      </c>
      <c r="X11">
        <f>HYPERLINK("https://klasma.github.io/Logging_1863/tillsyn/A 58760-2020 tillsynsbegäran.docx", "A 58760-2020")</f>
        <v/>
      </c>
      <c r="Y11">
        <f>HYPERLINK("https://klasma.github.io/Logging_1863/tillsynsmail/A 58760-2020 tillsynsbegäran mail.docx", "A 58760-2020")</f>
        <v/>
      </c>
    </row>
    <row r="12" ht="15" customHeight="1">
      <c r="A12" t="inlineStr">
        <is>
          <t>A 5360-2022</t>
        </is>
      </c>
      <c r="B12" s="1" t="n">
        <v>44594</v>
      </c>
      <c r="C12" s="1" t="n">
        <v>45589</v>
      </c>
      <c r="D12" t="inlineStr">
        <is>
          <t>ÖREBRO LÄN</t>
        </is>
      </c>
      <c r="E12" t="inlineStr">
        <is>
          <t>HÄLLEFORS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Mörk husmossa
Smal svampklubba</t>
        </is>
      </c>
      <c r="S12">
        <f>HYPERLINK("https://klasma.github.io/Logging_1863/artfynd/A 5360-2022 artfynd.xlsx", "A 5360-2022")</f>
        <v/>
      </c>
      <c r="T12">
        <f>HYPERLINK("https://klasma.github.io/Logging_1863/kartor/A 5360-2022 karta.png", "A 5360-2022")</f>
        <v/>
      </c>
      <c r="V12">
        <f>HYPERLINK("https://klasma.github.io/Logging_1863/klagomål/A 5360-2022 FSC-klagomål.docx", "A 5360-2022")</f>
        <v/>
      </c>
      <c r="W12">
        <f>HYPERLINK("https://klasma.github.io/Logging_1863/klagomålsmail/A 5360-2022 FSC-klagomål mail.docx", "A 5360-2022")</f>
        <v/>
      </c>
      <c r="X12">
        <f>HYPERLINK("https://klasma.github.io/Logging_1863/tillsyn/A 5360-2022 tillsynsbegäran.docx", "A 5360-2022")</f>
        <v/>
      </c>
      <c r="Y12">
        <f>HYPERLINK("https://klasma.github.io/Logging_1863/tillsynsmail/A 5360-2022 tillsynsbegäran mail.docx", "A 5360-2022")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45589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45589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45589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45589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45589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45589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45589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45589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45589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45589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45589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45589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45589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45589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45589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45589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45589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45589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45589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45589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45589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45589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45589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45589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45589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45589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45589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45589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45589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45589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45589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45589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45589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45589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45589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45589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45589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45589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45589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45589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45589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45589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45589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45589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45589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45589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45589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45589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45589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45589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45589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45589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45589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45589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45589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45589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45589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45589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45589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45589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45589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45589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45589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45589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45589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45589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45589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45589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45589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45589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45589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45589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45589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45589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45589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45589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45589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45589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45589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45589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45589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45589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45589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45589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45589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45589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45589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45589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45589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45589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45589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45589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45589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45589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45589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45589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45589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45589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45589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45589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45589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45589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45589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45589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45589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45589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45589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45589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45589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45589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45589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45589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45589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45589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45589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45589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45589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45589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45589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45589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45589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45589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45589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45589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45589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45589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45589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45589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45589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45589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45589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45589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45589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45589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45589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45589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45589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45589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45589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45589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45589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45589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45589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45589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45589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45589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45589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45589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45589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45589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45589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45589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45589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45589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45589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45589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45589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45589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45589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45589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45589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45589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45589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45589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45589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45589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45589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45589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45589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45589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45589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45589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45589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45589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45589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45589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45589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45589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45589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45589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45589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45589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45589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45589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45589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45589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45589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45589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45589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45589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45589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45589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45589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45589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45589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45589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45589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45589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45589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45589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45589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45589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45589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45589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45589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45589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45589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45589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45589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45589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45589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45589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45589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45589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45589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45589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45589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45589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45589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45589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45589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45589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45589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45589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45589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45589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45589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45589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45589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45589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45589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45589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45589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45589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45589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45589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45589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45589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45589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45589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45589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45589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45589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45589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45589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45589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45589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45589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45589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45589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45589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45589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45589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45589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45589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45589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45589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45589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45589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45589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45589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45589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45589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45589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45589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45589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45589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45589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45589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45589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45589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45589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45589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45589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45589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45589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45589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45589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45589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45589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45589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45589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45589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45589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45589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45589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45589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45589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45589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45589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45589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45589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45589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45589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45589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45589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45589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45589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45589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45589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45589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45589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45589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45589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45589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45589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45589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45589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45589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45589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45589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45589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45589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45589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45589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45589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45589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45589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45589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45589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45589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45589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45589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45589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45589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45589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45589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45589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45589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45589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45589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45589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45589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45589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45589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45589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45589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45589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45589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45589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45589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45589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45589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45589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45589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45589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45589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45589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45589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45589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45589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45589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45589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45589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45589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45589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45589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45589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45589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45589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45589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45589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45589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45589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45589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45589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45589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45589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45589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45589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45589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45589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45589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45589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45589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45589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45589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45589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45589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45589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45589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45589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45589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45589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45589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45589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45589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45589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45589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45589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45589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45589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45589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45589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45589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45589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45589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45589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45589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45589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45589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45589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45589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45589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45589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45589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45589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45589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45589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45589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45589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45589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45589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45589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45589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45589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45589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45589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45589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45589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45589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45589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45589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45589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45589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45589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45589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45589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45589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45589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45589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45589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45589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45589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45589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45589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45589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45589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45589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45589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45589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45589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45589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45589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45589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45589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45589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45589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45589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45589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45589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45589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45589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45589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45589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45589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45589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45589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45589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45589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45589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45589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45589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45589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45589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45589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45589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45589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45589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45589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45589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45589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45589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45589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45589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45589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45589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45589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45589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45589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45589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45589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45589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45589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45589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45589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45589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45589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45589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45589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45589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45589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45589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45589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45589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45589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45589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45589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45589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45589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45589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45589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45589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45589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45589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45589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45589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45589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45589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45589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45589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45589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45589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45589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45589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45589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45589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45589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45589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45589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45589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45589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45589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45589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45589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45589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45589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45589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45589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45589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45589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45589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45589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45589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45589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45589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45589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45589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45589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45589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45589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45589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45589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45589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45589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45589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45589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45589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45589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45589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45589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45589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45589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45589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45589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45589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45589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45589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45589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45589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45589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45589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45589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45589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45589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45589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45589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45589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45589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45589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45589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45589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45589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45589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45589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45589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45589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45589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45589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45589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45589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45589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45589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45589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45589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45589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45589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45589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45589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45589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42918-2024</t>
        </is>
      </c>
      <c r="B603" s="1" t="n">
        <v>45567</v>
      </c>
      <c r="C603" s="1" t="n">
        <v>45589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42920-2024</t>
        </is>
      </c>
      <c r="B604" s="1" t="n">
        <v>45567</v>
      </c>
      <c r="C604" s="1" t="n">
        <v>45589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43096-2024</t>
        </is>
      </c>
      <c r="B605" s="1" t="n">
        <v>45567</v>
      </c>
      <c r="C605" s="1" t="n">
        <v>45589</v>
      </c>
      <c r="D605" t="inlineStr">
        <is>
          <t>ÖREBRO LÄN</t>
        </is>
      </c>
      <c r="E605" t="inlineStr">
        <is>
          <t>HÄLLEFORS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42921-2024</t>
        </is>
      </c>
      <c r="B606" s="1" t="n">
        <v>45567</v>
      </c>
      <c r="C606" s="1" t="n">
        <v>45589</v>
      </c>
      <c r="D606" t="inlineStr">
        <is>
          <t>ÖREBRO LÄN</t>
        </is>
      </c>
      <c r="E606" t="inlineStr">
        <is>
          <t>HÄLLEFORS</t>
        </is>
      </c>
      <c r="F606" t="inlineStr">
        <is>
          <t>Bergvik skog väst AB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43886-2024</t>
        </is>
      </c>
      <c r="B607" s="1" t="n">
        <v>45572</v>
      </c>
      <c r="C607" s="1" t="n">
        <v>45589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43876-2024</t>
        </is>
      </c>
      <c r="B608" s="1" t="n">
        <v>45572</v>
      </c>
      <c r="C608" s="1" t="n">
        <v>45589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43966-2024</t>
        </is>
      </c>
      <c r="B609" s="1" t="n">
        <v>45572</v>
      </c>
      <c r="C609" s="1" t="n">
        <v>45589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44007-2024</t>
        </is>
      </c>
      <c r="B610" s="1" t="n">
        <v>45572</v>
      </c>
      <c r="C610" s="1" t="n">
        <v>45589</v>
      </c>
      <c r="D610" t="inlineStr">
        <is>
          <t>ÖREBRO LÄN</t>
        </is>
      </c>
      <c r="E610" t="inlineStr">
        <is>
          <t>HÄLLEFORS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44062-2024</t>
        </is>
      </c>
      <c r="B611" s="1" t="n">
        <v>45572</v>
      </c>
      <c r="C611" s="1" t="n">
        <v>45589</v>
      </c>
      <c r="D611" t="inlineStr">
        <is>
          <t>ÖREBRO LÄN</t>
        </is>
      </c>
      <c r="E611" t="inlineStr">
        <is>
          <t>HÄLLEFORS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44015-2024</t>
        </is>
      </c>
      <c r="B612" s="1" t="n">
        <v>45572</v>
      </c>
      <c r="C612" s="1" t="n">
        <v>45589</v>
      </c>
      <c r="D612" t="inlineStr">
        <is>
          <t>ÖREBRO LÄN</t>
        </is>
      </c>
      <c r="E612" t="inlineStr">
        <is>
          <t>HÄLLEFORS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44052-2024</t>
        </is>
      </c>
      <c r="B613" s="1" t="n">
        <v>45572</v>
      </c>
      <c r="C613" s="1" t="n">
        <v>45589</v>
      </c>
      <c r="D613" t="inlineStr">
        <is>
          <t>ÖREBRO LÄN</t>
        </is>
      </c>
      <c r="E613" t="inlineStr">
        <is>
          <t>HÄLLEFORS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44088-2024</t>
        </is>
      </c>
      <c r="B614" s="1" t="n">
        <v>45572</v>
      </c>
      <c r="C614" s="1" t="n">
        <v>45589</v>
      </c>
      <c r="D614" t="inlineStr">
        <is>
          <t>ÖREBRO LÄN</t>
        </is>
      </c>
      <c r="E614" t="inlineStr">
        <is>
          <t>HÄLLEFORS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44106-2024</t>
        </is>
      </c>
      <c r="B615" s="1" t="n">
        <v>45572</v>
      </c>
      <c r="C615" s="1" t="n">
        <v>45589</v>
      </c>
      <c r="D615" t="inlineStr">
        <is>
          <t>ÖREBRO LÄN</t>
        </is>
      </c>
      <c r="E615" t="inlineStr">
        <is>
          <t>HÄLLEFORS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44105-2024</t>
        </is>
      </c>
      <c r="B616" s="1" t="n">
        <v>45572</v>
      </c>
      <c r="C616" s="1" t="n">
        <v>45589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44129-2024</t>
        </is>
      </c>
      <c r="B617" s="1" t="n">
        <v>45572</v>
      </c>
      <c r="C617" s="1" t="n">
        <v>45589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44122-2024</t>
        </is>
      </c>
      <c r="B618" s="1" t="n">
        <v>45572</v>
      </c>
      <c r="C618" s="1" t="n">
        <v>45589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44091-2024</t>
        </is>
      </c>
      <c r="B619" s="1" t="n">
        <v>45572</v>
      </c>
      <c r="C619" s="1" t="n">
        <v>45589</v>
      </c>
      <c r="D619" t="inlineStr">
        <is>
          <t>ÖREBRO LÄN</t>
        </is>
      </c>
      <c r="E619" t="inlineStr">
        <is>
          <t>HÄLLEFORS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44107-2024</t>
        </is>
      </c>
      <c r="B620" s="1" t="n">
        <v>45572</v>
      </c>
      <c r="C620" s="1" t="n">
        <v>45589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44123-2024</t>
        </is>
      </c>
      <c r="B621" s="1" t="n">
        <v>45572</v>
      </c>
      <c r="C621" s="1" t="n">
        <v>45589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44143-2024</t>
        </is>
      </c>
      <c r="B622" s="1" t="n">
        <v>45572</v>
      </c>
      <c r="C622" s="1" t="n">
        <v>45589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44772-2024</t>
        </is>
      </c>
      <c r="B623" s="1" t="n">
        <v>45574</v>
      </c>
      <c r="C623" s="1" t="n">
        <v>45589</v>
      </c>
      <c r="D623" t="inlineStr">
        <is>
          <t>ÖREBRO LÄN</t>
        </is>
      </c>
      <c r="E623" t="inlineStr">
        <is>
          <t>HÄLLEFORS</t>
        </is>
      </c>
      <c r="F623" t="inlineStr">
        <is>
          <t>Sveaskog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44781-2024</t>
        </is>
      </c>
      <c r="B624" s="1" t="n">
        <v>45574</v>
      </c>
      <c r="C624" s="1" t="n">
        <v>45589</v>
      </c>
      <c r="D624" t="inlineStr">
        <is>
          <t>ÖREBRO LÄN</t>
        </is>
      </c>
      <c r="E624" t="inlineStr">
        <is>
          <t>HÄLLEFORS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45691-2024</t>
        </is>
      </c>
      <c r="B625" s="1" t="n">
        <v>45579</v>
      </c>
      <c r="C625" s="1" t="n">
        <v>45589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45689-2024</t>
        </is>
      </c>
      <c r="B626" s="1" t="n">
        <v>45579</v>
      </c>
      <c r="C626" s="1" t="n">
        <v>45589</v>
      </c>
      <c r="D626" t="inlineStr">
        <is>
          <t>ÖREBRO LÄN</t>
        </is>
      </c>
      <c r="E626" t="inlineStr">
        <is>
          <t>HÄLLEFORS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46168-2024</t>
        </is>
      </c>
      <c r="B627" s="1" t="n">
        <v>45581</v>
      </c>
      <c r="C627" s="1" t="n">
        <v>45589</v>
      </c>
      <c r="D627" t="inlineStr">
        <is>
          <t>ÖREBRO LÄN</t>
        </is>
      </c>
      <c r="E627" t="inlineStr">
        <is>
          <t>HÄLLEFORS</t>
        </is>
      </c>
      <c r="F627" t="inlineStr">
        <is>
          <t>Bergvik skog väst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46599-2024</t>
        </is>
      </c>
      <c r="B628" s="1" t="n">
        <v>45582</v>
      </c>
      <c r="C628" s="1" t="n">
        <v>45589</v>
      </c>
      <c r="D628" t="inlineStr">
        <is>
          <t>ÖREBRO LÄN</t>
        </is>
      </c>
      <c r="E628" t="inlineStr">
        <is>
          <t>HÄLLEFORS</t>
        </is>
      </c>
      <c r="F628" t="inlineStr">
        <is>
          <t>Sveaskog</t>
        </is>
      </c>
      <c r="G628" t="n">
        <v>10.1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46616-2024</t>
        </is>
      </c>
      <c r="B629" s="1" t="n">
        <v>45583</v>
      </c>
      <c r="C629" s="1" t="n">
        <v>45589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46621-2024</t>
        </is>
      </c>
      <c r="B630" s="1" t="n">
        <v>45583</v>
      </c>
      <c r="C630" s="1" t="n">
        <v>45589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46639-2024</t>
        </is>
      </c>
      <c r="B631" s="1" t="n">
        <v>45583</v>
      </c>
      <c r="C631" s="1" t="n">
        <v>45589</v>
      </c>
      <c r="D631" t="inlineStr">
        <is>
          <t>ÖREBRO LÄN</t>
        </is>
      </c>
      <c r="E631" t="inlineStr">
        <is>
          <t>HÄLLEFORS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46642-2024</t>
        </is>
      </c>
      <c r="B632" s="1" t="n">
        <v>45583</v>
      </c>
      <c r="C632" s="1" t="n">
        <v>45589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47811-2024</t>
        </is>
      </c>
      <c r="B633" s="1" t="n">
        <v>45588</v>
      </c>
      <c r="C633" s="1" t="n">
        <v>45589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2024-10-24T13:52:56Z</dcterms:created>
  <dcterms:modified xmlns:dcterms="http://purl.org/dc/terms/" xmlns:xsi="http://www.w3.org/2001/XMLSchema-instance" xsi:type="dcterms:W3CDTF">2024-10-24T13:52:57Z</dcterms:modified>
</cp:coreProperties>
</file>